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mc:AlternateContent xmlns:mc="http://schemas.openxmlformats.org/markup-compatibility/2006">
    <mc:Choice Requires="x15">
      <x15ac:absPath xmlns:x15ac="http://schemas.microsoft.com/office/spreadsheetml/2010/11/ac" url="C:\Users\Yoshiyuki\Desktop\"/>
    </mc:Choice>
  </mc:AlternateContent>
  <xr:revisionPtr revIDLastSave="0" documentId="13_ncr:1_{A221877F-0717-40C4-A99D-798744C52136}" xr6:coauthVersionLast="43" xr6:coauthVersionMax="43" xr10:uidLastSave="{00000000-0000-0000-0000-000000000000}"/>
  <bookViews>
    <workbookView xWindow="3975" yWindow="90" windowWidth="24555" windowHeight="15255" xr2:uid="{00000000-000D-0000-FFFF-FFFF00000000}"/>
  </bookViews>
  <sheets>
    <sheet name="font_edit" sheetId="2" r:id="rId1"/>
    <sheet name="font_show" sheetId="3" r:id="rId2"/>
    <sheet name="font_const" sheetId="4" r:id="rId3"/>
    <sheet name="image" sheetId="1" r:id="rId4"/>
    <sheet name="segment" sheetId="5" r:id="rId5"/>
    <sheet name="LIcense" sheetId="6" r:id="rId6"/>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179" i="2" l="1"/>
  <c r="AH179" i="2"/>
  <c r="AG179" i="2"/>
  <c r="AF179" i="2"/>
  <c r="AE179" i="2"/>
  <c r="AD179" i="2"/>
  <c r="AC179" i="2"/>
  <c r="AB179" i="2"/>
  <c r="AA179" i="2"/>
  <c r="Z179" i="2"/>
  <c r="Y179" i="2"/>
  <c r="U179" i="2"/>
  <c r="V179" i="2" s="1"/>
  <c r="U20" i="2" l="1"/>
  <c r="T20" i="2"/>
  <c r="S20" i="2"/>
  <c r="R20" i="2"/>
  <c r="Q20" i="2"/>
  <c r="P20" i="2"/>
  <c r="O20" i="2"/>
  <c r="N20" i="2"/>
  <c r="M20" i="2"/>
  <c r="L20" i="2"/>
  <c r="K20" i="2"/>
  <c r="J20" i="2"/>
  <c r="I20" i="2"/>
  <c r="H20" i="2"/>
  <c r="G20" i="2"/>
  <c r="F20" i="2"/>
  <c r="E20" i="2"/>
  <c r="AO20" i="2" l="1"/>
  <c r="AN20" i="2"/>
  <c r="AM20" i="2"/>
  <c r="AL20" i="2"/>
  <c r="AK20" i="2"/>
  <c r="AJ20" i="2"/>
  <c r="AI20" i="2"/>
  <c r="AH20" i="2"/>
  <c r="AG20" i="2"/>
  <c r="AF20" i="2"/>
  <c r="AE20" i="2"/>
  <c r="AD20" i="2"/>
  <c r="AC20" i="2"/>
  <c r="AB20" i="2"/>
  <c r="AA20" i="2"/>
  <c r="Z20" i="2"/>
  <c r="Y267" i="2" l="1"/>
  <c r="AH23" i="1" l="1"/>
  <c r="AG23" i="1"/>
  <c r="AF23" i="1"/>
  <c r="AE23" i="1"/>
  <c r="AD23" i="1"/>
  <c r="AC23" i="1"/>
  <c r="AB23" i="1"/>
  <c r="AA23" i="1"/>
  <c r="Z23" i="1"/>
  <c r="Y23" i="1"/>
  <c r="X23" i="1"/>
  <c r="W23" i="1"/>
  <c r="V23" i="1"/>
  <c r="U23" i="1"/>
  <c r="T23" i="1"/>
  <c r="S23" i="1"/>
  <c r="R23" i="1"/>
  <c r="Q23" i="1"/>
  <c r="P23" i="1"/>
  <c r="O23" i="1"/>
  <c r="N23" i="1"/>
  <c r="M23" i="1"/>
  <c r="L23" i="1"/>
  <c r="K23" i="1"/>
  <c r="J23" i="1"/>
  <c r="I23" i="1"/>
  <c r="H23" i="1"/>
  <c r="G23" i="1"/>
  <c r="F23" i="1"/>
  <c r="E23" i="1"/>
  <c r="D23" i="1"/>
  <c r="C23" i="1"/>
  <c r="AH22" i="1"/>
  <c r="AG22" i="1"/>
  <c r="AF22" i="1"/>
  <c r="AE22" i="1"/>
  <c r="AD22" i="1"/>
  <c r="AC22" i="1"/>
  <c r="AB22" i="1"/>
  <c r="AA22" i="1"/>
  <c r="Z22" i="1"/>
  <c r="Y22" i="1"/>
  <c r="X22" i="1"/>
  <c r="W22" i="1"/>
  <c r="V22" i="1"/>
  <c r="U22" i="1"/>
  <c r="T22" i="1"/>
  <c r="S22" i="1"/>
  <c r="R22" i="1"/>
  <c r="Q22" i="1"/>
  <c r="P22" i="1"/>
  <c r="O22" i="1"/>
  <c r="N22" i="1"/>
  <c r="M22" i="1"/>
  <c r="L22" i="1"/>
  <c r="K22" i="1"/>
  <c r="J22" i="1"/>
  <c r="I22" i="1"/>
  <c r="H22" i="1"/>
  <c r="G22" i="1"/>
  <c r="F22" i="1"/>
  <c r="E22" i="1"/>
  <c r="D22" i="1"/>
  <c r="C22" i="1"/>
  <c r="AH21" i="1"/>
  <c r="AG21" i="1"/>
  <c r="AF21" i="1"/>
  <c r="AE21" i="1"/>
  <c r="AD21" i="1"/>
  <c r="AC21" i="1"/>
  <c r="AB21" i="1"/>
  <c r="AA21" i="1"/>
  <c r="Z21" i="1"/>
  <c r="Y21" i="1"/>
  <c r="X21" i="1"/>
  <c r="W21" i="1"/>
  <c r="V21" i="1"/>
  <c r="U21" i="1"/>
  <c r="T21" i="1"/>
  <c r="S21" i="1"/>
  <c r="R21" i="1"/>
  <c r="Q21" i="1"/>
  <c r="P21" i="1"/>
  <c r="O21" i="1"/>
  <c r="N21" i="1"/>
  <c r="M21" i="1"/>
  <c r="L21" i="1"/>
  <c r="K21" i="1"/>
  <c r="J21" i="1"/>
  <c r="I21" i="1"/>
  <c r="H21" i="1"/>
  <c r="G21" i="1"/>
  <c r="F21" i="1"/>
  <c r="E21" i="1"/>
  <c r="D21" i="1"/>
  <c r="C21" i="1"/>
  <c r="AH20" i="1"/>
  <c r="AG20" i="1"/>
  <c r="AF20" i="1"/>
  <c r="AE20" i="1"/>
  <c r="AD20" i="1"/>
  <c r="AC20" i="1"/>
  <c r="AB20" i="1"/>
  <c r="AA20" i="1"/>
  <c r="Z20" i="1"/>
  <c r="Y20" i="1"/>
  <c r="X20" i="1"/>
  <c r="W20" i="1"/>
  <c r="V20" i="1"/>
  <c r="U20" i="1"/>
  <c r="T20" i="1"/>
  <c r="S20" i="1"/>
  <c r="R20" i="1"/>
  <c r="Q20" i="1"/>
  <c r="P20" i="1"/>
  <c r="O20" i="1"/>
  <c r="N20" i="1"/>
  <c r="M20" i="1"/>
  <c r="L20" i="1"/>
  <c r="K20" i="1"/>
  <c r="J20" i="1"/>
  <c r="I20" i="1"/>
  <c r="H20" i="1"/>
  <c r="G20" i="1"/>
  <c r="F20" i="1"/>
  <c r="E20" i="1"/>
  <c r="D20" i="1"/>
  <c r="C20" i="1"/>
  <c r="AH19" i="1"/>
  <c r="AG19" i="1"/>
  <c r="AF19" i="1"/>
  <c r="AE19" i="1"/>
  <c r="AD19" i="1"/>
  <c r="AC19" i="1"/>
  <c r="AB19" i="1"/>
  <c r="AA19" i="1"/>
  <c r="Z19" i="1"/>
  <c r="Y19" i="1"/>
  <c r="X19" i="1"/>
  <c r="W19" i="1"/>
  <c r="V19" i="1"/>
  <c r="U19" i="1"/>
  <c r="T19" i="1"/>
  <c r="S19" i="1"/>
  <c r="R19" i="1"/>
  <c r="Q19" i="1"/>
  <c r="P19" i="1"/>
  <c r="O19" i="1"/>
  <c r="N19" i="1"/>
  <c r="M19" i="1"/>
  <c r="L19" i="1"/>
  <c r="K19" i="1"/>
  <c r="J19" i="1"/>
  <c r="I19" i="1"/>
  <c r="H19" i="1"/>
  <c r="G19" i="1"/>
  <c r="F19" i="1"/>
  <c r="E19" i="1"/>
  <c r="D19" i="1"/>
  <c r="C19" i="1"/>
  <c r="AH18" i="1"/>
  <c r="AG18" i="1"/>
  <c r="AF18" i="1"/>
  <c r="AE18" i="1"/>
  <c r="AD18" i="1"/>
  <c r="AC18" i="1"/>
  <c r="AB18" i="1"/>
  <c r="AA18" i="1"/>
  <c r="Z18" i="1"/>
  <c r="Y18" i="1"/>
  <c r="X18" i="1"/>
  <c r="W18" i="1"/>
  <c r="V18" i="1"/>
  <c r="U18" i="1"/>
  <c r="T18" i="1"/>
  <c r="S18" i="1"/>
  <c r="R18" i="1"/>
  <c r="Q18" i="1"/>
  <c r="P18" i="1"/>
  <c r="O18" i="1"/>
  <c r="N18" i="1"/>
  <c r="M18" i="1"/>
  <c r="L18" i="1"/>
  <c r="K18" i="1"/>
  <c r="J18" i="1"/>
  <c r="I18" i="1"/>
  <c r="H18" i="1"/>
  <c r="G18" i="1"/>
  <c r="F18" i="1"/>
  <c r="E18" i="1"/>
  <c r="D18" i="1"/>
  <c r="C18" i="1"/>
  <c r="C23" i="2" l="1"/>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E17" i="2"/>
  <c r="F17" i="2" s="1"/>
  <c r="G17" i="2" s="1"/>
  <c r="H17" i="2" s="1"/>
  <c r="I17" i="2" s="1"/>
  <c r="J17" i="2" s="1"/>
  <c r="K17" i="2" s="1"/>
  <c r="L17" i="2" s="1"/>
  <c r="L16" i="2" s="1"/>
  <c r="Y277" i="2"/>
  <c r="Y276" i="2"/>
  <c r="Y275" i="2"/>
  <c r="Y274" i="2"/>
  <c r="Y273" i="2"/>
  <c r="Y272" i="2"/>
  <c r="Y271" i="2"/>
  <c r="Y270" i="2"/>
  <c r="Y269" i="2"/>
  <c r="Y268" i="2"/>
  <c r="Y266" i="2"/>
  <c r="Y265" i="2"/>
  <c r="Y264" i="2"/>
  <c r="Y263" i="2"/>
  <c r="Y262" i="2"/>
  <c r="Y261" i="2"/>
  <c r="Y260" i="2"/>
  <c r="Y259" i="2"/>
  <c r="Y258" i="2"/>
  <c r="Y257" i="2"/>
  <c r="Y256" i="2"/>
  <c r="Y255" i="2"/>
  <c r="Y254" i="2"/>
  <c r="Y253" i="2"/>
  <c r="Y252" i="2"/>
  <c r="Y251" i="2"/>
  <c r="Y250" i="2"/>
  <c r="Y249" i="2"/>
  <c r="Y248" i="2"/>
  <c r="Y247" i="2"/>
  <c r="Y246" i="2"/>
  <c r="Y245" i="2"/>
  <c r="Y244" i="2"/>
  <c r="Y243" i="2"/>
  <c r="Y242" i="2"/>
  <c r="Y241" i="2"/>
  <c r="Y240" i="2"/>
  <c r="Y239" i="2"/>
  <c r="Y238" i="2"/>
  <c r="Y237" i="2"/>
  <c r="Y236" i="2"/>
  <c r="Y235" i="2"/>
  <c r="Y234" i="2"/>
  <c r="Y233" i="2"/>
  <c r="Y232" i="2"/>
  <c r="Y231" i="2"/>
  <c r="Y230" i="2"/>
  <c r="Y229" i="2"/>
  <c r="Y228" i="2"/>
  <c r="Y227" i="2"/>
  <c r="Y226" i="2"/>
  <c r="Y225" i="2"/>
  <c r="Y224" i="2"/>
  <c r="Y223" i="2"/>
  <c r="Y222" i="2"/>
  <c r="Y221" i="2"/>
  <c r="Y220" i="2"/>
  <c r="Y219" i="2"/>
  <c r="Y218" i="2"/>
  <c r="Y217" i="2"/>
  <c r="Y216" i="2"/>
  <c r="Y215" i="2"/>
  <c r="Y214" i="2"/>
  <c r="Y213" i="2"/>
  <c r="Y212" i="2"/>
  <c r="Y211" i="2"/>
  <c r="Y210" i="2"/>
  <c r="Y209" i="2"/>
  <c r="Y208" i="2"/>
  <c r="Y207" i="2"/>
  <c r="Y206" i="2"/>
  <c r="Y205" i="2"/>
  <c r="Y204" i="2"/>
  <c r="Y203" i="2"/>
  <c r="Y202" i="2"/>
  <c r="Y201" i="2"/>
  <c r="Y200" i="2"/>
  <c r="Y199" i="2"/>
  <c r="Y198" i="2"/>
  <c r="Y197" i="2"/>
  <c r="Y196" i="2"/>
  <c r="Y195" i="2"/>
  <c r="Y194" i="2"/>
  <c r="Y193" i="2"/>
  <c r="Y192" i="2"/>
  <c r="Y191" i="2"/>
  <c r="Y190" i="2"/>
  <c r="Y189" i="2"/>
  <c r="Y188" i="2"/>
  <c r="Y187" i="2"/>
  <c r="Y186" i="2"/>
  <c r="Y185" i="2"/>
  <c r="Y184" i="2"/>
  <c r="Y183" i="2"/>
  <c r="Y182" i="2"/>
  <c r="Y181" i="2"/>
  <c r="Y180" i="2"/>
  <c r="Y178" i="2"/>
  <c r="Y177" i="2"/>
  <c r="Y176" i="2"/>
  <c r="Y175" i="2"/>
  <c r="Y174" i="2"/>
  <c r="Y173" i="2"/>
  <c r="Y172" i="2"/>
  <c r="Y171" i="2"/>
  <c r="Y170" i="2"/>
  <c r="Y169" i="2"/>
  <c r="Y168" i="2"/>
  <c r="Y167" i="2"/>
  <c r="Y166" i="2"/>
  <c r="Y165" i="2"/>
  <c r="Y164" i="2"/>
  <c r="Y163" i="2"/>
  <c r="Y162" i="2"/>
  <c r="Y161" i="2"/>
  <c r="Y160" i="2"/>
  <c r="Y159" i="2"/>
  <c r="Y158" i="2"/>
  <c r="Y157" i="2"/>
  <c r="Y156" i="2"/>
  <c r="Y155" i="2"/>
  <c r="Y154" i="2"/>
  <c r="Y153" i="2"/>
  <c r="Y152" i="2"/>
  <c r="Y151" i="2"/>
  <c r="Y150" i="2"/>
  <c r="Y149" i="2"/>
  <c r="Y148" i="2"/>
  <c r="Y147" i="2"/>
  <c r="Y146" i="2"/>
  <c r="Y145" i="2"/>
  <c r="Y144" i="2"/>
  <c r="Y143" i="2"/>
  <c r="Y142" i="2"/>
  <c r="Y141" i="2"/>
  <c r="Y140" i="2"/>
  <c r="Y139" i="2"/>
  <c r="Y138" i="2"/>
  <c r="Y137" i="2"/>
  <c r="Y136" i="2"/>
  <c r="Y135" i="2"/>
  <c r="Y134" i="2"/>
  <c r="Y133" i="2"/>
  <c r="Y132" i="2"/>
  <c r="Y131" i="2"/>
  <c r="Y130" i="2"/>
  <c r="Y129" i="2"/>
  <c r="Y128" i="2"/>
  <c r="Y127" i="2"/>
  <c r="Y126" i="2"/>
  <c r="Y125" i="2"/>
  <c r="Y124" i="2"/>
  <c r="Y123" i="2"/>
  <c r="Y122" i="2"/>
  <c r="Y121" i="2"/>
  <c r="Y120" i="2"/>
  <c r="Y119" i="2"/>
  <c r="Y118" i="2"/>
  <c r="Y117" i="2"/>
  <c r="Y116" i="2"/>
  <c r="Y115" i="2"/>
  <c r="Y114" i="2"/>
  <c r="Y113" i="2"/>
  <c r="Y112" i="2"/>
  <c r="Y111" i="2"/>
  <c r="Y110" i="2"/>
  <c r="Y109" i="2"/>
  <c r="Y108" i="2"/>
  <c r="Y107" i="2"/>
  <c r="Y106"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70" i="2"/>
  <c r="Y69" i="2"/>
  <c r="Y68" i="2"/>
  <c r="Y67" i="2"/>
  <c r="Y66" i="2"/>
  <c r="Y65" i="2"/>
  <c r="Y64" i="2"/>
  <c r="Y63" i="2"/>
  <c r="Y62" i="2"/>
  <c r="Y61" i="2"/>
  <c r="Y60" i="2"/>
  <c r="Y59" i="2"/>
  <c r="Y58" i="2"/>
  <c r="Y57" i="2"/>
  <c r="Y56" i="2"/>
  <c r="Y55" i="2"/>
  <c r="Y54" i="2"/>
  <c r="Y53" i="2"/>
  <c r="Y52" i="2"/>
  <c r="Y51" i="2"/>
  <c r="Y50" i="2"/>
  <c r="Y49" i="2"/>
  <c r="Y48" i="2"/>
  <c r="Y47" i="2"/>
  <c r="Y46" i="2"/>
  <c r="Y45" i="2"/>
  <c r="Y44" i="2"/>
  <c r="Y43" i="2"/>
  <c r="Y42" i="2"/>
  <c r="Y41" i="2"/>
  <c r="Y40" i="2"/>
  <c r="Y39" i="2"/>
  <c r="Y38" i="2"/>
  <c r="Y37" i="2"/>
  <c r="Y36" i="2"/>
  <c r="Y35" i="2"/>
  <c r="Y34" i="2"/>
  <c r="Y33" i="2"/>
  <c r="Y32" i="2"/>
  <c r="Y31" i="2"/>
  <c r="Y30" i="2"/>
  <c r="Y29" i="2"/>
  <c r="Y28" i="2"/>
  <c r="Y27" i="2"/>
  <c r="Y26" i="2"/>
  <c r="Y25" i="2"/>
  <c r="Y24" i="2"/>
  <c r="Y23" i="2"/>
  <c r="Y22" i="2"/>
  <c r="AO19" i="2"/>
  <c r="AN19" i="2"/>
  <c r="AM19" i="2"/>
  <c r="AM48" i="2" s="1"/>
  <c r="AL19" i="2"/>
  <c r="AK19" i="2"/>
  <c r="AJ19" i="2"/>
  <c r="AI19" i="2"/>
  <c r="AI48" i="2" s="1"/>
  <c r="AH19" i="2"/>
  <c r="AG19" i="2"/>
  <c r="AF19" i="2"/>
  <c r="AF48" i="2" s="1"/>
  <c r="AE19" i="2"/>
  <c r="AE48" i="2" s="1"/>
  <c r="AD19" i="2"/>
  <c r="AC19" i="2"/>
  <c r="AB19" i="2"/>
  <c r="AA19" i="2"/>
  <c r="AA49" i="2" s="1"/>
  <c r="Z19" i="2"/>
  <c r="T19" i="2"/>
  <c r="S19" i="2"/>
  <c r="R19" i="2"/>
  <c r="Q19" i="2"/>
  <c r="P19" i="2"/>
  <c r="O19" i="2"/>
  <c r="N19" i="2"/>
  <c r="M19" i="2"/>
  <c r="L19" i="2"/>
  <c r="K19" i="2"/>
  <c r="J19" i="2"/>
  <c r="I19" i="2"/>
  <c r="H19" i="2"/>
  <c r="G19" i="2"/>
  <c r="F19" i="2"/>
  <c r="E19" i="2"/>
  <c r="U274" i="2" l="1"/>
  <c r="U277" i="2"/>
  <c r="U273" i="2"/>
  <c r="U270" i="2"/>
  <c r="U266" i="2"/>
  <c r="U262" i="2"/>
  <c r="U258" i="2"/>
  <c r="U254" i="2"/>
  <c r="U250" i="2"/>
  <c r="U246" i="2"/>
  <c r="U242" i="2"/>
  <c r="U239" i="2"/>
  <c r="U235" i="2"/>
  <c r="U232" i="2"/>
  <c r="U228" i="2"/>
  <c r="U224" i="2"/>
  <c r="U220" i="2"/>
  <c r="U213" i="2"/>
  <c r="U209" i="2"/>
  <c r="U206" i="2"/>
  <c r="U202" i="2"/>
  <c r="U199" i="2"/>
  <c r="U195" i="2"/>
  <c r="U192" i="2"/>
  <c r="U188" i="2"/>
  <c r="U181" i="2"/>
  <c r="U177" i="2"/>
  <c r="U173" i="2"/>
  <c r="U169" i="2"/>
  <c r="U165" i="2"/>
  <c r="U161" i="2"/>
  <c r="U158" i="2"/>
  <c r="U154" i="2"/>
  <c r="U151" i="2"/>
  <c r="U147" i="2"/>
  <c r="U144" i="2"/>
  <c r="U140" i="2"/>
  <c r="U133" i="2"/>
  <c r="U129" i="2"/>
  <c r="U126" i="2"/>
  <c r="U122" i="2"/>
  <c r="U119" i="2"/>
  <c r="U115" i="2"/>
  <c r="U112" i="2"/>
  <c r="U108" i="2"/>
  <c r="U103" i="2"/>
  <c r="U97" i="2"/>
  <c r="U94" i="2"/>
  <c r="U89" i="2"/>
  <c r="U86" i="2"/>
  <c r="U81" i="2"/>
  <c r="U78" i="2"/>
  <c r="U73" i="2"/>
  <c r="U70" i="2"/>
  <c r="U65" i="2"/>
  <c r="U62" i="2"/>
  <c r="U57" i="2"/>
  <c r="U54" i="2"/>
  <c r="U49" i="2"/>
  <c r="U46" i="2"/>
  <c r="U41" i="2"/>
  <c r="U38" i="2"/>
  <c r="U33" i="2"/>
  <c r="U30" i="2"/>
  <c r="U25" i="2"/>
  <c r="U56" i="2"/>
  <c r="U51" i="2"/>
  <c r="U40" i="2"/>
  <c r="U35" i="2"/>
  <c r="U24" i="2"/>
  <c r="U271" i="2"/>
  <c r="U259" i="2"/>
  <c r="U251" i="2"/>
  <c r="U240" i="2"/>
  <c r="U229" i="2"/>
  <c r="U217" i="2"/>
  <c r="U207" i="2"/>
  <c r="U196" i="2"/>
  <c r="U185" i="2"/>
  <c r="U174" i="2"/>
  <c r="U166" i="2"/>
  <c r="U276" i="2"/>
  <c r="U269" i="2"/>
  <c r="U265" i="2"/>
  <c r="U261" i="2"/>
  <c r="U257" i="2"/>
  <c r="U253" i="2"/>
  <c r="U249" i="2"/>
  <c r="U245" i="2"/>
  <c r="U241" i="2"/>
  <c r="U238" i="2"/>
  <c r="U234" i="2"/>
  <c r="U231" i="2"/>
  <c r="U227" i="2"/>
  <c r="U223" i="2"/>
  <c r="U219" i="2"/>
  <c r="U216" i="2"/>
  <c r="U212" i="2"/>
  <c r="U205" i="2"/>
  <c r="U201" i="2"/>
  <c r="U198" i="2"/>
  <c r="U194" i="2"/>
  <c r="U191" i="2"/>
  <c r="U187" i="2"/>
  <c r="U184" i="2"/>
  <c r="U180" i="2"/>
  <c r="U176" i="2"/>
  <c r="U172" i="2"/>
  <c r="U168" i="2"/>
  <c r="U164" i="2"/>
  <c r="U157" i="2"/>
  <c r="U153" i="2"/>
  <c r="U150" i="2"/>
  <c r="U146" i="2"/>
  <c r="U143" i="2"/>
  <c r="U139" i="2"/>
  <c r="U136" i="2"/>
  <c r="U132" i="2"/>
  <c r="U125" i="2"/>
  <c r="U121" i="2"/>
  <c r="U118" i="2"/>
  <c r="U114" i="2"/>
  <c r="U111" i="2"/>
  <c r="U105" i="2"/>
  <c r="U102" i="2"/>
  <c r="U99" i="2"/>
  <c r="U96" i="2"/>
  <c r="U91" i="2"/>
  <c r="U88" i="2"/>
  <c r="U83" i="2"/>
  <c r="U80" i="2"/>
  <c r="U75" i="2"/>
  <c r="U72" i="2"/>
  <c r="U67" i="2"/>
  <c r="U64" i="2"/>
  <c r="U59" i="2"/>
  <c r="U48" i="2"/>
  <c r="U43" i="2"/>
  <c r="U32" i="2"/>
  <c r="U27" i="2"/>
  <c r="U26" i="2"/>
  <c r="U267" i="2"/>
  <c r="U263" i="2"/>
  <c r="U255" i="2"/>
  <c r="U243" i="2"/>
  <c r="U221" i="2"/>
  <c r="U210" i="2"/>
  <c r="U200" i="2"/>
  <c r="U189" i="2"/>
  <c r="U178" i="2"/>
  <c r="U162" i="2"/>
  <c r="U275" i="2"/>
  <c r="U272" i="2"/>
  <c r="U268" i="2"/>
  <c r="U264" i="2"/>
  <c r="U260" i="2"/>
  <c r="U256" i="2"/>
  <c r="U252" i="2"/>
  <c r="U248" i="2"/>
  <c r="U244" i="2"/>
  <c r="U237" i="2"/>
  <c r="U233" i="2"/>
  <c r="U230" i="2"/>
  <c r="U226" i="2"/>
  <c r="U222" i="2"/>
  <c r="U218" i="2"/>
  <c r="U215" i="2"/>
  <c r="U211" i="2"/>
  <c r="U208" i="2"/>
  <c r="U204" i="2"/>
  <c r="U197" i="2"/>
  <c r="U193" i="2"/>
  <c r="U190" i="2"/>
  <c r="U186" i="2"/>
  <c r="U183" i="2"/>
  <c r="U175" i="2"/>
  <c r="U171" i="2"/>
  <c r="U167" i="2"/>
  <c r="U163" i="2"/>
  <c r="U160" i="2"/>
  <c r="U156" i="2"/>
  <c r="U149" i="2"/>
  <c r="U145" i="2"/>
  <c r="U142" i="2"/>
  <c r="U138" i="2"/>
  <c r="U135" i="2"/>
  <c r="U131" i="2"/>
  <c r="U128" i="2"/>
  <c r="U124" i="2"/>
  <c r="U117" i="2"/>
  <c r="U113" i="2"/>
  <c r="U110" i="2"/>
  <c r="U107" i="2"/>
  <c r="U104" i="2"/>
  <c r="U101" i="2"/>
  <c r="U98" i="2"/>
  <c r="U93" i="2"/>
  <c r="U90" i="2"/>
  <c r="U85" i="2"/>
  <c r="U82" i="2"/>
  <c r="U77" i="2"/>
  <c r="U74" i="2"/>
  <c r="U69" i="2"/>
  <c r="U66" i="2"/>
  <c r="U61" i="2"/>
  <c r="U58" i="2"/>
  <c r="U53" i="2"/>
  <c r="U50" i="2"/>
  <c r="U45" i="2"/>
  <c r="U42" i="2"/>
  <c r="U37" i="2"/>
  <c r="U34" i="2"/>
  <c r="U29" i="2"/>
  <c r="U247" i="2"/>
  <c r="U236" i="2"/>
  <c r="U225" i="2"/>
  <c r="U214" i="2"/>
  <c r="U203" i="2"/>
  <c r="U182" i="2"/>
  <c r="U170" i="2"/>
  <c r="U159" i="2"/>
  <c r="U130" i="2"/>
  <c r="U116" i="2"/>
  <c r="U92" i="2"/>
  <c r="U71" i="2"/>
  <c r="U60" i="2"/>
  <c r="U39" i="2"/>
  <c r="U28" i="2"/>
  <c r="U47" i="2"/>
  <c r="U134" i="2"/>
  <c r="U95" i="2"/>
  <c r="U63" i="2"/>
  <c r="U31" i="2"/>
  <c r="U155" i="2"/>
  <c r="U141" i="2"/>
  <c r="U127" i="2"/>
  <c r="U100" i="2"/>
  <c r="U79" i="2"/>
  <c r="U68" i="2"/>
  <c r="U36" i="2"/>
  <c r="U120" i="2"/>
  <c r="U84" i="2"/>
  <c r="U152" i="2"/>
  <c r="U137" i="2"/>
  <c r="U123" i="2"/>
  <c r="U109" i="2"/>
  <c r="U87" i="2"/>
  <c r="U76" i="2"/>
  <c r="U55" i="2"/>
  <c r="U44" i="2"/>
  <c r="U23" i="2"/>
  <c r="U148" i="2"/>
  <c r="U106" i="2"/>
  <c r="U52" i="2"/>
  <c r="H16" i="2"/>
  <c r="I16" i="2"/>
  <c r="F16" i="2"/>
  <c r="J16" i="2"/>
  <c r="G16" i="2"/>
  <c r="K16" i="2"/>
  <c r="AB277" i="2"/>
  <c r="AB276" i="2"/>
  <c r="AB275" i="2"/>
  <c r="AB274" i="2"/>
  <c r="AB273" i="2"/>
  <c r="AB272" i="2"/>
  <c r="AB271" i="2"/>
  <c r="AB270" i="2"/>
  <c r="AB269" i="2"/>
  <c r="AB268" i="2"/>
  <c r="AB267" i="2"/>
  <c r="AB266" i="2"/>
  <c r="AB265" i="2"/>
  <c r="AB264" i="2"/>
  <c r="AB263" i="2"/>
  <c r="AB262" i="2"/>
  <c r="AB261" i="2"/>
  <c r="AB260" i="2"/>
  <c r="AB259" i="2"/>
  <c r="AB258" i="2"/>
  <c r="AB257" i="2"/>
  <c r="AB256" i="2"/>
  <c r="AB255" i="2"/>
  <c r="AB254" i="2"/>
  <c r="AB253" i="2"/>
  <c r="AB252" i="2"/>
  <c r="AB251" i="2"/>
  <c r="AB250" i="2"/>
  <c r="AB249" i="2"/>
  <c r="AB248" i="2"/>
  <c r="AB247" i="2"/>
  <c r="AB246" i="2"/>
  <c r="AB245" i="2"/>
  <c r="AB244" i="2"/>
  <c r="AB243" i="2"/>
  <c r="AB242" i="2"/>
  <c r="AB241" i="2"/>
  <c r="AB240" i="2"/>
  <c r="AB239" i="2"/>
  <c r="AB238" i="2"/>
  <c r="AB237" i="2"/>
  <c r="AB236" i="2"/>
  <c r="AB235" i="2"/>
  <c r="AB234" i="2"/>
  <c r="AB233" i="2"/>
  <c r="AB232" i="2"/>
  <c r="AB231" i="2"/>
  <c r="AB230" i="2"/>
  <c r="AB229" i="2"/>
  <c r="AB228" i="2"/>
  <c r="AB227" i="2"/>
  <c r="AB226" i="2"/>
  <c r="AB225" i="2"/>
  <c r="AB224" i="2"/>
  <c r="AB223" i="2"/>
  <c r="AB222" i="2"/>
  <c r="AB221" i="2"/>
  <c r="AB220" i="2"/>
  <c r="AB219" i="2"/>
  <c r="AB218" i="2"/>
  <c r="AB217" i="2"/>
  <c r="AB216" i="2"/>
  <c r="AB215" i="2"/>
  <c r="AB214" i="2"/>
  <c r="AB213" i="2"/>
  <c r="AB212" i="2"/>
  <c r="AB211" i="2"/>
  <c r="AB210" i="2"/>
  <c r="AB209" i="2"/>
  <c r="AB208" i="2"/>
  <c r="AB207" i="2"/>
  <c r="AB206" i="2"/>
  <c r="AB205" i="2"/>
  <c r="AB204" i="2"/>
  <c r="AB203" i="2"/>
  <c r="AB202" i="2"/>
  <c r="AB201" i="2"/>
  <c r="AB200" i="2"/>
  <c r="AB199" i="2"/>
  <c r="AB198" i="2"/>
  <c r="AB197" i="2"/>
  <c r="AB196" i="2"/>
  <c r="AB195" i="2"/>
  <c r="AB194" i="2"/>
  <c r="AB193" i="2"/>
  <c r="AB192" i="2"/>
  <c r="AB191" i="2"/>
  <c r="AB190" i="2"/>
  <c r="AB189" i="2"/>
  <c r="AB188" i="2"/>
  <c r="AB187" i="2"/>
  <c r="AB186" i="2"/>
  <c r="AB185" i="2"/>
  <c r="AB184" i="2"/>
  <c r="AB183" i="2"/>
  <c r="AB182" i="2"/>
  <c r="AB181" i="2"/>
  <c r="AB180" i="2"/>
  <c r="AB178" i="2"/>
  <c r="AB177" i="2"/>
  <c r="AB176" i="2"/>
  <c r="AB175" i="2"/>
  <c r="AB174" i="2"/>
  <c r="AB173" i="2"/>
  <c r="AB172" i="2"/>
  <c r="AB171" i="2"/>
  <c r="AB170" i="2"/>
  <c r="AB169" i="2"/>
  <c r="AB168" i="2"/>
  <c r="AB167" i="2"/>
  <c r="AB166" i="2"/>
  <c r="AB165" i="2"/>
  <c r="AB164" i="2"/>
  <c r="AB163" i="2"/>
  <c r="AB162" i="2"/>
  <c r="AB161" i="2"/>
  <c r="AB160" i="2"/>
  <c r="AB159" i="2"/>
  <c r="AB158" i="2"/>
  <c r="AB157" i="2"/>
  <c r="AB156" i="2"/>
  <c r="AB155" i="2"/>
  <c r="AB154" i="2"/>
  <c r="AB153" i="2"/>
  <c r="AB152" i="2"/>
  <c r="AB151" i="2"/>
  <c r="AB150" i="2"/>
  <c r="AB149" i="2"/>
  <c r="AB148" i="2"/>
  <c r="AB147" i="2"/>
  <c r="AB146" i="2"/>
  <c r="AB145" i="2"/>
  <c r="AB144" i="2"/>
  <c r="AB143" i="2"/>
  <c r="AB142" i="2"/>
  <c r="AB141" i="2"/>
  <c r="AB140" i="2"/>
  <c r="AB139" i="2"/>
  <c r="AB138" i="2"/>
  <c r="AB137" i="2"/>
  <c r="AB136" i="2"/>
  <c r="AB135" i="2"/>
  <c r="AB134" i="2"/>
  <c r="AB133" i="2"/>
  <c r="AB132" i="2"/>
  <c r="AB131" i="2"/>
  <c r="AB130" i="2"/>
  <c r="AB129" i="2"/>
  <c r="AB128" i="2"/>
  <c r="AB127" i="2"/>
  <c r="AB126" i="2"/>
  <c r="AB125" i="2"/>
  <c r="AB124" i="2"/>
  <c r="AB123" i="2"/>
  <c r="AB122" i="2"/>
  <c r="AB121" i="2"/>
  <c r="AB120" i="2"/>
  <c r="AB119" i="2"/>
  <c r="AB118" i="2"/>
  <c r="AB117" i="2"/>
  <c r="AB116" i="2"/>
  <c r="AB115" i="2"/>
  <c r="AB114" i="2"/>
  <c r="AB113" i="2"/>
  <c r="AB112" i="2"/>
  <c r="AB111" i="2"/>
  <c r="AB110" i="2"/>
  <c r="AB109" i="2"/>
  <c r="AB108" i="2"/>
  <c r="AB107" i="2"/>
  <c r="AB106" i="2"/>
  <c r="AB105" i="2"/>
  <c r="AB104" i="2"/>
  <c r="AB103" i="2"/>
  <c r="AB102" i="2"/>
  <c r="AB101" i="2"/>
  <c r="AB100" i="2"/>
  <c r="AB99" i="2"/>
  <c r="AB98" i="2"/>
  <c r="AB97" i="2"/>
  <c r="AB96" i="2"/>
  <c r="AB95" i="2"/>
  <c r="AB94" i="2"/>
  <c r="AB93" i="2"/>
  <c r="AB92" i="2"/>
  <c r="AB91" i="2"/>
  <c r="AB90" i="2"/>
  <c r="AB89" i="2"/>
  <c r="AB88" i="2"/>
  <c r="AB87" i="2"/>
  <c r="AB86" i="2"/>
  <c r="AB85" i="2"/>
  <c r="AB84" i="2"/>
  <c r="AB83" i="2"/>
  <c r="AB82" i="2"/>
  <c r="AB81" i="2"/>
  <c r="AB80" i="2"/>
  <c r="AB79" i="2"/>
  <c r="AB78" i="2"/>
  <c r="AB77" i="2"/>
  <c r="AB76" i="2"/>
  <c r="AB75" i="2"/>
  <c r="AB74" i="2"/>
  <c r="AB73" i="2"/>
  <c r="AB72" i="2"/>
  <c r="AB71" i="2"/>
  <c r="AB70" i="2"/>
  <c r="AB69" i="2"/>
  <c r="AB68" i="2"/>
  <c r="AB67" i="2"/>
  <c r="AB66" i="2"/>
  <c r="AB65" i="2"/>
  <c r="AB64" i="2"/>
  <c r="AB63" i="2"/>
  <c r="AB62" i="2"/>
  <c r="AB61" i="2"/>
  <c r="AB60" i="2"/>
  <c r="AB59" i="2"/>
  <c r="AB58" i="2"/>
  <c r="AB57" i="2"/>
  <c r="AB56" i="2"/>
  <c r="AB55" i="2"/>
  <c r="AB54" i="2"/>
  <c r="AB53" i="2"/>
  <c r="AB52" i="2"/>
  <c r="AB51" i="2"/>
  <c r="AB50" i="2"/>
  <c r="AJ277" i="2"/>
  <c r="AJ276" i="2"/>
  <c r="AJ275" i="2"/>
  <c r="AJ274" i="2"/>
  <c r="AJ273" i="2"/>
  <c r="AJ272" i="2"/>
  <c r="AJ271" i="2"/>
  <c r="AJ270" i="2"/>
  <c r="AJ269" i="2"/>
  <c r="AJ268" i="2"/>
  <c r="AJ267" i="2"/>
  <c r="AJ266" i="2"/>
  <c r="AJ265" i="2"/>
  <c r="AJ264" i="2"/>
  <c r="AJ263" i="2"/>
  <c r="AJ262" i="2"/>
  <c r="AJ261" i="2"/>
  <c r="AJ260" i="2"/>
  <c r="AJ259" i="2"/>
  <c r="AJ258" i="2"/>
  <c r="AJ257" i="2"/>
  <c r="AJ256" i="2"/>
  <c r="AJ255" i="2"/>
  <c r="AJ254" i="2"/>
  <c r="AJ253" i="2"/>
  <c r="AJ252" i="2"/>
  <c r="AJ251" i="2"/>
  <c r="AJ250" i="2"/>
  <c r="AJ249" i="2"/>
  <c r="AJ248" i="2"/>
  <c r="AJ247" i="2"/>
  <c r="AJ246" i="2"/>
  <c r="AJ245" i="2"/>
  <c r="AJ244" i="2"/>
  <c r="AJ243" i="2"/>
  <c r="AJ242" i="2"/>
  <c r="AJ241" i="2"/>
  <c r="AJ240" i="2"/>
  <c r="AJ239" i="2"/>
  <c r="AJ238" i="2"/>
  <c r="AJ237" i="2"/>
  <c r="AJ236" i="2"/>
  <c r="AJ235" i="2"/>
  <c r="AJ234" i="2"/>
  <c r="AJ233" i="2"/>
  <c r="AJ232" i="2"/>
  <c r="AJ231" i="2"/>
  <c r="AJ230" i="2"/>
  <c r="AJ229" i="2"/>
  <c r="AJ228" i="2"/>
  <c r="AJ227" i="2"/>
  <c r="AJ226" i="2"/>
  <c r="AJ225" i="2"/>
  <c r="AJ224" i="2"/>
  <c r="AJ223" i="2"/>
  <c r="AJ222" i="2"/>
  <c r="AJ221" i="2"/>
  <c r="AJ220" i="2"/>
  <c r="AJ219" i="2"/>
  <c r="AJ218" i="2"/>
  <c r="AJ217" i="2"/>
  <c r="AJ216" i="2"/>
  <c r="AJ215" i="2"/>
  <c r="AJ214" i="2"/>
  <c r="AJ213" i="2"/>
  <c r="AJ212" i="2"/>
  <c r="AJ211" i="2"/>
  <c r="AJ210" i="2"/>
  <c r="AJ209" i="2"/>
  <c r="AJ208" i="2"/>
  <c r="AJ207" i="2"/>
  <c r="AJ206" i="2"/>
  <c r="AJ205" i="2"/>
  <c r="AJ204" i="2"/>
  <c r="AJ203" i="2"/>
  <c r="AJ202" i="2"/>
  <c r="AJ201" i="2"/>
  <c r="AJ200" i="2"/>
  <c r="AJ199" i="2"/>
  <c r="AJ198" i="2"/>
  <c r="AJ197" i="2"/>
  <c r="AJ196" i="2"/>
  <c r="AJ195" i="2"/>
  <c r="AJ194" i="2"/>
  <c r="AJ193" i="2"/>
  <c r="AJ192" i="2"/>
  <c r="AJ191" i="2"/>
  <c r="AJ190" i="2"/>
  <c r="AJ189" i="2"/>
  <c r="AJ188" i="2"/>
  <c r="AJ187" i="2"/>
  <c r="AJ186" i="2"/>
  <c r="AJ185" i="2"/>
  <c r="AJ184" i="2"/>
  <c r="AJ183" i="2"/>
  <c r="AJ182" i="2"/>
  <c r="AJ181" i="2"/>
  <c r="AJ180" i="2"/>
  <c r="AJ179" i="2"/>
  <c r="AJ178" i="2"/>
  <c r="AJ177" i="2"/>
  <c r="AJ176" i="2"/>
  <c r="AJ175" i="2"/>
  <c r="AJ174" i="2"/>
  <c r="AJ173" i="2"/>
  <c r="AJ172" i="2"/>
  <c r="AJ171" i="2"/>
  <c r="AJ170" i="2"/>
  <c r="AJ169" i="2"/>
  <c r="AJ168" i="2"/>
  <c r="AJ167" i="2"/>
  <c r="AJ166" i="2"/>
  <c r="AJ165" i="2"/>
  <c r="AJ164" i="2"/>
  <c r="AJ163" i="2"/>
  <c r="AJ162" i="2"/>
  <c r="AJ161" i="2"/>
  <c r="AJ160" i="2"/>
  <c r="AJ159" i="2"/>
  <c r="AJ158" i="2"/>
  <c r="AJ157" i="2"/>
  <c r="AJ156" i="2"/>
  <c r="AJ155" i="2"/>
  <c r="AJ154" i="2"/>
  <c r="AJ153" i="2"/>
  <c r="AJ152" i="2"/>
  <c r="AJ151" i="2"/>
  <c r="AJ150" i="2"/>
  <c r="AJ149" i="2"/>
  <c r="AJ148" i="2"/>
  <c r="AJ147" i="2"/>
  <c r="AJ146" i="2"/>
  <c r="AJ145" i="2"/>
  <c r="AJ144" i="2"/>
  <c r="AJ143" i="2"/>
  <c r="AJ142" i="2"/>
  <c r="AJ141" i="2"/>
  <c r="AJ140" i="2"/>
  <c r="AJ139" i="2"/>
  <c r="AJ138" i="2"/>
  <c r="AJ137" i="2"/>
  <c r="AJ136" i="2"/>
  <c r="AJ135" i="2"/>
  <c r="AJ134" i="2"/>
  <c r="AJ133" i="2"/>
  <c r="AJ132" i="2"/>
  <c r="AJ131" i="2"/>
  <c r="AJ130" i="2"/>
  <c r="AJ129" i="2"/>
  <c r="AJ128" i="2"/>
  <c r="AJ127" i="2"/>
  <c r="AJ126" i="2"/>
  <c r="AJ125" i="2"/>
  <c r="AJ124" i="2"/>
  <c r="AJ123" i="2"/>
  <c r="AJ122" i="2"/>
  <c r="AJ121" i="2"/>
  <c r="AJ120" i="2"/>
  <c r="AJ119" i="2"/>
  <c r="AJ118" i="2"/>
  <c r="AJ117" i="2"/>
  <c r="AJ116" i="2"/>
  <c r="AJ115" i="2"/>
  <c r="AJ114" i="2"/>
  <c r="AJ113" i="2"/>
  <c r="AJ112" i="2"/>
  <c r="AJ111" i="2"/>
  <c r="AJ110" i="2"/>
  <c r="AJ109" i="2"/>
  <c r="AJ108" i="2"/>
  <c r="AJ107" i="2"/>
  <c r="AJ106" i="2"/>
  <c r="AJ105" i="2"/>
  <c r="AJ104" i="2"/>
  <c r="AJ103" i="2"/>
  <c r="AJ102" i="2"/>
  <c r="AJ101" i="2"/>
  <c r="AJ100" i="2"/>
  <c r="AJ99" i="2"/>
  <c r="AJ98" i="2"/>
  <c r="AJ97" i="2"/>
  <c r="AJ96" i="2"/>
  <c r="AJ95" i="2"/>
  <c r="AJ94" i="2"/>
  <c r="AJ93" i="2"/>
  <c r="AJ92" i="2"/>
  <c r="AJ91" i="2"/>
  <c r="AJ90" i="2"/>
  <c r="AJ89" i="2"/>
  <c r="AJ88" i="2"/>
  <c r="AJ87" i="2"/>
  <c r="AJ86" i="2"/>
  <c r="AJ85" i="2"/>
  <c r="AJ84" i="2"/>
  <c r="AJ83" i="2"/>
  <c r="AJ82" i="2"/>
  <c r="AJ81" i="2"/>
  <c r="AJ80" i="2"/>
  <c r="AJ79" i="2"/>
  <c r="AJ78" i="2"/>
  <c r="AJ77" i="2"/>
  <c r="AJ76" i="2"/>
  <c r="AJ75" i="2"/>
  <c r="AJ74" i="2"/>
  <c r="AJ73" i="2"/>
  <c r="AJ72" i="2"/>
  <c r="AJ71" i="2"/>
  <c r="AJ70" i="2"/>
  <c r="AJ69" i="2"/>
  <c r="AJ68" i="2"/>
  <c r="AJ67" i="2"/>
  <c r="AJ66" i="2"/>
  <c r="AJ65" i="2"/>
  <c r="AJ64" i="2"/>
  <c r="AJ63" i="2"/>
  <c r="AJ62" i="2"/>
  <c r="AJ61" i="2"/>
  <c r="AJ60" i="2"/>
  <c r="AJ59" i="2"/>
  <c r="AJ58" i="2"/>
  <c r="AJ57" i="2"/>
  <c r="AJ56" i="2"/>
  <c r="AJ55" i="2"/>
  <c r="AJ54" i="2"/>
  <c r="AJ53" i="2"/>
  <c r="AJ52" i="2"/>
  <c r="AJ51" i="2"/>
  <c r="AJ50" i="2"/>
  <c r="AJ49" i="2"/>
  <c r="AN277" i="2"/>
  <c r="AN276" i="2"/>
  <c r="AN275" i="2"/>
  <c r="AN274" i="2"/>
  <c r="AN273" i="2"/>
  <c r="AN272" i="2"/>
  <c r="AN271" i="2"/>
  <c r="AN270" i="2"/>
  <c r="AN269" i="2"/>
  <c r="AN268" i="2"/>
  <c r="AN267" i="2"/>
  <c r="AN266" i="2"/>
  <c r="AN265" i="2"/>
  <c r="AN264" i="2"/>
  <c r="AN263" i="2"/>
  <c r="AN262" i="2"/>
  <c r="AN261" i="2"/>
  <c r="AN260" i="2"/>
  <c r="AN259" i="2"/>
  <c r="AN258" i="2"/>
  <c r="AN257" i="2"/>
  <c r="AN256" i="2"/>
  <c r="AN255" i="2"/>
  <c r="AN254" i="2"/>
  <c r="AN253" i="2"/>
  <c r="AN252" i="2"/>
  <c r="AN251" i="2"/>
  <c r="AN250" i="2"/>
  <c r="AN249" i="2"/>
  <c r="AN248" i="2"/>
  <c r="AN247" i="2"/>
  <c r="AN246" i="2"/>
  <c r="AN245" i="2"/>
  <c r="AN244" i="2"/>
  <c r="AN243" i="2"/>
  <c r="AN242" i="2"/>
  <c r="AN241" i="2"/>
  <c r="AN240" i="2"/>
  <c r="AN239" i="2"/>
  <c r="AN238" i="2"/>
  <c r="AN237" i="2"/>
  <c r="AN236" i="2"/>
  <c r="AN235" i="2"/>
  <c r="AN234" i="2"/>
  <c r="AN233" i="2"/>
  <c r="AN232" i="2"/>
  <c r="AN231" i="2"/>
  <c r="AN230" i="2"/>
  <c r="AN229" i="2"/>
  <c r="AN228" i="2"/>
  <c r="AN227" i="2"/>
  <c r="AN226" i="2"/>
  <c r="AN225" i="2"/>
  <c r="AN224" i="2"/>
  <c r="AN223" i="2"/>
  <c r="AN222" i="2"/>
  <c r="AN221" i="2"/>
  <c r="AN220" i="2"/>
  <c r="AN219" i="2"/>
  <c r="AN218" i="2"/>
  <c r="AN217" i="2"/>
  <c r="AN216" i="2"/>
  <c r="AN215" i="2"/>
  <c r="AN214" i="2"/>
  <c r="AN213" i="2"/>
  <c r="AN212" i="2"/>
  <c r="AN211" i="2"/>
  <c r="AN210" i="2"/>
  <c r="AN209" i="2"/>
  <c r="AN208" i="2"/>
  <c r="AN207" i="2"/>
  <c r="AN206" i="2"/>
  <c r="AN205" i="2"/>
  <c r="AN204" i="2"/>
  <c r="AN203" i="2"/>
  <c r="AN202" i="2"/>
  <c r="AN201" i="2"/>
  <c r="AN200" i="2"/>
  <c r="AN199" i="2"/>
  <c r="AN198" i="2"/>
  <c r="AN197" i="2"/>
  <c r="AN196" i="2"/>
  <c r="AN195" i="2"/>
  <c r="AN194" i="2"/>
  <c r="AN193" i="2"/>
  <c r="AN192" i="2"/>
  <c r="AN191" i="2"/>
  <c r="AN190" i="2"/>
  <c r="AN189" i="2"/>
  <c r="AN188" i="2"/>
  <c r="AN187" i="2"/>
  <c r="AN186" i="2"/>
  <c r="AN185" i="2"/>
  <c r="AN184" i="2"/>
  <c r="AN183" i="2"/>
  <c r="AN182" i="2"/>
  <c r="AN181" i="2"/>
  <c r="AN180" i="2"/>
  <c r="AN179" i="2"/>
  <c r="AN178" i="2"/>
  <c r="AN177" i="2"/>
  <c r="AN176" i="2"/>
  <c r="AN175" i="2"/>
  <c r="AN174" i="2"/>
  <c r="AN173" i="2"/>
  <c r="AN172" i="2"/>
  <c r="AN171" i="2"/>
  <c r="AN170" i="2"/>
  <c r="AN169" i="2"/>
  <c r="AN168" i="2"/>
  <c r="AN167" i="2"/>
  <c r="AN166" i="2"/>
  <c r="AN165" i="2"/>
  <c r="AN164" i="2"/>
  <c r="AN163" i="2"/>
  <c r="AN162" i="2"/>
  <c r="AN161" i="2"/>
  <c r="AN160" i="2"/>
  <c r="AN159" i="2"/>
  <c r="AN158" i="2"/>
  <c r="AN157" i="2"/>
  <c r="AN156" i="2"/>
  <c r="AN155" i="2"/>
  <c r="AN154" i="2"/>
  <c r="AN153" i="2"/>
  <c r="AN152" i="2"/>
  <c r="AN151" i="2"/>
  <c r="AN150" i="2"/>
  <c r="AN149" i="2"/>
  <c r="AN148" i="2"/>
  <c r="AN147" i="2"/>
  <c r="AN146" i="2"/>
  <c r="AN145" i="2"/>
  <c r="AN144" i="2"/>
  <c r="AN143" i="2"/>
  <c r="AN142" i="2"/>
  <c r="AN141" i="2"/>
  <c r="AN140" i="2"/>
  <c r="AN139" i="2"/>
  <c r="AN138" i="2"/>
  <c r="AN137" i="2"/>
  <c r="AN136" i="2"/>
  <c r="AN135" i="2"/>
  <c r="AN134" i="2"/>
  <c r="AN133" i="2"/>
  <c r="AN132" i="2"/>
  <c r="AN131" i="2"/>
  <c r="AN130" i="2"/>
  <c r="AN129" i="2"/>
  <c r="AN128" i="2"/>
  <c r="AN127" i="2"/>
  <c r="AN126" i="2"/>
  <c r="AN125" i="2"/>
  <c r="AN124" i="2"/>
  <c r="AN123" i="2"/>
  <c r="AN122" i="2"/>
  <c r="AN121" i="2"/>
  <c r="AN120" i="2"/>
  <c r="AN119" i="2"/>
  <c r="AN118" i="2"/>
  <c r="AN117" i="2"/>
  <c r="AN116" i="2"/>
  <c r="AN115" i="2"/>
  <c r="AN114" i="2"/>
  <c r="AN113" i="2"/>
  <c r="AN112" i="2"/>
  <c r="AN111" i="2"/>
  <c r="AN110" i="2"/>
  <c r="AN109" i="2"/>
  <c r="AN108" i="2"/>
  <c r="AN107" i="2"/>
  <c r="AN106" i="2"/>
  <c r="AN105" i="2"/>
  <c r="AN104" i="2"/>
  <c r="AN103" i="2"/>
  <c r="AN102" i="2"/>
  <c r="AN101" i="2"/>
  <c r="AN100" i="2"/>
  <c r="AN99" i="2"/>
  <c r="AN98" i="2"/>
  <c r="AN97" i="2"/>
  <c r="AN96" i="2"/>
  <c r="AN95" i="2"/>
  <c r="AN94" i="2"/>
  <c r="AN93" i="2"/>
  <c r="AN92" i="2"/>
  <c r="AN91" i="2"/>
  <c r="AN90" i="2"/>
  <c r="AN89" i="2"/>
  <c r="AN88" i="2"/>
  <c r="AN87" i="2"/>
  <c r="AN86" i="2"/>
  <c r="AN85" i="2"/>
  <c r="AN84" i="2"/>
  <c r="AN83" i="2"/>
  <c r="AN82" i="2"/>
  <c r="AN81" i="2"/>
  <c r="AN80" i="2"/>
  <c r="AN79" i="2"/>
  <c r="AN78" i="2"/>
  <c r="AN77" i="2"/>
  <c r="AN76" i="2"/>
  <c r="AN75" i="2"/>
  <c r="AN74" i="2"/>
  <c r="AN73" i="2"/>
  <c r="AN72" i="2"/>
  <c r="AN71" i="2"/>
  <c r="AN70" i="2"/>
  <c r="AN69" i="2"/>
  <c r="AN68" i="2"/>
  <c r="AN67" i="2"/>
  <c r="AN66" i="2"/>
  <c r="AN65" i="2"/>
  <c r="AN64" i="2"/>
  <c r="AN63" i="2"/>
  <c r="AN62" i="2"/>
  <c r="AN61" i="2"/>
  <c r="AN60" i="2"/>
  <c r="AN59" i="2"/>
  <c r="AN58" i="2"/>
  <c r="AN57" i="2"/>
  <c r="AN56" i="2"/>
  <c r="AN55" i="2"/>
  <c r="AN54" i="2"/>
  <c r="AN53" i="2"/>
  <c r="AN52" i="2"/>
  <c r="AN51" i="2"/>
  <c r="AN50" i="2"/>
  <c r="AN49" i="2"/>
  <c r="AA22" i="2"/>
  <c r="AE22" i="2"/>
  <c r="AI22" i="2"/>
  <c r="AM22" i="2"/>
  <c r="AA23" i="2"/>
  <c r="AE23" i="2"/>
  <c r="AI23" i="2"/>
  <c r="AM23" i="2"/>
  <c r="AA24" i="2"/>
  <c r="AE24" i="2"/>
  <c r="AI24" i="2"/>
  <c r="AM24" i="2"/>
  <c r="AA25" i="2"/>
  <c r="AE25" i="2"/>
  <c r="AI25" i="2"/>
  <c r="AM25" i="2"/>
  <c r="AA26" i="2"/>
  <c r="AE26" i="2"/>
  <c r="AI26" i="2"/>
  <c r="AM26" i="2"/>
  <c r="AA27" i="2"/>
  <c r="AE27" i="2"/>
  <c r="AI27" i="2"/>
  <c r="AM27" i="2"/>
  <c r="AA28" i="2"/>
  <c r="AE28" i="2"/>
  <c r="AI28" i="2"/>
  <c r="AM28" i="2"/>
  <c r="AA29" i="2"/>
  <c r="AE29" i="2"/>
  <c r="AI29" i="2"/>
  <c r="AM29" i="2"/>
  <c r="AA30" i="2"/>
  <c r="AE30" i="2"/>
  <c r="AI30" i="2"/>
  <c r="AM30" i="2"/>
  <c r="AA31" i="2"/>
  <c r="AE31" i="2"/>
  <c r="AI31" i="2"/>
  <c r="AM31" i="2"/>
  <c r="AA32" i="2"/>
  <c r="AE32" i="2"/>
  <c r="AI32" i="2"/>
  <c r="AM32" i="2"/>
  <c r="AA33" i="2"/>
  <c r="AE33" i="2"/>
  <c r="AI33" i="2"/>
  <c r="AM33" i="2"/>
  <c r="AA34" i="2"/>
  <c r="AE34" i="2"/>
  <c r="AI34" i="2"/>
  <c r="AM34" i="2"/>
  <c r="AA35" i="2"/>
  <c r="AE35" i="2"/>
  <c r="AI35" i="2"/>
  <c r="AM35" i="2"/>
  <c r="AA36" i="2"/>
  <c r="AE36" i="2"/>
  <c r="AI36" i="2"/>
  <c r="AM36" i="2"/>
  <c r="AA37" i="2"/>
  <c r="AE37" i="2"/>
  <c r="AI37" i="2"/>
  <c r="AM37" i="2"/>
  <c r="AA38" i="2"/>
  <c r="AE38" i="2"/>
  <c r="AI38" i="2"/>
  <c r="AM38" i="2"/>
  <c r="AA39" i="2"/>
  <c r="AE39" i="2"/>
  <c r="AI39" i="2"/>
  <c r="AM39" i="2"/>
  <c r="AA40" i="2"/>
  <c r="AE40" i="2"/>
  <c r="AI40" i="2"/>
  <c r="AM40" i="2"/>
  <c r="AA41" i="2"/>
  <c r="AE41" i="2"/>
  <c r="AI41" i="2"/>
  <c r="AM41" i="2"/>
  <c r="AA42" i="2"/>
  <c r="AE42" i="2"/>
  <c r="AI42" i="2"/>
  <c r="AM42" i="2"/>
  <c r="AA43" i="2"/>
  <c r="AE43" i="2"/>
  <c r="AI43" i="2"/>
  <c r="AM43" i="2"/>
  <c r="AA44" i="2"/>
  <c r="AE44" i="2"/>
  <c r="AI44" i="2"/>
  <c r="AM44" i="2"/>
  <c r="AA45" i="2"/>
  <c r="AE45" i="2"/>
  <c r="AI45" i="2"/>
  <c r="AM45" i="2"/>
  <c r="AA46" i="2"/>
  <c r="AE46" i="2"/>
  <c r="AI46" i="2"/>
  <c r="AM46" i="2"/>
  <c r="AA47" i="2"/>
  <c r="AE47" i="2"/>
  <c r="AI47" i="2"/>
  <c r="AM47" i="2"/>
  <c r="AA48" i="2"/>
  <c r="U22" i="2"/>
  <c r="AC277" i="2"/>
  <c r="AC276" i="2"/>
  <c r="AC275" i="2"/>
  <c r="AC274" i="2"/>
  <c r="AC273" i="2"/>
  <c r="AC272" i="2"/>
  <c r="AC271" i="2"/>
  <c r="AC270" i="2"/>
  <c r="AC269" i="2"/>
  <c r="AC268" i="2"/>
  <c r="AC267" i="2"/>
  <c r="AC266" i="2"/>
  <c r="AC265" i="2"/>
  <c r="AC264" i="2"/>
  <c r="AC263" i="2"/>
  <c r="AC262" i="2"/>
  <c r="AC261" i="2"/>
  <c r="AC260" i="2"/>
  <c r="AC259" i="2"/>
  <c r="AC258" i="2"/>
  <c r="AC257" i="2"/>
  <c r="AC256" i="2"/>
  <c r="AC255" i="2"/>
  <c r="AC254" i="2"/>
  <c r="AC253" i="2"/>
  <c r="AC252" i="2"/>
  <c r="AC251" i="2"/>
  <c r="AC250" i="2"/>
  <c r="AC249" i="2"/>
  <c r="AC248" i="2"/>
  <c r="AC247" i="2"/>
  <c r="AC246" i="2"/>
  <c r="AC245" i="2"/>
  <c r="AC244" i="2"/>
  <c r="AC243" i="2"/>
  <c r="AC242" i="2"/>
  <c r="AC241" i="2"/>
  <c r="AC240" i="2"/>
  <c r="AC239" i="2"/>
  <c r="AC238" i="2"/>
  <c r="AC237" i="2"/>
  <c r="AC236" i="2"/>
  <c r="AC235" i="2"/>
  <c r="AC234" i="2"/>
  <c r="AC233" i="2"/>
  <c r="AC232" i="2"/>
  <c r="AC231" i="2"/>
  <c r="AC230" i="2"/>
  <c r="AC229" i="2"/>
  <c r="AC228" i="2"/>
  <c r="AC227" i="2"/>
  <c r="AC226" i="2"/>
  <c r="AC225" i="2"/>
  <c r="AC224" i="2"/>
  <c r="AC223" i="2"/>
  <c r="AC222" i="2"/>
  <c r="AC221" i="2"/>
  <c r="AC220" i="2"/>
  <c r="AC219" i="2"/>
  <c r="AC218" i="2"/>
  <c r="AC217" i="2"/>
  <c r="AC216" i="2"/>
  <c r="AC215" i="2"/>
  <c r="AC214" i="2"/>
  <c r="AC213" i="2"/>
  <c r="AC212" i="2"/>
  <c r="AC211" i="2"/>
  <c r="AC210" i="2"/>
  <c r="AC209" i="2"/>
  <c r="AC208" i="2"/>
  <c r="AC207" i="2"/>
  <c r="AC206" i="2"/>
  <c r="AC205" i="2"/>
  <c r="AC204" i="2"/>
  <c r="AC203" i="2"/>
  <c r="AC202" i="2"/>
  <c r="AC201" i="2"/>
  <c r="AC200" i="2"/>
  <c r="AC199" i="2"/>
  <c r="AC198" i="2"/>
  <c r="AC197" i="2"/>
  <c r="AC196" i="2"/>
  <c r="AC195" i="2"/>
  <c r="AC194" i="2"/>
  <c r="AC193" i="2"/>
  <c r="AC192" i="2"/>
  <c r="AC191" i="2"/>
  <c r="AC190" i="2"/>
  <c r="AC189" i="2"/>
  <c r="AC188" i="2"/>
  <c r="AC187" i="2"/>
  <c r="AC186" i="2"/>
  <c r="AC185" i="2"/>
  <c r="AC184" i="2"/>
  <c r="AC183" i="2"/>
  <c r="AC182" i="2"/>
  <c r="AC181" i="2"/>
  <c r="AC180" i="2"/>
  <c r="AC178" i="2"/>
  <c r="AC177" i="2"/>
  <c r="AC176" i="2"/>
  <c r="AC175" i="2"/>
  <c r="AC174" i="2"/>
  <c r="AC173" i="2"/>
  <c r="AC172" i="2"/>
  <c r="AC171" i="2"/>
  <c r="AC170" i="2"/>
  <c r="AC169" i="2"/>
  <c r="AC168" i="2"/>
  <c r="AC167" i="2"/>
  <c r="AC166" i="2"/>
  <c r="AC165" i="2"/>
  <c r="AC164" i="2"/>
  <c r="AC163" i="2"/>
  <c r="AC162" i="2"/>
  <c r="AC161" i="2"/>
  <c r="AC160" i="2"/>
  <c r="AC159" i="2"/>
  <c r="AC158" i="2"/>
  <c r="AC157" i="2"/>
  <c r="AC156" i="2"/>
  <c r="AC155" i="2"/>
  <c r="AC154" i="2"/>
  <c r="AC153" i="2"/>
  <c r="AC152" i="2"/>
  <c r="AC151" i="2"/>
  <c r="AC150" i="2"/>
  <c r="AC149" i="2"/>
  <c r="AC148" i="2"/>
  <c r="AC147" i="2"/>
  <c r="AC146" i="2"/>
  <c r="AC145" i="2"/>
  <c r="AC144" i="2"/>
  <c r="AC143" i="2"/>
  <c r="AC142" i="2"/>
  <c r="AC141" i="2"/>
  <c r="AC140" i="2"/>
  <c r="AC139" i="2"/>
  <c r="AC138" i="2"/>
  <c r="AC137" i="2"/>
  <c r="AC136" i="2"/>
  <c r="AC135" i="2"/>
  <c r="AC134" i="2"/>
  <c r="AC133" i="2"/>
  <c r="AC132" i="2"/>
  <c r="AC131" i="2"/>
  <c r="AC130" i="2"/>
  <c r="AC129" i="2"/>
  <c r="AC128" i="2"/>
  <c r="AC127" i="2"/>
  <c r="AC126" i="2"/>
  <c r="AC125" i="2"/>
  <c r="AC124" i="2"/>
  <c r="AC123" i="2"/>
  <c r="AC122" i="2"/>
  <c r="AC121" i="2"/>
  <c r="AC120" i="2"/>
  <c r="AC119" i="2"/>
  <c r="AC118" i="2"/>
  <c r="AC117" i="2"/>
  <c r="AC116" i="2"/>
  <c r="AC115" i="2"/>
  <c r="AC114" i="2"/>
  <c r="AC113" i="2"/>
  <c r="AC112" i="2"/>
  <c r="AC111" i="2"/>
  <c r="AC110" i="2"/>
  <c r="AC109" i="2"/>
  <c r="AC108" i="2"/>
  <c r="AC107" i="2"/>
  <c r="AC106" i="2"/>
  <c r="AC105" i="2"/>
  <c r="AC104" i="2"/>
  <c r="AC103" i="2"/>
  <c r="AC102" i="2"/>
  <c r="AC101" i="2"/>
  <c r="AC100" i="2"/>
  <c r="AC99" i="2"/>
  <c r="AC98" i="2"/>
  <c r="AC97" i="2"/>
  <c r="AC96" i="2"/>
  <c r="AC95" i="2"/>
  <c r="AC94" i="2"/>
  <c r="AC93" i="2"/>
  <c r="AC92" i="2"/>
  <c r="AC91" i="2"/>
  <c r="AC90" i="2"/>
  <c r="AC89" i="2"/>
  <c r="AC88" i="2"/>
  <c r="AC87" i="2"/>
  <c r="AC86" i="2"/>
  <c r="AC85" i="2"/>
  <c r="AC84" i="2"/>
  <c r="AC83" i="2"/>
  <c r="AC82" i="2"/>
  <c r="AC81" i="2"/>
  <c r="AC80" i="2"/>
  <c r="AC79" i="2"/>
  <c r="AC78" i="2"/>
  <c r="AC77" i="2"/>
  <c r="AC76" i="2"/>
  <c r="AC75" i="2"/>
  <c r="AC74" i="2"/>
  <c r="AC73" i="2"/>
  <c r="AC72" i="2"/>
  <c r="AC71" i="2"/>
  <c r="AC70" i="2"/>
  <c r="AC69" i="2"/>
  <c r="AC68" i="2"/>
  <c r="AC67" i="2"/>
  <c r="AC66" i="2"/>
  <c r="AC65" i="2"/>
  <c r="AC64" i="2"/>
  <c r="AC63" i="2"/>
  <c r="AC62" i="2"/>
  <c r="AC61" i="2"/>
  <c r="AC60" i="2"/>
  <c r="AC59" i="2"/>
  <c r="AC58" i="2"/>
  <c r="AC57" i="2"/>
  <c r="AC56" i="2"/>
  <c r="AC55" i="2"/>
  <c r="AC54" i="2"/>
  <c r="AC53" i="2"/>
  <c r="AC52" i="2"/>
  <c r="AC51" i="2"/>
  <c r="AC50" i="2"/>
  <c r="AG277" i="2"/>
  <c r="AG276" i="2"/>
  <c r="AG275" i="2"/>
  <c r="AG274" i="2"/>
  <c r="AG273" i="2"/>
  <c r="AG272" i="2"/>
  <c r="AG271" i="2"/>
  <c r="AG270" i="2"/>
  <c r="AG269" i="2"/>
  <c r="AG268" i="2"/>
  <c r="AG267" i="2"/>
  <c r="AG266" i="2"/>
  <c r="AG265" i="2"/>
  <c r="AG264" i="2"/>
  <c r="AG263" i="2"/>
  <c r="AG262" i="2"/>
  <c r="AG261" i="2"/>
  <c r="AG260" i="2"/>
  <c r="AG259" i="2"/>
  <c r="AG258" i="2"/>
  <c r="AG257" i="2"/>
  <c r="AG256" i="2"/>
  <c r="AG255" i="2"/>
  <c r="AG254" i="2"/>
  <c r="AG253" i="2"/>
  <c r="AG252" i="2"/>
  <c r="AG251" i="2"/>
  <c r="AG250" i="2"/>
  <c r="AG249" i="2"/>
  <c r="AG248" i="2"/>
  <c r="AG247" i="2"/>
  <c r="AG246" i="2"/>
  <c r="AG245" i="2"/>
  <c r="AG244" i="2"/>
  <c r="AG243" i="2"/>
  <c r="AG242" i="2"/>
  <c r="AG241" i="2"/>
  <c r="AG240" i="2"/>
  <c r="AG239" i="2"/>
  <c r="AG238" i="2"/>
  <c r="AG237" i="2"/>
  <c r="AG236" i="2"/>
  <c r="AG235" i="2"/>
  <c r="AG234" i="2"/>
  <c r="AG233" i="2"/>
  <c r="AG232" i="2"/>
  <c r="AG231" i="2"/>
  <c r="AG230" i="2"/>
  <c r="AG229" i="2"/>
  <c r="AG228" i="2"/>
  <c r="AG227" i="2"/>
  <c r="AG226" i="2"/>
  <c r="AG225" i="2"/>
  <c r="AG224" i="2"/>
  <c r="AG223" i="2"/>
  <c r="AG222" i="2"/>
  <c r="AG221" i="2"/>
  <c r="AG220" i="2"/>
  <c r="AG219" i="2"/>
  <c r="AG218" i="2"/>
  <c r="AG217" i="2"/>
  <c r="AG216" i="2"/>
  <c r="AG215" i="2"/>
  <c r="AG214" i="2"/>
  <c r="AG213" i="2"/>
  <c r="AG212" i="2"/>
  <c r="AG211" i="2"/>
  <c r="AG210" i="2"/>
  <c r="AG209" i="2"/>
  <c r="AG208" i="2"/>
  <c r="AG207" i="2"/>
  <c r="AG206" i="2"/>
  <c r="AG205" i="2"/>
  <c r="AG204" i="2"/>
  <c r="AG203" i="2"/>
  <c r="AG202" i="2"/>
  <c r="AG201" i="2"/>
  <c r="AG200" i="2"/>
  <c r="AG199" i="2"/>
  <c r="AG198" i="2"/>
  <c r="AG197" i="2"/>
  <c r="AG196" i="2"/>
  <c r="AG195" i="2"/>
  <c r="AG194" i="2"/>
  <c r="AG193" i="2"/>
  <c r="AG192" i="2"/>
  <c r="AG191" i="2"/>
  <c r="AG190" i="2"/>
  <c r="AG189" i="2"/>
  <c r="AG188" i="2"/>
  <c r="AG187" i="2"/>
  <c r="AG186" i="2"/>
  <c r="AG185" i="2"/>
  <c r="AG184" i="2"/>
  <c r="AG183" i="2"/>
  <c r="AG182" i="2"/>
  <c r="AG181" i="2"/>
  <c r="AG180" i="2"/>
  <c r="AG178" i="2"/>
  <c r="AG177" i="2"/>
  <c r="AG176" i="2"/>
  <c r="AG175" i="2"/>
  <c r="AG174" i="2"/>
  <c r="AG173" i="2"/>
  <c r="AG172" i="2"/>
  <c r="AG171" i="2"/>
  <c r="AG170" i="2"/>
  <c r="AG169" i="2"/>
  <c r="AG168" i="2"/>
  <c r="AG167" i="2"/>
  <c r="AG166" i="2"/>
  <c r="AG165" i="2"/>
  <c r="AG164" i="2"/>
  <c r="AG163" i="2"/>
  <c r="AG162" i="2"/>
  <c r="AG161" i="2"/>
  <c r="AG160" i="2"/>
  <c r="AG159" i="2"/>
  <c r="AG158" i="2"/>
  <c r="AG157" i="2"/>
  <c r="AG156" i="2"/>
  <c r="AG155" i="2"/>
  <c r="AG154" i="2"/>
  <c r="AG153" i="2"/>
  <c r="AG152" i="2"/>
  <c r="AG151" i="2"/>
  <c r="AG150" i="2"/>
  <c r="AG149" i="2"/>
  <c r="AG148" i="2"/>
  <c r="AG147" i="2"/>
  <c r="AG146" i="2"/>
  <c r="AG145" i="2"/>
  <c r="AG144" i="2"/>
  <c r="AG143" i="2"/>
  <c r="AG142" i="2"/>
  <c r="AG141" i="2"/>
  <c r="AG140" i="2"/>
  <c r="AG139" i="2"/>
  <c r="AG138" i="2"/>
  <c r="AG137" i="2"/>
  <c r="AG136" i="2"/>
  <c r="AG135" i="2"/>
  <c r="AG134" i="2"/>
  <c r="AG133" i="2"/>
  <c r="AG132" i="2"/>
  <c r="AG131" i="2"/>
  <c r="AG130" i="2"/>
  <c r="AG129" i="2"/>
  <c r="AG128" i="2"/>
  <c r="AG127" i="2"/>
  <c r="AG126" i="2"/>
  <c r="AG125" i="2"/>
  <c r="AG124" i="2"/>
  <c r="AG123" i="2"/>
  <c r="AG122" i="2"/>
  <c r="AG121" i="2"/>
  <c r="AG120" i="2"/>
  <c r="AG119" i="2"/>
  <c r="AG118" i="2"/>
  <c r="AG117" i="2"/>
  <c r="AG116" i="2"/>
  <c r="AG115" i="2"/>
  <c r="AG114" i="2"/>
  <c r="AG113" i="2"/>
  <c r="AG112" i="2"/>
  <c r="AG111" i="2"/>
  <c r="AG110" i="2"/>
  <c r="AG109" i="2"/>
  <c r="AG108" i="2"/>
  <c r="AG107" i="2"/>
  <c r="AG106" i="2"/>
  <c r="AG105" i="2"/>
  <c r="AG104" i="2"/>
  <c r="AG103" i="2"/>
  <c r="AG102" i="2"/>
  <c r="AG101" i="2"/>
  <c r="AG100" i="2"/>
  <c r="AG99" i="2"/>
  <c r="AG98" i="2"/>
  <c r="AG97" i="2"/>
  <c r="AG96" i="2"/>
  <c r="AG95" i="2"/>
  <c r="AG94" i="2"/>
  <c r="AG93" i="2"/>
  <c r="AG92" i="2"/>
  <c r="AG91" i="2"/>
  <c r="AG90" i="2"/>
  <c r="AG89" i="2"/>
  <c r="AG88" i="2"/>
  <c r="AG87" i="2"/>
  <c r="AG86" i="2"/>
  <c r="AG85" i="2"/>
  <c r="AG84" i="2"/>
  <c r="AG83" i="2"/>
  <c r="AG82" i="2"/>
  <c r="AG81" i="2"/>
  <c r="AG80" i="2"/>
  <c r="AG79" i="2"/>
  <c r="AG78" i="2"/>
  <c r="AG77" i="2"/>
  <c r="AG76" i="2"/>
  <c r="AG75" i="2"/>
  <c r="AG74" i="2"/>
  <c r="AG73" i="2"/>
  <c r="AG72" i="2"/>
  <c r="AG71" i="2"/>
  <c r="AG70" i="2"/>
  <c r="AG69" i="2"/>
  <c r="AG68" i="2"/>
  <c r="AG67" i="2"/>
  <c r="AG66" i="2"/>
  <c r="AG65" i="2"/>
  <c r="AG64" i="2"/>
  <c r="AG63" i="2"/>
  <c r="AG62" i="2"/>
  <c r="AG61" i="2"/>
  <c r="AG60" i="2"/>
  <c r="AG59" i="2"/>
  <c r="AG58" i="2"/>
  <c r="AG57" i="2"/>
  <c r="AG56" i="2"/>
  <c r="AG55" i="2"/>
  <c r="AG54" i="2"/>
  <c r="AG53" i="2"/>
  <c r="AG52" i="2"/>
  <c r="AG51" i="2"/>
  <c r="AG50" i="2"/>
  <c r="AG49" i="2"/>
  <c r="AK277" i="2"/>
  <c r="AK276" i="2"/>
  <c r="AK275" i="2"/>
  <c r="AK274" i="2"/>
  <c r="AK273" i="2"/>
  <c r="AK272" i="2"/>
  <c r="AK271" i="2"/>
  <c r="AK270" i="2"/>
  <c r="AK269" i="2"/>
  <c r="AK268" i="2"/>
  <c r="AK267" i="2"/>
  <c r="AK266" i="2"/>
  <c r="AK265" i="2"/>
  <c r="AK264" i="2"/>
  <c r="AK263" i="2"/>
  <c r="AK262" i="2"/>
  <c r="AK261" i="2"/>
  <c r="AK260" i="2"/>
  <c r="AK259" i="2"/>
  <c r="AK258" i="2"/>
  <c r="AK257" i="2"/>
  <c r="AK256" i="2"/>
  <c r="AK255" i="2"/>
  <c r="AK254" i="2"/>
  <c r="AK253" i="2"/>
  <c r="AK252" i="2"/>
  <c r="AK251" i="2"/>
  <c r="AK250" i="2"/>
  <c r="AK249" i="2"/>
  <c r="AK248" i="2"/>
  <c r="AK247" i="2"/>
  <c r="AK246" i="2"/>
  <c r="AK245" i="2"/>
  <c r="AK244" i="2"/>
  <c r="AK243" i="2"/>
  <c r="AK242" i="2"/>
  <c r="AK241" i="2"/>
  <c r="AK240" i="2"/>
  <c r="AK239" i="2"/>
  <c r="AK238" i="2"/>
  <c r="AK237" i="2"/>
  <c r="AK236" i="2"/>
  <c r="AK235" i="2"/>
  <c r="AK234" i="2"/>
  <c r="AK233" i="2"/>
  <c r="AK232" i="2"/>
  <c r="AK231" i="2"/>
  <c r="AK230" i="2"/>
  <c r="AK229" i="2"/>
  <c r="AK228" i="2"/>
  <c r="AK227" i="2"/>
  <c r="AK226" i="2"/>
  <c r="AK225" i="2"/>
  <c r="AK224" i="2"/>
  <c r="AK223" i="2"/>
  <c r="AK222" i="2"/>
  <c r="AK221" i="2"/>
  <c r="AK220" i="2"/>
  <c r="AK219" i="2"/>
  <c r="AK218" i="2"/>
  <c r="AK217" i="2"/>
  <c r="AK216" i="2"/>
  <c r="AK215" i="2"/>
  <c r="AK214" i="2"/>
  <c r="AK213" i="2"/>
  <c r="AK212" i="2"/>
  <c r="AK211" i="2"/>
  <c r="AK210" i="2"/>
  <c r="AK209" i="2"/>
  <c r="AK208" i="2"/>
  <c r="AK207" i="2"/>
  <c r="AK206" i="2"/>
  <c r="AK205" i="2"/>
  <c r="AK204" i="2"/>
  <c r="AK203" i="2"/>
  <c r="AK202" i="2"/>
  <c r="AK201" i="2"/>
  <c r="AK200" i="2"/>
  <c r="AK199" i="2"/>
  <c r="AK198" i="2"/>
  <c r="AK197" i="2"/>
  <c r="AK196" i="2"/>
  <c r="AK195" i="2"/>
  <c r="AK194" i="2"/>
  <c r="AK193" i="2"/>
  <c r="AK192" i="2"/>
  <c r="AK191" i="2"/>
  <c r="AK190" i="2"/>
  <c r="AK189" i="2"/>
  <c r="AK188" i="2"/>
  <c r="AK187" i="2"/>
  <c r="AK186" i="2"/>
  <c r="AK185" i="2"/>
  <c r="AK184" i="2"/>
  <c r="AK183" i="2"/>
  <c r="AK182" i="2"/>
  <c r="AK181" i="2"/>
  <c r="AK180" i="2"/>
  <c r="AK179" i="2"/>
  <c r="AK178" i="2"/>
  <c r="AK177" i="2"/>
  <c r="AK176" i="2"/>
  <c r="AK175" i="2"/>
  <c r="AK174" i="2"/>
  <c r="AK173" i="2"/>
  <c r="AK172" i="2"/>
  <c r="AK171" i="2"/>
  <c r="AK170" i="2"/>
  <c r="AK169" i="2"/>
  <c r="AK168" i="2"/>
  <c r="AK167" i="2"/>
  <c r="AK166" i="2"/>
  <c r="AK165" i="2"/>
  <c r="AK164" i="2"/>
  <c r="AK163" i="2"/>
  <c r="AK162" i="2"/>
  <c r="AK161" i="2"/>
  <c r="AK160" i="2"/>
  <c r="AK159" i="2"/>
  <c r="AK158" i="2"/>
  <c r="AK157" i="2"/>
  <c r="AK156" i="2"/>
  <c r="AK155" i="2"/>
  <c r="AK154" i="2"/>
  <c r="AK153" i="2"/>
  <c r="AK152" i="2"/>
  <c r="AK151" i="2"/>
  <c r="AK150" i="2"/>
  <c r="AK149" i="2"/>
  <c r="AK148" i="2"/>
  <c r="AK147" i="2"/>
  <c r="AK146" i="2"/>
  <c r="AK145" i="2"/>
  <c r="AK144" i="2"/>
  <c r="AK143" i="2"/>
  <c r="AK142" i="2"/>
  <c r="AK141" i="2"/>
  <c r="AK140" i="2"/>
  <c r="AK139" i="2"/>
  <c r="AK138" i="2"/>
  <c r="AK137" i="2"/>
  <c r="AK136" i="2"/>
  <c r="AK135" i="2"/>
  <c r="AK134" i="2"/>
  <c r="AK133" i="2"/>
  <c r="AK132" i="2"/>
  <c r="AK131" i="2"/>
  <c r="AK130" i="2"/>
  <c r="AK129" i="2"/>
  <c r="AK128" i="2"/>
  <c r="AK127" i="2"/>
  <c r="AK126" i="2"/>
  <c r="AK125" i="2"/>
  <c r="AK124" i="2"/>
  <c r="AK123" i="2"/>
  <c r="AK122" i="2"/>
  <c r="AK121" i="2"/>
  <c r="AK120" i="2"/>
  <c r="AK119" i="2"/>
  <c r="AK118" i="2"/>
  <c r="AK117" i="2"/>
  <c r="AK116" i="2"/>
  <c r="AK115" i="2"/>
  <c r="AK114" i="2"/>
  <c r="AK113" i="2"/>
  <c r="AK112" i="2"/>
  <c r="AK111" i="2"/>
  <c r="AK110" i="2"/>
  <c r="AK109" i="2"/>
  <c r="AK108" i="2"/>
  <c r="AK107" i="2"/>
  <c r="AK106" i="2"/>
  <c r="AK105" i="2"/>
  <c r="AK104" i="2"/>
  <c r="AK103" i="2"/>
  <c r="AK102" i="2"/>
  <c r="AK101" i="2"/>
  <c r="AK100" i="2"/>
  <c r="AK99" i="2"/>
  <c r="AK98" i="2"/>
  <c r="AK97" i="2"/>
  <c r="AK96" i="2"/>
  <c r="AK95" i="2"/>
  <c r="AK94" i="2"/>
  <c r="AK93" i="2"/>
  <c r="AK92" i="2"/>
  <c r="AK91" i="2"/>
  <c r="AK90" i="2"/>
  <c r="AK89" i="2"/>
  <c r="AK88" i="2"/>
  <c r="AK87" i="2"/>
  <c r="AK86" i="2"/>
  <c r="AK85" i="2"/>
  <c r="AK84" i="2"/>
  <c r="AK83" i="2"/>
  <c r="AK82" i="2"/>
  <c r="AK81" i="2"/>
  <c r="AK80" i="2"/>
  <c r="AK79" i="2"/>
  <c r="AK78" i="2"/>
  <c r="AK77" i="2"/>
  <c r="AK76" i="2"/>
  <c r="AK75" i="2"/>
  <c r="AK74" i="2"/>
  <c r="AK73" i="2"/>
  <c r="AK72" i="2"/>
  <c r="AK71" i="2"/>
  <c r="AK70" i="2"/>
  <c r="AK69" i="2"/>
  <c r="AK68" i="2"/>
  <c r="AK67" i="2"/>
  <c r="AK66" i="2"/>
  <c r="AK65" i="2"/>
  <c r="AK64" i="2"/>
  <c r="AK63" i="2"/>
  <c r="AK62" i="2"/>
  <c r="AK61" i="2"/>
  <c r="AK60" i="2"/>
  <c r="AK59" i="2"/>
  <c r="AK58" i="2"/>
  <c r="AK57" i="2"/>
  <c r="AK56" i="2"/>
  <c r="AK55" i="2"/>
  <c r="AK54" i="2"/>
  <c r="AK53" i="2"/>
  <c r="AK52" i="2"/>
  <c r="AK51" i="2"/>
  <c r="AK50" i="2"/>
  <c r="AK49" i="2"/>
  <c r="AO277" i="2"/>
  <c r="AO276" i="2"/>
  <c r="AO275" i="2"/>
  <c r="AO274" i="2"/>
  <c r="AO273" i="2"/>
  <c r="AO272" i="2"/>
  <c r="AO271" i="2"/>
  <c r="AO270" i="2"/>
  <c r="AO269" i="2"/>
  <c r="AO268" i="2"/>
  <c r="AO267" i="2"/>
  <c r="AO266" i="2"/>
  <c r="AO265" i="2"/>
  <c r="AO264" i="2"/>
  <c r="AO263" i="2"/>
  <c r="AO262" i="2"/>
  <c r="AO261" i="2"/>
  <c r="AO260" i="2"/>
  <c r="AO259" i="2"/>
  <c r="AO258" i="2"/>
  <c r="AO257" i="2"/>
  <c r="AO256" i="2"/>
  <c r="AO255" i="2"/>
  <c r="AO254" i="2"/>
  <c r="AO253" i="2"/>
  <c r="AO252" i="2"/>
  <c r="AO251" i="2"/>
  <c r="AO250" i="2"/>
  <c r="AO249" i="2"/>
  <c r="AO248" i="2"/>
  <c r="AO247" i="2"/>
  <c r="AO246" i="2"/>
  <c r="AO245" i="2"/>
  <c r="AO244" i="2"/>
  <c r="AO243" i="2"/>
  <c r="AO242" i="2"/>
  <c r="AO241" i="2"/>
  <c r="AO240" i="2"/>
  <c r="AO239" i="2"/>
  <c r="AO238" i="2"/>
  <c r="AO237" i="2"/>
  <c r="AO236" i="2"/>
  <c r="AO235" i="2"/>
  <c r="AO234" i="2"/>
  <c r="AO233" i="2"/>
  <c r="AO232" i="2"/>
  <c r="AO231" i="2"/>
  <c r="AO230" i="2"/>
  <c r="AO229" i="2"/>
  <c r="AO228" i="2"/>
  <c r="AO227" i="2"/>
  <c r="AO226" i="2"/>
  <c r="AO225" i="2"/>
  <c r="AO224" i="2"/>
  <c r="AO223" i="2"/>
  <c r="AO222" i="2"/>
  <c r="AO221" i="2"/>
  <c r="AO220" i="2"/>
  <c r="AO219" i="2"/>
  <c r="AO218" i="2"/>
  <c r="AO217" i="2"/>
  <c r="AO216" i="2"/>
  <c r="AO215" i="2"/>
  <c r="AO214" i="2"/>
  <c r="AO213" i="2"/>
  <c r="AO212" i="2"/>
  <c r="AO211" i="2"/>
  <c r="AO210" i="2"/>
  <c r="AO209" i="2"/>
  <c r="AO208" i="2"/>
  <c r="AO207" i="2"/>
  <c r="AO206" i="2"/>
  <c r="AO205" i="2"/>
  <c r="AO204" i="2"/>
  <c r="AO203" i="2"/>
  <c r="AO202" i="2"/>
  <c r="AO201" i="2"/>
  <c r="AO200" i="2"/>
  <c r="AO199" i="2"/>
  <c r="AO198" i="2"/>
  <c r="AO197" i="2"/>
  <c r="AO196" i="2"/>
  <c r="AO195" i="2"/>
  <c r="AO194" i="2"/>
  <c r="AO193" i="2"/>
  <c r="AO192" i="2"/>
  <c r="AO191" i="2"/>
  <c r="AO190" i="2"/>
  <c r="AO189" i="2"/>
  <c r="AO188" i="2"/>
  <c r="AO187" i="2"/>
  <c r="AO186" i="2"/>
  <c r="AO185" i="2"/>
  <c r="AO184" i="2"/>
  <c r="AO183" i="2"/>
  <c r="AO182" i="2"/>
  <c r="AO181" i="2"/>
  <c r="AO180" i="2"/>
  <c r="AO179" i="2"/>
  <c r="AO178" i="2"/>
  <c r="AO177" i="2"/>
  <c r="AO176" i="2"/>
  <c r="AO175" i="2"/>
  <c r="AO174" i="2"/>
  <c r="AO173" i="2"/>
  <c r="AO172" i="2"/>
  <c r="AO171" i="2"/>
  <c r="AO170" i="2"/>
  <c r="AO169" i="2"/>
  <c r="AO168" i="2"/>
  <c r="AO167" i="2"/>
  <c r="AO166" i="2"/>
  <c r="AO165" i="2"/>
  <c r="AO164" i="2"/>
  <c r="AO163" i="2"/>
  <c r="AO162" i="2"/>
  <c r="AO161" i="2"/>
  <c r="AO160" i="2"/>
  <c r="AO159" i="2"/>
  <c r="AO158" i="2"/>
  <c r="AO157" i="2"/>
  <c r="AO156" i="2"/>
  <c r="AO155" i="2"/>
  <c r="AO154" i="2"/>
  <c r="AO153" i="2"/>
  <c r="AO152" i="2"/>
  <c r="AO151" i="2"/>
  <c r="AO150" i="2"/>
  <c r="AO149" i="2"/>
  <c r="AO148" i="2"/>
  <c r="AO147" i="2"/>
  <c r="AO146" i="2"/>
  <c r="AO145" i="2"/>
  <c r="AO144" i="2"/>
  <c r="AO143" i="2"/>
  <c r="AO142" i="2"/>
  <c r="AO141" i="2"/>
  <c r="AO140" i="2"/>
  <c r="AO139" i="2"/>
  <c r="AO138" i="2"/>
  <c r="AO137" i="2"/>
  <c r="AO136" i="2"/>
  <c r="AO135" i="2"/>
  <c r="AO134" i="2"/>
  <c r="AO133" i="2"/>
  <c r="AO132" i="2"/>
  <c r="AO131" i="2"/>
  <c r="AO130" i="2"/>
  <c r="AO129" i="2"/>
  <c r="AO128" i="2"/>
  <c r="AO127" i="2"/>
  <c r="AO126" i="2"/>
  <c r="AO125" i="2"/>
  <c r="AO124" i="2"/>
  <c r="AO123" i="2"/>
  <c r="AO122" i="2"/>
  <c r="AO121" i="2"/>
  <c r="AO120" i="2"/>
  <c r="AO119" i="2"/>
  <c r="AO118" i="2"/>
  <c r="AO117" i="2"/>
  <c r="AO116" i="2"/>
  <c r="AO115" i="2"/>
  <c r="AO114" i="2"/>
  <c r="AO113" i="2"/>
  <c r="AO112" i="2"/>
  <c r="AO111" i="2"/>
  <c r="AO110" i="2"/>
  <c r="AO109" i="2"/>
  <c r="AO108" i="2"/>
  <c r="AO107" i="2"/>
  <c r="AO106" i="2"/>
  <c r="AO105" i="2"/>
  <c r="AO104" i="2"/>
  <c r="AO103" i="2"/>
  <c r="AO102" i="2"/>
  <c r="AO101" i="2"/>
  <c r="AO100" i="2"/>
  <c r="AO99" i="2"/>
  <c r="AO98" i="2"/>
  <c r="AO97" i="2"/>
  <c r="AO96" i="2"/>
  <c r="AO95" i="2"/>
  <c r="AO94" i="2"/>
  <c r="AO93" i="2"/>
  <c r="AO92" i="2"/>
  <c r="AO91" i="2"/>
  <c r="AO90" i="2"/>
  <c r="AO89" i="2"/>
  <c r="AO88" i="2"/>
  <c r="AO87" i="2"/>
  <c r="AO86" i="2"/>
  <c r="AO85" i="2"/>
  <c r="AO84" i="2"/>
  <c r="AO83" i="2"/>
  <c r="AO82" i="2"/>
  <c r="AO81" i="2"/>
  <c r="AO80" i="2"/>
  <c r="AO79" i="2"/>
  <c r="AO78" i="2"/>
  <c r="AO77" i="2"/>
  <c r="AO76" i="2"/>
  <c r="AO75" i="2"/>
  <c r="AO74" i="2"/>
  <c r="AO73" i="2"/>
  <c r="AO72" i="2"/>
  <c r="AO71" i="2"/>
  <c r="AO70" i="2"/>
  <c r="AO69" i="2"/>
  <c r="AO68" i="2"/>
  <c r="AO67" i="2"/>
  <c r="AO66" i="2"/>
  <c r="AO65" i="2"/>
  <c r="AO64" i="2"/>
  <c r="AO63" i="2"/>
  <c r="AO62" i="2"/>
  <c r="AO61" i="2"/>
  <c r="AO60" i="2"/>
  <c r="AO59" i="2"/>
  <c r="AO58" i="2"/>
  <c r="AO57" i="2"/>
  <c r="AO56" i="2"/>
  <c r="AO55" i="2"/>
  <c r="AO54" i="2"/>
  <c r="AO53" i="2"/>
  <c r="AO52" i="2"/>
  <c r="AO51" i="2"/>
  <c r="AO50" i="2"/>
  <c r="AO49" i="2"/>
  <c r="AB22" i="2"/>
  <c r="AF22" i="2"/>
  <c r="AJ22" i="2"/>
  <c r="AN22" i="2"/>
  <c r="AB23" i="2"/>
  <c r="AF23" i="2"/>
  <c r="AJ23" i="2"/>
  <c r="AN23" i="2"/>
  <c r="AB24" i="2"/>
  <c r="AF24" i="2"/>
  <c r="AJ24" i="2"/>
  <c r="AN24" i="2"/>
  <c r="AB25" i="2"/>
  <c r="AF25" i="2"/>
  <c r="AJ25" i="2"/>
  <c r="AN25" i="2"/>
  <c r="AB26" i="2"/>
  <c r="AF26" i="2"/>
  <c r="AJ26" i="2"/>
  <c r="AN26" i="2"/>
  <c r="AB27" i="2"/>
  <c r="AF27" i="2"/>
  <c r="AJ27" i="2"/>
  <c r="AN27" i="2"/>
  <c r="AB28" i="2"/>
  <c r="AF28" i="2"/>
  <c r="AJ28" i="2"/>
  <c r="AN28" i="2"/>
  <c r="AB29" i="2"/>
  <c r="AF29" i="2"/>
  <c r="AJ29" i="2"/>
  <c r="AN29" i="2"/>
  <c r="AB30" i="2"/>
  <c r="AF30" i="2"/>
  <c r="AJ30" i="2"/>
  <c r="AN30" i="2"/>
  <c r="AB31" i="2"/>
  <c r="AF31" i="2"/>
  <c r="AJ31" i="2"/>
  <c r="AN31" i="2"/>
  <c r="AB32" i="2"/>
  <c r="AF32" i="2"/>
  <c r="AJ32" i="2"/>
  <c r="AN32" i="2"/>
  <c r="AB33" i="2"/>
  <c r="AF33" i="2"/>
  <c r="AJ33" i="2"/>
  <c r="AN33" i="2"/>
  <c r="AB34" i="2"/>
  <c r="AF34" i="2"/>
  <c r="AJ34" i="2"/>
  <c r="AN34" i="2"/>
  <c r="AB35" i="2"/>
  <c r="AF35" i="2"/>
  <c r="AJ35" i="2"/>
  <c r="AN35" i="2"/>
  <c r="AB36" i="2"/>
  <c r="AF36" i="2"/>
  <c r="AJ36" i="2"/>
  <c r="AN36" i="2"/>
  <c r="AB37" i="2"/>
  <c r="AF37" i="2"/>
  <c r="AJ37" i="2"/>
  <c r="AN37" i="2"/>
  <c r="AB38" i="2"/>
  <c r="AF38" i="2"/>
  <c r="AJ38" i="2"/>
  <c r="AN38" i="2"/>
  <c r="AB39" i="2"/>
  <c r="AF39" i="2"/>
  <c r="AJ39" i="2"/>
  <c r="AN39" i="2"/>
  <c r="AB40" i="2"/>
  <c r="AF40" i="2"/>
  <c r="AJ40" i="2"/>
  <c r="AN40" i="2"/>
  <c r="AB41" i="2"/>
  <c r="AF41" i="2"/>
  <c r="AJ41" i="2"/>
  <c r="AN41" i="2"/>
  <c r="AB42" i="2"/>
  <c r="AF42" i="2"/>
  <c r="AJ42" i="2"/>
  <c r="AN42" i="2"/>
  <c r="AB43" i="2"/>
  <c r="AF43" i="2"/>
  <c r="AJ43" i="2"/>
  <c r="AN43" i="2"/>
  <c r="AB44" i="2"/>
  <c r="AF44" i="2"/>
  <c r="AJ44" i="2"/>
  <c r="AN44" i="2"/>
  <c r="AB45" i="2"/>
  <c r="AF45" i="2"/>
  <c r="AJ45" i="2"/>
  <c r="AN45" i="2"/>
  <c r="AB46" i="2"/>
  <c r="AF46" i="2"/>
  <c r="AJ46" i="2"/>
  <c r="AN46" i="2"/>
  <c r="AB47" i="2"/>
  <c r="AF47" i="2"/>
  <c r="AJ47" i="2"/>
  <c r="AN47" i="2"/>
  <c r="AB48" i="2"/>
  <c r="AJ48" i="2"/>
  <c r="AN48" i="2"/>
  <c r="AB49" i="2"/>
  <c r="AF277" i="2"/>
  <c r="AF276" i="2"/>
  <c r="AF275" i="2"/>
  <c r="AF274" i="2"/>
  <c r="AF273" i="2"/>
  <c r="AF272" i="2"/>
  <c r="AF271" i="2"/>
  <c r="AF270" i="2"/>
  <c r="AF269" i="2"/>
  <c r="AF268" i="2"/>
  <c r="AF267" i="2"/>
  <c r="AF266" i="2"/>
  <c r="AF265" i="2"/>
  <c r="AF264" i="2"/>
  <c r="AF263" i="2"/>
  <c r="AF262" i="2"/>
  <c r="AF261" i="2"/>
  <c r="AF260" i="2"/>
  <c r="AF259" i="2"/>
  <c r="AF258" i="2"/>
  <c r="AF257" i="2"/>
  <c r="AF256" i="2"/>
  <c r="AF255" i="2"/>
  <c r="AF254" i="2"/>
  <c r="AF253" i="2"/>
  <c r="AF252" i="2"/>
  <c r="AF251" i="2"/>
  <c r="AF250" i="2"/>
  <c r="AF249" i="2"/>
  <c r="AF248" i="2"/>
  <c r="AF247" i="2"/>
  <c r="AF246" i="2"/>
  <c r="AF245" i="2"/>
  <c r="AF244" i="2"/>
  <c r="AF243" i="2"/>
  <c r="AF242" i="2"/>
  <c r="AF241" i="2"/>
  <c r="AF240" i="2"/>
  <c r="AF239" i="2"/>
  <c r="AF238" i="2"/>
  <c r="AF237" i="2"/>
  <c r="AF236" i="2"/>
  <c r="AF235" i="2"/>
  <c r="AF234" i="2"/>
  <c r="AF233" i="2"/>
  <c r="AF232" i="2"/>
  <c r="AF231" i="2"/>
  <c r="AF230" i="2"/>
  <c r="AF229" i="2"/>
  <c r="AF228" i="2"/>
  <c r="AF227" i="2"/>
  <c r="AF226" i="2"/>
  <c r="AF225" i="2"/>
  <c r="AF224" i="2"/>
  <c r="AF223" i="2"/>
  <c r="AF222" i="2"/>
  <c r="AF221" i="2"/>
  <c r="AF220" i="2"/>
  <c r="AF219" i="2"/>
  <c r="AF218" i="2"/>
  <c r="AF217" i="2"/>
  <c r="AF216" i="2"/>
  <c r="AF215" i="2"/>
  <c r="AF214" i="2"/>
  <c r="AF213" i="2"/>
  <c r="AF212" i="2"/>
  <c r="AF211" i="2"/>
  <c r="AF210" i="2"/>
  <c r="AF209" i="2"/>
  <c r="AF208" i="2"/>
  <c r="AF207" i="2"/>
  <c r="AF206" i="2"/>
  <c r="AF205" i="2"/>
  <c r="AF204" i="2"/>
  <c r="AF203" i="2"/>
  <c r="AF202" i="2"/>
  <c r="AF201" i="2"/>
  <c r="AF200" i="2"/>
  <c r="AF199" i="2"/>
  <c r="AF198" i="2"/>
  <c r="AF197" i="2"/>
  <c r="AF196" i="2"/>
  <c r="AF195" i="2"/>
  <c r="AF194" i="2"/>
  <c r="AF193" i="2"/>
  <c r="AF192" i="2"/>
  <c r="AF191" i="2"/>
  <c r="AF190" i="2"/>
  <c r="AF189" i="2"/>
  <c r="AF188" i="2"/>
  <c r="AF187" i="2"/>
  <c r="AF186" i="2"/>
  <c r="AF185" i="2"/>
  <c r="AF184" i="2"/>
  <c r="AF183" i="2"/>
  <c r="AF182" i="2"/>
  <c r="AF181" i="2"/>
  <c r="AF180" i="2"/>
  <c r="AF178" i="2"/>
  <c r="AF177" i="2"/>
  <c r="AF176" i="2"/>
  <c r="AF175" i="2"/>
  <c r="AF174" i="2"/>
  <c r="AF173" i="2"/>
  <c r="AF172" i="2"/>
  <c r="AF171" i="2"/>
  <c r="AF170" i="2"/>
  <c r="AF169" i="2"/>
  <c r="AF168" i="2"/>
  <c r="AF167" i="2"/>
  <c r="AF166" i="2"/>
  <c r="AF165" i="2"/>
  <c r="AF164" i="2"/>
  <c r="AF163" i="2"/>
  <c r="AF162" i="2"/>
  <c r="AF161" i="2"/>
  <c r="AF160" i="2"/>
  <c r="AF159" i="2"/>
  <c r="AF158" i="2"/>
  <c r="AF157" i="2"/>
  <c r="AF156" i="2"/>
  <c r="AF155" i="2"/>
  <c r="AF154" i="2"/>
  <c r="AF153" i="2"/>
  <c r="AF152" i="2"/>
  <c r="AF151" i="2"/>
  <c r="AF150" i="2"/>
  <c r="AF149" i="2"/>
  <c r="AF148" i="2"/>
  <c r="AF147" i="2"/>
  <c r="AF146" i="2"/>
  <c r="AF145" i="2"/>
  <c r="AF144" i="2"/>
  <c r="AF143" i="2"/>
  <c r="AF142" i="2"/>
  <c r="AF141" i="2"/>
  <c r="AF140" i="2"/>
  <c r="AF139" i="2"/>
  <c r="AF138" i="2"/>
  <c r="AF137" i="2"/>
  <c r="AF136" i="2"/>
  <c r="AF135" i="2"/>
  <c r="AF134" i="2"/>
  <c r="AF133" i="2"/>
  <c r="AF132" i="2"/>
  <c r="AF131" i="2"/>
  <c r="AF130" i="2"/>
  <c r="AF129" i="2"/>
  <c r="AF128" i="2"/>
  <c r="AF127" i="2"/>
  <c r="AF126" i="2"/>
  <c r="AF125" i="2"/>
  <c r="AF124" i="2"/>
  <c r="AF123" i="2"/>
  <c r="AF122" i="2"/>
  <c r="AF121" i="2"/>
  <c r="AF120" i="2"/>
  <c r="AF119" i="2"/>
  <c r="AF118" i="2"/>
  <c r="AF117" i="2"/>
  <c r="AF116" i="2"/>
  <c r="AF115" i="2"/>
  <c r="AF114" i="2"/>
  <c r="AF113" i="2"/>
  <c r="AF112" i="2"/>
  <c r="AF111" i="2"/>
  <c r="AF110" i="2"/>
  <c r="AF109" i="2"/>
  <c r="AF108" i="2"/>
  <c r="AF107" i="2"/>
  <c r="AF106" i="2"/>
  <c r="AF105" i="2"/>
  <c r="AF104" i="2"/>
  <c r="AF103" i="2"/>
  <c r="AF102" i="2"/>
  <c r="AF101" i="2"/>
  <c r="AF100" i="2"/>
  <c r="AF99" i="2"/>
  <c r="AF98" i="2"/>
  <c r="AF97" i="2"/>
  <c r="AF96" i="2"/>
  <c r="AF95" i="2"/>
  <c r="AF94" i="2"/>
  <c r="AF93" i="2"/>
  <c r="AF92" i="2"/>
  <c r="AF91" i="2"/>
  <c r="AF90" i="2"/>
  <c r="AF89" i="2"/>
  <c r="AF88" i="2"/>
  <c r="AF87" i="2"/>
  <c r="AF86" i="2"/>
  <c r="AF85" i="2"/>
  <c r="AF84" i="2"/>
  <c r="AF83" i="2"/>
  <c r="AF82" i="2"/>
  <c r="AF81" i="2"/>
  <c r="AF80" i="2"/>
  <c r="AF79" i="2"/>
  <c r="AF78" i="2"/>
  <c r="AF77" i="2"/>
  <c r="AF76" i="2"/>
  <c r="AF75" i="2"/>
  <c r="AF74" i="2"/>
  <c r="AF73" i="2"/>
  <c r="AF72" i="2"/>
  <c r="AF71" i="2"/>
  <c r="AF70" i="2"/>
  <c r="AF69" i="2"/>
  <c r="AF68" i="2"/>
  <c r="AF67" i="2"/>
  <c r="AF66" i="2"/>
  <c r="AF65" i="2"/>
  <c r="AF64" i="2"/>
  <c r="AF63" i="2"/>
  <c r="AF62" i="2"/>
  <c r="AF61" i="2"/>
  <c r="AF60" i="2"/>
  <c r="AF59" i="2"/>
  <c r="AF58" i="2"/>
  <c r="AF57" i="2"/>
  <c r="AF56" i="2"/>
  <c r="AF55" i="2"/>
  <c r="AF54" i="2"/>
  <c r="AF53" i="2"/>
  <c r="AF52" i="2"/>
  <c r="AF51" i="2"/>
  <c r="AF50" i="2"/>
  <c r="Z277" i="2"/>
  <c r="Z276" i="2"/>
  <c r="Z275" i="2"/>
  <c r="Z274" i="2"/>
  <c r="Z273" i="2"/>
  <c r="Z272" i="2"/>
  <c r="Z271" i="2"/>
  <c r="Z270" i="2"/>
  <c r="Z269" i="2"/>
  <c r="Z268" i="2"/>
  <c r="Z266" i="2"/>
  <c r="Z265" i="2"/>
  <c r="Z264" i="2"/>
  <c r="Z263" i="2"/>
  <c r="Z262" i="2"/>
  <c r="Z261" i="2"/>
  <c r="Z260" i="2"/>
  <c r="Z259" i="2"/>
  <c r="Z258" i="2"/>
  <c r="Z257" i="2"/>
  <c r="Z256" i="2"/>
  <c r="Z255" i="2"/>
  <c r="Z254" i="2"/>
  <c r="Z253" i="2"/>
  <c r="Z252" i="2"/>
  <c r="Z251" i="2"/>
  <c r="Z250" i="2"/>
  <c r="Z249" i="2"/>
  <c r="Z248" i="2"/>
  <c r="Z247" i="2"/>
  <c r="Z246" i="2"/>
  <c r="Z245" i="2"/>
  <c r="Z244" i="2"/>
  <c r="Z243" i="2"/>
  <c r="Z242" i="2"/>
  <c r="Z241" i="2"/>
  <c r="Z240" i="2"/>
  <c r="Z239" i="2"/>
  <c r="Z238" i="2"/>
  <c r="Z237" i="2"/>
  <c r="Z236" i="2"/>
  <c r="Z235" i="2"/>
  <c r="Z234" i="2"/>
  <c r="Z233" i="2"/>
  <c r="Z232" i="2"/>
  <c r="Z231" i="2"/>
  <c r="Z230" i="2"/>
  <c r="Z229" i="2"/>
  <c r="Z228" i="2"/>
  <c r="Z227" i="2"/>
  <c r="Z226" i="2"/>
  <c r="Z225" i="2"/>
  <c r="Z224" i="2"/>
  <c r="Z223" i="2"/>
  <c r="Z222" i="2"/>
  <c r="Z221" i="2"/>
  <c r="Z220" i="2"/>
  <c r="Z219" i="2"/>
  <c r="Z218" i="2"/>
  <c r="Z217" i="2"/>
  <c r="Z216" i="2"/>
  <c r="Z215" i="2"/>
  <c r="Z214" i="2"/>
  <c r="Z213" i="2"/>
  <c r="Z212" i="2"/>
  <c r="Z211" i="2"/>
  <c r="Z210" i="2"/>
  <c r="Z209" i="2"/>
  <c r="Z208" i="2"/>
  <c r="Z207" i="2"/>
  <c r="Z206" i="2"/>
  <c r="Z205" i="2"/>
  <c r="Z204" i="2"/>
  <c r="Z203" i="2"/>
  <c r="Z202" i="2"/>
  <c r="Z201" i="2"/>
  <c r="Z200" i="2"/>
  <c r="Z199" i="2"/>
  <c r="Z198" i="2"/>
  <c r="Z197" i="2"/>
  <c r="Z196" i="2"/>
  <c r="Z195" i="2"/>
  <c r="Z194" i="2"/>
  <c r="Z193" i="2"/>
  <c r="Z192" i="2"/>
  <c r="Z191" i="2"/>
  <c r="Z190" i="2"/>
  <c r="Z189" i="2"/>
  <c r="Z188" i="2"/>
  <c r="Z187" i="2"/>
  <c r="Z186" i="2"/>
  <c r="Z185" i="2"/>
  <c r="Z184" i="2"/>
  <c r="Z183" i="2"/>
  <c r="Z182" i="2"/>
  <c r="Z181" i="2"/>
  <c r="Z180" i="2"/>
  <c r="Z178" i="2"/>
  <c r="Z177" i="2"/>
  <c r="Z176" i="2"/>
  <c r="Z175" i="2"/>
  <c r="Z174" i="2"/>
  <c r="Z173" i="2"/>
  <c r="Z172" i="2"/>
  <c r="Z171" i="2"/>
  <c r="Z170" i="2"/>
  <c r="Z169" i="2"/>
  <c r="Z168" i="2"/>
  <c r="Z167" i="2"/>
  <c r="Z166" i="2"/>
  <c r="Z165" i="2"/>
  <c r="Z164" i="2"/>
  <c r="Z163" i="2"/>
  <c r="Z162" i="2"/>
  <c r="Z161" i="2"/>
  <c r="Z160" i="2"/>
  <c r="Z159" i="2"/>
  <c r="Z158" i="2"/>
  <c r="Z157" i="2"/>
  <c r="Z156" i="2"/>
  <c r="Z155" i="2"/>
  <c r="Z154" i="2"/>
  <c r="Z153" i="2"/>
  <c r="Z152" i="2"/>
  <c r="Z151" i="2"/>
  <c r="Z150" i="2"/>
  <c r="Z149" i="2"/>
  <c r="Z148" i="2"/>
  <c r="Z147" i="2"/>
  <c r="Z146" i="2"/>
  <c r="Z145" i="2"/>
  <c r="Z144" i="2"/>
  <c r="Z143" i="2"/>
  <c r="Z142" i="2"/>
  <c r="Z141" i="2"/>
  <c r="Z140" i="2"/>
  <c r="Z139" i="2"/>
  <c r="Z138" i="2"/>
  <c r="Z137" i="2"/>
  <c r="Z136" i="2"/>
  <c r="Z135" i="2"/>
  <c r="Z134" i="2"/>
  <c r="Z133" i="2"/>
  <c r="Z132" i="2"/>
  <c r="Z131" i="2"/>
  <c r="Z130" i="2"/>
  <c r="Z129" i="2"/>
  <c r="Z128" i="2"/>
  <c r="Z127" i="2"/>
  <c r="Z126" i="2"/>
  <c r="Z125" i="2"/>
  <c r="Z124" i="2"/>
  <c r="Z123" i="2"/>
  <c r="Z122" i="2"/>
  <c r="Z121" i="2"/>
  <c r="Z120" i="2"/>
  <c r="Z119" i="2"/>
  <c r="Z118" i="2"/>
  <c r="Z117" i="2"/>
  <c r="Z116" i="2"/>
  <c r="Z115" i="2"/>
  <c r="Z114" i="2"/>
  <c r="Z113" i="2"/>
  <c r="Z112" i="2"/>
  <c r="Z111" i="2"/>
  <c r="Z110" i="2"/>
  <c r="Z109" i="2"/>
  <c r="Z108" i="2"/>
  <c r="Z107" i="2"/>
  <c r="Z106" i="2"/>
  <c r="Z105" i="2"/>
  <c r="Z104" i="2"/>
  <c r="Z103" i="2"/>
  <c r="Z102" i="2"/>
  <c r="Z101" i="2"/>
  <c r="Z100" i="2"/>
  <c r="Z99" i="2"/>
  <c r="Z98" i="2"/>
  <c r="Z97" i="2"/>
  <c r="Z96" i="2"/>
  <c r="Z95" i="2"/>
  <c r="Z94" i="2"/>
  <c r="Z93" i="2"/>
  <c r="Z92" i="2"/>
  <c r="Z91" i="2"/>
  <c r="Z90" i="2"/>
  <c r="Z89" i="2"/>
  <c r="Z88" i="2"/>
  <c r="Z87" i="2"/>
  <c r="Z86" i="2"/>
  <c r="Z85" i="2"/>
  <c r="Z84" i="2"/>
  <c r="Z83" i="2"/>
  <c r="Z82" i="2"/>
  <c r="Z81" i="2"/>
  <c r="Z80" i="2"/>
  <c r="Z79" i="2"/>
  <c r="Z78" i="2"/>
  <c r="Z77" i="2"/>
  <c r="Z76" i="2"/>
  <c r="Z75" i="2"/>
  <c r="Z74" i="2"/>
  <c r="Z73" i="2"/>
  <c r="Z72" i="2"/>
  <c r="Z71" i="2"/>
  <c r="Z70" i="2"/>
  <c r="Z69" i="2"/>
  <c r="Z68" i="2"/>
  <c r="Z67" i="2"/>
  <c r="Z66" i="2"/>
  <c r="Z65" i="2"/>
  <c r="Z64" i="2"/>
  <c r="Z63" i="2"/>
  <c r="Z62" i="2"/>
  <c r="Z61" i="2"/>
  <c r="Z60" i="2"/>
  <c r="Z59" i="2"/>
  <c r="Z58" i="2"/>
  <c r="Z57" i="2"/>
  <c r="Z56" i="2"/>
  <c r="Z55" i="2"/>
  <c r="Z54" i="2"/>
  <c r="Z53" i="2"/>
  <c r="Z52" i="2"/>
  <c r="Z51" i="2"/>
  <c r="Z50" i="2"/>
  <c r="AD277" i="2"/>
  <c r="AD276" i="2"/>
  <c r="AD275" i="2"/>
  <c r="AD274" i="2"/>
  <c r="AD273" i="2"/>
  <c r="AD272" i="2"/>
  <c r="AD271" i="2"/>
  <c r="AD270" i="2"/>
  <c r="AD269" i="2"/>
  <c r="AD268" i="2"/>
  <c r="AD267" i="2"/>
  <c r="AD266" i="2"/>
  <c r="AD265" i="2"/>
  <c r="AD264" i="2"/>
  <c r="AD263" i="2"/>
  <c r="AD262" i="2"/>
  <c r="AD261" i="2"/>
  <c r="AD260" i="2"/>
  <c r="AD259" i="2"/>
  <c r="AD258" i="2"/>
  <c r="AD257" i="2"/>
  <c r="AD256" i="2"/>
  <c r="AD255" i="2"/>
  <c r="AD254" i="2"/>
  <c r="AD253" i="2"/>
  <c r="AD252" i="2"/>
  <c r="AD251" i="2"/>
  <c r="AD250" i="2"/>
  <c r="AD249" i="2"/>
  <c r="AD248" i="2"/>
  <c r="AD247" i="2"/>
  <c r="AD246" i="2"/>
  <c r="AD245" i="2"/>
  <c r="AD244" i="2"/>
  <c r="AD243" i="2"/>
  <c r="AD242" i="2"/>
  <c r="AD241" i="2"/>
  <c r="AD240" i="2"/>
  <c r="AD239" i="2"/>
  <c r="AD238" i="2"/>
  <c r="AD237" i="2"/>
  <c r="AD236" i="2"/>
  <c r="AD235" i="2"/>
  <c r="AD234" i="2"/>
  <c r="AD233" i="2"/>
  <c r="AD232" i="2"/>
  <c r="AD231" i="2"/>
  <c r="AD230" i="2"/>
  <c r="AD229" i="2"/>
  <c r="AD228" i="2"/>
  <c r="AD227" i="2"/>
  <c r="AD226" i="2"/>
  <c r="AD225" i="2"/>
  <c r="AD224" i="2"/>
  <c r="AD223" i="2"/>
  <c r="AD222" i="2"/>
  <c r="AD221" i="2"/>
  <c r="AD220" i="2"/>
  <c r="AD219" i="2"/>
  <c r="AD218" i="2"/>
  <c r="AD217" i="2"/>
  <c r="AD216" i="2"/>
  <c r="AD215" i="2"/>
  <c r="AD214" i="2"/>
  <c r="AD213" i="2"/>
  <c r="AD212" i="2"/>
  <c r="AD211" i="2"/>
  <c r="AD210" i="2"/>
  <c r="AD209" i="2"/>
  <c r="AD208" i="2"/>
  <c r="AD207" i="2"/>
  <c r="AD206" i="2"/>
  <c r="AD205" i="2"/>
  <c r="AD204" i="2"/>
  <c r="AD203" i="2"/>
  <c r="AD202" i="2"/>
  <c r="AD201" i="2"/>
  <c r="AD200" i="2"/>
  <c r="AD199" i="2"/>
  <c r="AD198" i="2"/>
  <c r="AD197" i="2"/>
  <c r="AD196" i="2"/>
  <c r="AD195" i="2"/>
  <c r="AD194" i="2"/>
  <c r="AD193" i="2"/>
  <c r="AD192" i="2"/>
  <c r="AD191" i="2"/>
  <c r="AD190" i="2"/>
  <c r="AD189" i="2"/>
  <c r="AD188" i="2"/>
  <c r="AD187" i="2"/>
  <c r="AD186" i="2"/>
  <c r="AD185" i="2"/>
  <c r="AD184" i="2"/>
  <c r="AD183" i="2"/>
  <c r="AD182" i="2"/>
  <c r="AD181" i="2"/>
  <c r="AD180" i="2"/>
  <c r="AD178" i="2"/>
  <c r="AD177" i="2"/>
  <c r="AD176" i="2"/>
  <c r="AD175" i="2"/>
  <c r="AD174" i="2"/>
  <c r="AD173" i="2"/>
  <c r="AD172" i="2"/>
  <c r="AD171" i="2"/>
  <c r="AD170" i="2"/>
  <c r="AD169" i="2"/>
  <c r="AD168" i="2"/>
  <c r="AD167" i="2"/>
  <c r="AD166" i="2"/>
  <c r="AD165" i="2"/>
  <c r="AD164" i="2"/>
  <c r="AD163" i="2"/>
  <c r="AD162" i="2"/>
  <c r="AD161" i="2"/>
  <c r="AD160" i="2"/>
  <c r="AD159" i="2"/>
  <c r="AD158" i="2"/>
  <c r="AD157" i="2"/>
  <c r="AD156" i="2"/>
  <c r="AD155" i="2"/>
  <c r="AD154" i="2"/>
  <c r="AD153" i="2"/>
  <c r="AD152" i="2"/>
  <c r="AD151" i="2"/>
  <c r="AD150" i="2"/>
  <c r="AD149" i="2"/>
  <c r="AD148" i="2"/>
  <c r="AD147" i="2"/>
  <c r="AD146" i="2"/>
  <c r="AD145" i="2"/>
  <c r="AD144" i="2"/>
  <c r="AD143" i="2"/>
  <c r="AD142" i="2"/>
  <c r="AD141" i="2"/>
  <c r="AD140" i="2"/>
  <c r="AD139" i="2"/>
  <c r="AD138" i="2"/>
  <c r="AD137" i="2"/>
  <c r="AD136" i="2"/>
  <c r="AD135" i="2"/>
  <c r="AD134" i="2"/>
  <c r="AD133" i="2"/>
  <c r="AD132" i="2"/>
  <c r="AD131" i="2"/>
  <c r="AD130" i="2"/>
  <c r="AD129" i="2"/>
  <c r="AD128" i="2"/>
  <c r="AD127" i="2"/>
  <c r="AD126" i="2"/>
  <c r="AD125" i="2"/>
  <c r="AD124" i="2"/>
  <c r="AD123" i="2"/>
  <c r="AD122" i="2"/>
  <c r="AD121" i="2"/>
  <c r="AD120" i="2"/>
  <c r="AD119" i="2"/>
  <c r="AD118" i="2"/>
  <c r="AD117" i="2"/>
  <c r="AD116" i="2"/>
  <c r="AD115" i="2"/>
  <c r="AD114" i="2"/>
  <c r="AD113" i="2"/>
  <c r="AD112" i="2"/>
  <c r="AD111" i="2"/>
  <c r="AD110" i="2"/>
  <c r="AD109" i="2"/>
  <c r="AD108" i="2"/>
  <c r="AD107" i="2"/>
  <c r="AD106" i="2"/>
  <c r="AD105" i="2"/>
  <c r="AD104" i="2"/>
  <c r="AD103" i="2"/>
  <c r="AD102" i="2"/>
  <c r="AD101" i="2"/>
  <c r="AD100" i="2"/>
  <c r="AD99" i="2"/>
  <c r="AD98" i="2"/>
  <c r="AD97" i="2"/>
  <c r="AD96" i="2"/>
  <c r="AD95" i="2"/>
  <c r="AD94" i="2"/>
  <c r="AD93" i="2"/>
  <c r="AD92" i="2"/>
  <c r="AD91" i="2"/>
  <c r="AD90" i="2"/>
  <c r="AD89" i="2"/>
  <c r="AD88" i="2"/>
  <c r="AD87" i="2"/>
  <c r="AD86" i="2"/>
  <c r="AD85" i="2"/>
  <c r="AD84" i="2"/>
  <c r="AD83" i="2"/>
  <c r="AD82" i="2"/>
  <c r="AD81" i="2"/>
  <c r="AD80" i="2"/>
  <c r="AD79" i="2"/>
  <c r="AD78" i="2"/>
  <c r="AD77" i="2"/>
  <c r="AD76" i="2"/>
  <c r="AD75" i="2"/>
  <c r="AD74" i="2"/>
  <c r="AD73" i="2"/>
  <c r="AD72" i="2"/>
  <c r="AD71" i="2"/>
  <c r="AD70" i="2"/>
  <c r="AD69" i="2"/>
  <c r="AD68" i="2"/>
  <c r="AD67" i="2"/>
  <c r="AD66" i="2"/>
  <c r="AD65" i="2"/>
  <c r="AD64" i="2"/>
  <c r="AD63" i="2"/>
  <c r="AD62" i="2"/>
  <c r="AD61" i="2"/>
  <c r="AD60" i="2"/>
  <c r="AD59" i="2"/>
  <c r="AD58" i="2"/>
  <c r="AD57" i="2"/>
  <c r="AD56" i="2"/>
  <c r="AD55" i="2"/>
  <c r="AD54" i="2"/>
  <c r="AD53" i="2"/>
  <c r="AD52" i="2"/>
  <c r="AD51" i="2"/>
  <c r="AD50" i="2"/>
  <c r="AD49" i="2"/>
  <c r="AH277" i="2"/>
  <c r="AH276" i="2"/>
  <c r="AH275" i="2"/>
  <c r="AH274" i="2"/>
  <c r="AH273" i="2"/>
  <c r="AH272" i="2"/>
  <c r="AH271" i="2"/>
  <c r="AH270" i="2"/>
  <c r="AH269" i="2"/>
  <c r="AH268" i="2"/>
  <c r="AH267" i="2"/>
  <c r="AH266" i="2"/>
  <c r="AH265" i="2"/>
  <c r="AH264" i="2"/>
  <c r="AH263" i="2"/>
  <c r="AH262" i="2"/>
  <c r="AH261" i="2"/>
  <c r="AH260" i="2"/>
  <c r="AH259" i="2"/>
  <c r="AH258" i="2"/>
  <c r="AH257" i="2"/>
  <c r="AH256" i="2"/>
  <c r="AH255" i="2"/>
  <c r="AH254" i="2"/>
  <c r="AH253" i="2"/>
  <c r="AH252" i="2"/>
  <c r="AH251" i="2"/>
  <c r="AH250" i="2"/>
  <c r="AH249" i="2"/>
  <c r="AH248" i="2"/>
  <c r="AH247" i="2"/>
  <c r="AH246" i="2"/>
  <c r="AH245" i="2"/>
  <c r="AH244" i="2"/>
  <c r="AH243" i="2"/>
  <c r="AH242" i="2"/>
  <c r="AH241" i="2"/>
  <c r="AH240" i="2"/>
  <c r="AH239" i="2"/>
  <c r="AH238" i="2"/>
  <c r="AH237" i="2"/>
  <c r="AH236" i="2"/>
  <c r="AH235" i="2"/>
  <c r="AH234" i="2"/>
  <c r="AH233" i="2"/>
  <c r="AH232" i="2"/>
  <c r="AH231" i="2"/>
  <c r="AH230" i="2"/>
  <c r="AH229" i="2"/>
  <c r="AH228" i="2"/>
  <c r="AH227" i="2"/>
  <c r="AH226" i="2"/>
  <c r="AH225" i="2"/>
  <c r="AH224" i="2"/>
  <c r="AH223" i="2"/>
  <c r="AH222" i="2"/>
  <c r="AH221" i="2"/>
  <c r="AH220" i="2"/>
  <c r="AH219" i="2"/>
  <c r="AH218" i="2"/>
  <c r="AH217" i="2"/>
  <c r="AH216" i="2"/>
  <c r="AH215" i="2"/>
  <c r="AH214" i="2"/>
  <c r="AH213" i="2"/>
  <c r="AH212" i="2"/>
  <c r="AH211" i="2"/>
  <c r="AH210" i="2"/>
  <c r="AH209" i="2"/>
  <c r="AH208" i="2"/>
  <c r="AH207" i="2"/>
  <c r="AH206" i="2"/>
  <c r="AH205" i="2"/>
  <c r="AH204" i="2"/>
  <c r="AH203" i="2"/>
  <c r="AH202" i="2"/>
  <c r="AH201" i="2"/>
  <c r="AH200" i="2"/>
  <c r="AH199" i="2"/>
  <c r="AH198" i="2"/>
  <c r="AH197" i="2"/>
  <c r="AH196" i="2"/>
  <c r="AH195" i="2"/>
  <c r="AH194" i="2"/>
  <c r="AH193" i="2"/>
  <c r="AH192" i="2"/>
  <c r="AH191" i="2"/>
  <c r="AH190" i="2"/>
  <c r="AH189" i="2"/>
  <c r="AH188" i="2"/>
  <c r="AH187" i="2"/>
  <c r="AH186" i="2"/>
  <c r="AH185" i="2"/>
  <c r="AH184" i="2"/>
  <c r="AH183" i="2"/>
  <c r="AH182" i="2"/>
  <c r="AH181" i="2"/>
  <c r="AH180" i="2"/>
  <c r="AH178" i="2"/>
  <c r="AH177" i="2"/>
  <c r="AH176" i="2"/>
  <c r="AH175" i="2"/>
  <c r="AH174" i="2"/>
  <c r="AH173" i="2"/>
  <c r="AH172" i="2"/>
  <c r="AH171" i="2"/>
  <c r="AH170" i="2"/>
  <c r="AH169" i="2"/>
  <c r="AH168" i="2"/>
  <c r="AH167" i="2"/>
  <c r="AH166" i="2"/>
  <c r="AH165" i="2"/>
  <c r="AH164" i="2"/>
  <c r="AH163" i="2"/>
  <c r="AH162" i="2"/>
  <c r="AH161" i="2"/>
  <c r="AH160" i="2"/>
  <c r="AH159" i="2"/>
  <c r="AH158" i="2"/>
  <c r="AH157" i="2"/>
  <c r="AH156" i="2"/>
  <c r="AH155" i="2"/>
  <c r="AH154" i="2"/>
  <c r="AH153" i="2"/>
  <c r="AH152" i="2"/>
  <c r="AH151" i="2"/>
  <c r="AH150" i="2"/>
  <c r="AH149" i="2"/>
  <c r="AH148" i="2"/>
  <c r="AH147" i="2"/>
  <c r="AH146" i="2"/>
  <c r="AH145" i="2"/>
  <c r="AH144" i="2"/>
  <c r="AH143" i="2"/>
  <c r="AH142" i="2"/>
  <c r="AH141" i="2"/>
  <c r="AH140" i="2"/>
  <c r="AH139" i="2"/>
  <c r="AH138" i="2"/>
  <c r="AH137" i="2"/>
  <c r="AH136" i="2"/>
  <c r="AH135" i="2"/>
  <c r="AH134" i="2"/>
  <c r="AH133" i="2"/>
  <c r="AH132" i="2"/>
  <c r="AH131" i="2"/>
  <c r="AH130" i="2"/>
  <c r="AH129" i="2"/>
  <c r="AH128" i="2"/>
  <c r="AH127" i="2"/>
  <c r="AH126" i="2"/>
  <c r="AH125" i="2"/>
  <c r="AH124" i="2"/>
  <c r="AH123" i="2"/>
  <c r="AH122" i="2"/>
  <c r="AH121" i="2"/>
  <c r="AH120" i="2"/>
  <c r="AH119" i="2"/>
  <c r="AH118" i="2"/>
  <c r="AH117" i="2"/>
  <c r="AH116" i="2"/>
  <c r="AH115" i="2"/>
  <c r="AH114" i="2"/>
  <c r="AH113" i="2"/>
  <c r="AH112" i="2"/>
  <c r="AH111" i="2"/>
  <c r="AH110" i="2"/>
  <c r="AH109" i="2"/>
  <c r="AH108" i="2"/>
  <c r="AH107" i="2"/>
  <c r="AH106" i="2"/>
  <c r="AH105" i="2"/>
  <c r="AH104" i="2"/>
  <c r="AH103" i="2"/>
  <c r="AH102" i="2"/>
  <c r="AH101" i="2"/>
  <c r="AH100" i="2"/>
  <c r="AH99" i="2"/>
  <c r="AH98" i="2"/>
  <c r="AH97" i="2"/>
  <c r="AH96" i="2"/>
  <c r="AH95" i="2"/>
  <c r="AH94" i="2"/>
  <c r="AH93" i="2"/>
  <c r="AH92" i="2"/>
  <c r="AH91" i="2"/>
  <c r="AH90" i="2"/>
  <c r="AH89" i="2"/>
  <c r="AH88" i="2"/>
  <c r="AH87" i="2"/>
  <c r="AH86" i="2"/>
  <c r="AH85" i="2"/>
  <c r="AH84" i="2"/>
  <c r="AH83" i="2"/>
  <c r="AH82" i="2"/>
  <c r="AH81" i="2"/>
  <c r="AH80" i="2"/>
  <c r="AH79" i="2"/>
  <c r="AH78" i="2"/>
  <c r="AH77" i="2"/>
  <c r="AH76" i="2"/>
  <c r="AH75" i="2"/>
  <c r="AH74" i="2"/>
  <c r="AH73" i="2"/>
  <c r="AH72" i="2"/>
  <c r="AH71" i="2"/>
  <c r="AH70" i="2"/>
  <c r="AH69" i="2"/>
  <c r="AH68" i="2"/>
  <c r="AH67" i="2"/>
  <c r="AH66" i="2"/>
  <c r="AH65" i="2"/>
  <c r="AH64" i="2"/>
  <c r="AH63" i="2"/>
  <c r="AH62" i="2"/>
  <c r="AH61" i="2"/>
  <c r="AH60" i="2"/>
  <c r="AH59" i="2"/>
  <c r="AH58" i="2"/>
  <c r="AH57" i="2"/>
  <c r="AH56" i="2"/>
  <c r="AH55" i="2"/>
  <c r="AH54" i="2"/>
  <c r="AH53" i="2"/>
  <c r="AH52" i="2"/>
  <c r="AH51" i="2"/>
  <c r="AH50" i="2"/>
  <c r="AH49" i="2"/>
  <c r="AL277" i="2"/>
  <c r="AL276" i="2"/>
  <c r="AL275" i="2"/>
  <c r="AL274" i="2"/>
  <c r="AL273" i="2"/>
  <c r="AL272" i="2"/>
  <c r="AL271" i="2"/>
  <c r="AL270" i="2"/>
  <c r="AL269" i="2"/>
  <c r="AL268" i="2"/>
  <c r="AL267" i="2"/>
  <c r="AL266" i="2"/>
  <c r="AL265" i="2"/>
  <c r="AL264" i="2"/>
  <c r="AL263" i="2"/>
  <c r="AL262" i="2"/>
  <c r="AL261" i="2"/>
  <c r="AL260" i="2"/>
  <c r="AL259" i="2"/>
  <c r="AL258" i="2"/>
  <c r="AL257" i="2"/>
  <c r="AL256" i="2"/>
  <c r="AL255" i="2"/>
  <c r="AL254" i="2"/>
  <c r="AL253" i="2"/>
  <c r="AL252" i="2"/>
  <c r="AL251" i="2"/>
  <c r="AL250" i="2"/>
  <c r="AL249" i="2"/>
  <c r="AL248" i="2"/>
  <c r="AL247" i="2"/>
  <c r="AL246" i="2"/>
  <c r="AL245" i="2"/>
  <c r="AL244" i="2"/>
  <c r="AL243" i="2"/>
  <c r="AL242" i="2"/>
  <c r="AL241" i="2"/>
  <c r="AL240" i="2"/>
  <c r="AL239" i="2"/>
  <c r="AL238" i="2"/>
  <c r="AL237" i="2"/>
  <c r="AL236" i="2"/>
  <c r="AL235" i="2"/>
  <c r="AL234" i="2"/>
  <c r="AL233" i="2"/>
  <c r="AL232" i="2"/>
  <c r="AL231" i="2"/>
  <c r="AL230" i="2"/>
  <c r="AL229" i="2"/>
  <c r="AL228" i="2"/>
  <c r="AL227" i="2"/>
  <c r="AL226" i="2"/>
  <c r="AL225" i="2"/>
  <c r="AL224" i="2"/>
  <c r="AL223" i="2"/>
  <c r="AL222" i="2"/>
  <c r="AL221" i="2"/>
  <c r="AL220" i="2"/>
  <c r="AL219" i="2"/>
  <c r="AL218" i="2"/>
  <c r="AL217" i="2"/>
  <c r="AL216" i="2"/>
  <c r="AL215" i="2"/>
  <c r="AL214" i="2"/>
  <c r="AL213" i="2"/>
  <c r="AL212" i="2"/>
  <c r="AL211" i="2"/>
  <c r="AL210" i="2"/>
  <c r="AL209" i="2"/>
  <c r="AL208" i="2"/>
  <c r="AL207" i="2"/>
  <c r="AL206" i="2"/>
  <c r="AL205" i="2"/>
  <c r="AL204" i="2"/>
  <c r="AL203" i="2"/>
  <c r="AL202" i="2"/>
  <c r="AL201" i="2"/>
  <c r="AL200" i="2"/>
  <c r="AL199" i="2"/>
  <c r="AL198" i="2"/>
  <c r="AL197" i="2"/>
  <c r="AL196" i="2"/>
  <c r="AL195" i="2"/>
  <c r="AL194" i="2"/>
  <c r="AL193" i="2"/>
  <c r="AL192" i="2"/>
  <c r="AL191" i="2"/>
  <c r="AL190" i="2"/>
  <c r="AL189" i="2"/>
  <c r="AL188" i="2"/>
  <c r="AL187" i="2"/>
  <c r="AL186" i="2"/>
  <c r="AL185" i="2"/>
  <c r="AL184" i="2"/>
  <c r="AL183" i="2"/>
  <c r="AL182" i="2"/>
  <c r="AL181" i="2"/>
  <c r="AL180" i="2"/>
  <c r="AL179" i="2"/>
  <c r="AL178" i="2"/>
  <c r="AL177" i="2"/>
  <c r="AL176" i="2"/>
  <c r="AL175" i="2"/>
  <c r="AL174" i="2"/>
  <c r="AL173" i="2"/>
  <c r="AL172" i="2"/>
  <c r="AL171" i="2"/>
  <c r="AL170" i="2"/>
  <c r="AL169" i="2"/>
  <c r="AL168" i="2"/>
  <c r="AL167" i="2"/>
  <c r="AL166" i="2"/>
  <c r="AL165" i="2"/>
  <c r="AL164" i="2"/>
  <c r="AL163" i="2"/>
  <c r="AL162" i="2"/>
  <c r="AL161" i="2"/>
  <c r="AL160" i="2"/>
  <c r="AL159" i="2"/>
  <c r="AL158" i="2"/>
  <c r="AL157" i="2"/>
  <c r="AL156" i="2"/>
  <c r="AL155" i="2"/>
  <c r="AL154" i="2"/>
  <c r="AL153" i="2"/>
  <c r="AL152" i="2"/>
  <c r="AL151" i="2"/>
  <c r="AL150" i="2"/>
  <c r="AL149" i="2"/>
  <c r="AL148" i="2"/>
  <c r="AL147" i="2"/>
  <c r="AL146" i="2"/>
  <c r="AL145" i="2"/>
  <c r="AL144" i="2"/>
  <c r="AL143" i="2"/>
  <c r="AL142" i="2"/>
  <c r="AL141" i="2"/>
  <c r="AL140" i="2"/>
  <c r="AL139" i="2"/>
  <c r="AL138" i="2"/>
  <c r="AL137" i="2"/>
  <c r="AL136" i="2"/>
  <c r="AL135" i="2"/>
  <c r="AL134" i="2"/>
  <c r="AL133" i="2"/>
  <c r="AL132" i="2"/>
  <c r="AL131" i="2"/>
  <c r="AL130" i="2"/>
  <c r="AL129" i="2"/>
  <c r="AL128" i="2"/>
  <c r="AL127" i="2"/>
  <c r="AL126" i="2"/>
  <c r="AL125" i="2"/>
  <c r="AL124" i="2"/>
  <c r="AL123" i="2"/>
  <c r="AL122" i="2"/>
  <c r="AL121" i="2"/>
  <c r="AL120" i="2"/>
  <c r="AL119" i="2"/>
  <c r="AL118" i="2"/>
  <c r="AL117" i="2"/>
  <c r="AL116" i="2"/>
  <c r="AL115" i="2"/>
  <c r="AL114" i="2"/>
  <c r="AL113" i="2"/>
  <c r="AL112" i="2"/>
  <c r="AL111" i="2"/>
  <c r="AL110" i="2"/>
  <c r="AL109" i="2"/>
  <c r="AL108" i="2"/>
  <c r="AL107" i="2"/>
  <c r="AL106" i="2"/>
  <c r="AL105" i="2"/>
  <c r="AL104" i="2"/>
  <c r="AL103" i="2"/>
  <c r="AL102" i="2"/>
  <c r="AL101" i="2"/>
  <c r="AL100" i="2"/>
  <c r="AL99" i="2"/>
  <c r="AL98" i="2"/>
  <c r="AL97" i="2"/>
  <c r="AL96" i="2"/>
  <c r="AL95" i="2"/>
  <c r="AL94" i="2"/>
  <c r="AL93" i="2"/>
  <c r="AL92" i="2"/>
  <c r="AL91" i="2"/>
  <c r="AL90" i="2"/>
  <c r="AL89" i="2"/>
  <c r="AL88" i="2"/>
  <c r="AL87" i="2"/>
  <c r="AL86" i="2"/>
  <c r="AL85" i="2"/>
  <c r="AL84" i="2"/>
  <c r="AL83" i="2"/>
  <c r="AL82" i="2"/>
  <c r="AL81" i="2"/>
  <c r="AL80" i="2"/>
  <c r="AL79" i="2"/>
  <c r="AL78" i="2"/>
  <c r="AL77" i="2"/>
  <c r="AL76" i="2"/>
  <c r="AL75" i="2"/>
  <c r="AL74" i="2"/>
  <c r="AL73" i="2"/>
  <c r="AL72" i="2"/>
  <c r="AL71" i="2"/>
  <c r="AL70" i="2"/>
  <c r="AL69" i="2"/>
  <c r="AL68" i="2"/>
  <c r="AL67" i="2"/>
  <c r="AL66" i="2"/>
  <c r="AL65" i="2"/>
  <c r="AL64" i="2"/>
  <c r="AL63" i="2"/>
  <c r="AL62" i="2"/>
  <c r="AL61" i="2"/>
  <c r="AL60" i="2"/>
  <c r="AL59" i="2"/>
  <c r="AL58" i="2"/>
  <c r="AL57" i="2"/>
  <c r="AL56" i="2"/>
  <c r="AL55" i="2"/>
  <c r="AL54" i="2"/>
  <c r="AL53" i="2"/>
  <c r="AL52" i="2"/>
  <c r="AL51" i="2"/>
  <c r="AL50" i="2"/>
  <c r="AL49" i="2"/>
  <c r="AC22" i="2"/>
  <c r="AG22" i="2"/>
  <c r="AK22" i="2"/>
  <c r="AO22" i="2"/>
  <c r="AC23" i="2"/>
  <c r="AG23" i="2"/>
  <c r="AK23" i="2"/>
  <c r="AO23" i="2"/>
  <c r="AC24" i="2"/>
  <c r="AG24" i="2"/>
  <c r="AK24" i="2"/>
  <c r="AO24" i="2"/>
  <c r="AC25" i="2"/>
  <c r="AG25" i="2"/>
  <c r="AK25" i="2"/>
  <c r="AO25" i="2"/>
  <c r="AC26" i="2"/>
  <c r="AG26" i="2"/>
  <c r="AK26" i="2"/>
  <c r="AO26" i="2"/>
  <c r="AC27" i="2"/>
  <c r="AG27" i="2"/>
  <c r="AK27" i="2"/>
  <c r="AO27" i="2"/>
  <c r="AC28" i="2"/>
  <c r="AG28" i="2"/>
  <c r="AK28" i="2"/>
  <c r="AO28" i="2"/>
  <c r="AC29" i="2"/>
  <c r="AG29" i="2"/>
  <c r="AK29" i="2"/>
  <c r="AO29" i="2"/>
  <c r="AC30" i="2"/>
  <c r="AG30" i="2"/>
  <c r="AK30" i="2"/>
  <c r="AO30" i="2"/>
  <c r="AC31" i="2"/>
  <c r="AG31" i="2"/>
  <c r="AK31" i="2"/>
  <c r="AO31" i="2"/>
  <c r="AC32" i="2"/>
  <c r="AG32" i="2"/>
  <c r="AK32" i="2"/>
  <c r="AO32" i="2"/>
  <c r="AC33" i="2"/>
  <c r="AG33" i="2"/>
  <c r="AK33" i="2"/>
  <c r="AO33" i="2"/>
  <c r="AC34" i="2"/>
  <c r="AG34" i="2"/>
  <c r="AK34" i="2"/>
  <c r="AO34" i="2"/>
  <c r="AC35" i="2"/>
  <c r="AG35" i="2"/>
  <c r="AK35" i="2"/>
  <c r="AO35" i="2"/>
  <c r="AC36" i="2"/>
  <c r="AG36" i="2"/>
  <c r="AK36" i="2"/>
  <c r="AO36" i="2"/>
  <c r="AC37" i="2"/>
  <c r="AG37" i="2"/>
  <c r="AK37" i="2"/>
  <c r="AO37" i="2"/>
  <c r="AC38" i="2"/>
  <c r="AG38" i="2"/>
  <c r="AK38" i="2"/>
  <c r="AO38" i="2"/>
  <c r="AC39" i="2"/>
  <c r="AG39" i="2"/>
  <c r="AK39" i="2"/>
  <c r="AO39" i="2"/>
  <c r="AC40" i="2"/>
  <c r="AG40" i="2"/>
  <c r="AK40" i="2"/>
  <c r="AO40" i="2"/>
  <c r="AC41" i="2"/>
  <c r="AG41" i="2"/>
  <c r="AK41" i="2"/>
  <c r="AO41" i="2"/>
  <c r="AC42" i="2"/>
  <c r="AG42" i="2"/>
  <c r="AK42" i="2"/>
  <c r="AO42" i="2"/>
  <c r="AC43" i="2"/>
  <c r="AG43" i="2"/>
  <c r="AK43" i="2"/>
  <c r="AO43" i="2"/>
  <c r="AC44" i="2"/>
  <c r="AG44" i="2"/>
  <c r="AK44" i="2"/>
  <c r="AO44" i="2"/>
  <c r="AC45" i="2"/>
  <c r="AG45" i="2"/>
  <c r="AK45" i="2"/>
  <c r="AO45" i="2"/>
  <c r="AC46" i="2"/>
  <c r="AG46" i="2"/>
  <c r="AK46" i="2"/>
  <c r="AO46" i="2"/>
  <c r="AC47" i="2"/>
  <c r="AG47" i="2"/>
  <c r="AK47" i="2"/>
  <c r="AO47" i="2"/>
  <c r="AC48" i="2"/>
  <c r="AG48" i="2"/>
  <c r="AK48" i="2"/>
  <c r="AO48" i="2"/>
  <c r="AC49" i="2"/>
  <c r="AA277" i="2"/>
  <c r="AA276" i="2"/>
  <c r="AA275" i="2"/>
  <c r="AA274" i="2"/>
  <c r="AA273" i="2"/>
  <c r="AA272" i="2"/>
  <c r="AA271" i="2"/>
  <c r="AA270" i="2"/>
  <c r="AA269" i="2"/>
  <c r="AA268" i="2"/>
  <c r="AA267" i="2"/>
  <c r="AA266" i="2"/>
  <c r="AA265" i="2"/>
  <c r="AA264" i="2"/>
  <c r="AA263" i="2"/>
  <c r="AA262" i="2"/>
  <c r="AA261" i="2"/>
  <c r="AA260" i="2"/>
  <c r="AA259" i="2"/>
  <c r="AA258" i="2"/>
  <c r="AA257" i="2"/>
  <c r="AA256" i="2"/>
  <c r="AA255" i="2"/>
  <c r="AA254" i="2"/>
  <c r="AA253" i="2"/>
  <c r="AA252" i="2"/>
  <c r="AA251" i="2"/>
  <c r="AA250" i="2"/>
  <c r="AA249" i="2"/>
  <c r="AA248" i="2"/>
  <c r="AA247" i="2"/>
  <c r="AA246" i="2"/>
  <c r="AA245" i="2"/>
  <c r="AA244" i="2"/>
  <c r="AA243" i="2"/>
  <c r="AA242" i="2"/>
  <c r="AA241" i="2"/>
  <c r="AA240" i="2"/>
  <c r="AA239" i="2"/>
  <c r="AA238" i="2"/>
  <c r="AA237" i="2"/>
  <c r="AA236" i="2"/>
  <c r="AA235" i="2"/>
  <c r="AA234" i="2"/>
  <c r="AA233" i="2"/>
  <c r="AA232" i="2"/>
  <c r="AA231" i="2"/>
  <c r="AA230" i="2"/>
  <c r="AA229" i="2"/>
  <c r="AA228" i="2"/>
  <c r="AA227" i="2"/>
  <c r="AA226" i="2"/>
  <c r="AA225" i="2"/>
  <c r="AA224" i="2"/>
  <c r="AA223" i="2"/>
  <c r="AA222" i="2"/>
  <c r="AA221" i="2"/>
  <c r="AA220" i="2"/>
  <c r="AA219" i="2"/>
  <c r="AA218" i="2"/>
  <c r="AA217" i="2"/>
  <c r="AA216" i="2"/>
  <c r="AA215" i="2"/>
  <c r="AA214" i="2"/>
  <c r="AA213" i="2"/>
  <c r="AA212" i="2"/>
  <c r="AA211" i="2"/>
  <c r="AA210" i="2"/>
  <c r="AA209" i="2"/>
  <c r="AA208" i="2"/>
  <c r="AA207" i="2"/>
  <c r="AA206" i="2"/>
  <c r="AA205" i="2"/>
  <c r="AA204" i="2"/>
  <c r="AA203" i="2"/>
  <c r="AA202" i="2"/>
  <c r="AA201" i="2"/>
  <c r="AA200" i="2"/>
  <c r="AA199" i="2"/>
  <c r="AA198" i="2"/>
  <c r="AA197" i="2"/>
  <c r="AA196" i="2"/>
  <c r="AA195" i="2"/>
  <c r="AA194" i="2"/>
  <c r="AA193" i="2"/>
  <c r="AA192" i="2"/>
  <c r="AA191" i="2"/>
  <c r="AA190" i="2"/>
  <c r="AA189" i="2"/>
  <c r="AA188" i="2"/>
  <c r="AA187" i="2"/>
  <c r="AA186" i="2"/>
  <c r="AA185" i="2"/>
  <c r="AA184" i="2"/>
  <c r="AA183" i="2"/>
  <c r="AA182" i="2"/>
  <c r="AA181" i="2"/>
  <c r="AA180" i="2"/>
  <c r="AA178" i="2"/>
  <c r="AA177" i="2"/>
  <c r="AA176" i="2"/>
  <c r="AA175" i="2"/>
  <c r="AA174" i="2"/>
  <c r="AA173" i="2"/>
  <c r="AA172" i="2"/>
  <c r="AA171" i="2"/>
  <c r="AA170" i="2"/>
  <c r="AA169" i="2"/>
  <c r="AA168" i="2"/>
  <c r="AA167" i="2"/>
  <c r="AA166" i="2"/>
  <c r="AA165" i="2"/>
  <c r="AA164" i="2"/>
  <c r="AA163" i="2"/>
  <c r="AA162" i="2"/>
  <c r="AA161" i="2"/>
  <c r="AA160" i="2"/>
  <c r="AA159" i="2"/>
  <c r="AA158" i="2"/>
  <c r="AA157" i="2"/>
  <c r="AA156" i="2"/>
  <c r="AA155" i="2"/>
  <c r="AA154" i="2"/>
  <c r="AA153" i="2"/>
  <c r="AA152" i="2"/>
  <c r="AA151" i="2"/>
  <c r="AA150" i="2"/>
  <c r="AA149" i="2"/>
  <c r="AA148" i="2"/>
  <c r="AA147" i="2"/>
  <c r="AA146" i="2"/>
  <c r="AA145" i="2"/>
  <c r="AA144" i="2"/>
  <c r="AA143" i="2"/>
  <c r="AA142" i="2"/>
  <c r="AA141" i="2"/>
  <c r="AA140" i="2"/>
  <c r="AA139" i="2"/>
  <c r="AA138" i="2"/>
  <c r="AA137" i="2"/>
  <c r="AA136" i="2"/>
  <c r="AA135" i="2"/>
  <c r="AA134" i="2"/>
  <c r="AA133" i="2"/>
  <c r="AA132" i="2"/>
  <c r="AA131" i="2"/>
  <c r="AA130" i="2"/>
  <c r="AA129" i="2"/>
  <c r="AA128" i="2"/>
  <c r="AA127" i="2"/>
  <c r="AA126" i="2"/>
  <c r="AA125" i="2"/>
  <c r="AA124" i="2"/>
  <c r="AA123" i="2"/>
  <c r="AA122" i="2"/>
  <c r="AA121" i="2"/>
  <c r="AA120" i="2"/>
  <c r="AA119" i="2"/>
  <c r="AA118" i="2"/>
  <c r="AA117" i="2"/>
  <c r="AA116" i="2"/>
  <c r="AA115" i="2"/>
  <c r="AA114" i="2"/>
  <c r="AA113" i="2"/>
  <c r="AA112" i="2"/>
  <c r="AA111" i="2"/>
  <c r="AA110" i="2"/>
  <c r="AA109" i="2"/>
  <c r="AA108" i="2"/>
  <c r="AA107" i="2"/>
  <c r="AA106" i="2"/>
  <c r="AA105" i="2"/>
  <c r="AA104" i="2"/>
  <c r="AA103" i="2"/>
  <c r="AA102" i="2"/>
  <c r="AA101" i="2"/>
  <c r="AA100" i="2"/>
  <c r="AA99" i="2"/>
  <c r="AA98" i="2"/>
  <c r="AA97" i="2"/>
  <c r="AA96" i="2"/>
  <c r="AA95" i="2"/>
  <c r="AA94" i="2"/>
  <c r="AA93" i="2"/>
  <c r="AA92" i="2"/>
  <c r="AA91" i="2"/>
  <c r="AA90" i="2"/>
  <c r="AA89" i="2"/>
  <c r="AA88" i="2"/>
  <c r="AA87" i="2"/>
  <c r="AA86" i="2"/>
  <c r="AA85" i="2"/>
  <c r="AA84" i="2"/>
  <c r="AA83" i="2"/>
  <c r="AA82" i="2"/>
  <c r="AA81" i="2"/>
  <c r="AA80" i="2"/>
  <c r="AA79" i="2"/>
  <c r="AA78" i="2"/>
  <c r="AA77" i="2"/>
  <c r="AA76" i="2"/>
  <c r="AA75" i="2"/>
  <c r="AA74" i="2"/>
  <c r="AA73" i="2"/>
  <c r="AA72" i="2"/>
  <c r="AA71" i="2"/>
  <c r="AA70" i="2"/>
  <c r="AA69" i="2"/>
  <c r="AA68" i="2"/>
  <c r="AA67" i="2"/>
  <c r="AA66" i="2"/>
  <c r="AA65" i="2"/>
  <c r="AA64" i="2"/>
  <c r="AA63" i="2"/>
  <c r="AA62" i="2"/>
  <c r="AA61" i="2"/>
  <c r="AA60" i="2"/>
  <c r="AA59" i="2"/>
  <c r="AA58" i="2"/>
  <c r="AA57" i="2"/>
  <c r="AA56" i="2"/>
  <c r="AA55" i="2"/>
  <c r="AA54" i="2"/>
  <c r="AA53" i="2"/>
  <c r="AA52" i="2"/>
  <c r="AA51" i="2"/>
  <c r="AA50" i="2"/>
  <c r="AE277" i="2"/>
  <c r="AE276" i="2"/>
  <c r="AE275" i="2"/>
  <c r="AE274" i="2"/>
  <c r="AE273" i="2"/>
  <c r="AE272" i="2"/>
  <c r="AE271" i="2"/>
  <c r="AE270" i="2"/>
  <c r="AE269" i="2"/>
  <c r="AE268" i="2"/>
  <c r="AE267" i="2"/>
  <c r="AE266" i="2"/>
  <c r="AE265" i="2"/>
  <c r="AE264" i="2"/>
  <c r="AE263" i="2"/>
  <c r="AE262" i="2"/>
  <c r="AE261" i="2"/>
  <c r="AE260" i="2"/>
  <c r="AE259" i="2"/>
  <c r="AE258" i="2"/>
  <c r="AE257" i="2"/>
  <c r="AE256" i="2"/>
  <c r="AE255" i="2"/>
  <c r="AE254" i="2"/>
  <c r="AE253" i="2"/>
  <c r="AE252" i="2"/>
  <c r="AE251" i="2"/>
  <c r="AE250" i="2"/>
  <c r="AE249" i="2"/>
  <c r="AE248" i="2"/>
  <c r="AE247" i="2"/>
  <c r="AE246" i="2"/>
  <c r="AE245" i="2"/>
  <c r="AE244" i="2"/>
  <c r="AE243" i="2"/>
  <c r="AE242" i="2"/>
  <c r="AE241" i="2"/>
  <c r="AE240" i="2"/>
  <c r="AE239" i="2"/>
  <c r="AE238" i="2"/>
  <c r="AE237" i="2"/>
  <c r="AE236" i="2"/>
  <c r="AE235" i="2"/>
  <c r="AE234" i="2"/>
  <c r="AE233" i="2"/>
  <c r="AE232" i="2"/>
  <c r="AE231" i="2"/>
  <c r="AE230" i="2"/>
  <c r="AE229" i="2"/>
  <c r="AE228" i="2"/>
  <c r="AE227" i="2"/>
  <c r="AE226" i="2"/>
  <c r="AE225" i="2"/>
  <c r="AE224" i="2"/>
  <c r="AE223" i="2"/>
  <c r="AE222" i="2"/>
  <c r="AE221" i="2"/>
  <c r="AE220" i="2"/>
  <c r="AE219" i="2"/>
  <c r="AE218" i="2"/>
  <c r="AE217" i="2"/>
  <c r="AE216" i="2"/>
  <c r="AE215" i="2"/>
  <c r="AE214" i="2"/>
  <c r="AE213" i="2"/>
  <c r="AE212" i="2"/>
  <c r="AE211" i="2"/>
  <c r="AE210" i="2"/>
  <c r="AE209" i="2"/>
  <c r="AE208" i="2"/>
  <c r="AE207" i="2"/>
  <c r="AE206" i="2"/>
  <c r="AE205" i="2"/>
  <c r="AE204" i="2"/>
  <c r="AE203" i="2"/>
  <c r="AE202" i="2"/>
  <c r="AE201" i="2"/>
  <c r="AE200" i="2"/>
  <c r="AE199" i="2"/>
  <c r="AE198" i="2"/>
  <c r="AE197" i="2"/>
  <c r="AE196" i="2"/>
  <c r="AE195" i="2"/>
  <c r="AE194" i="2"/>
  <c r="AE193" i="2"/>
  <c r="AE192" i="2"/>
  <c r="AE191" i="2"/>
  <c r="AE190" i="2"/>
  <c r="AE189" i="2"/>
  <c r="AE188" i="2"/>
  <c r="AE187" i="2"/>
  <c r="AE186" i="2"/>
  <c r="AE185" i="2"/>
  <c r="AE184" i="2"/>
  <c r="AE183" i="2"/>
  <c r="AE182" i="2"/>
  <c r="AE181" i="2"/>
  <c r="AE180" i="2"/>
  <c r="AE178" i="2"/>
  <c r="AE177" i="2"/>
  <c r="AE176" i="2"/>
  <c r="AE175" i="2"/>
  <c r="AE174" i="2"/>
  <c r="AE173" i="2"/>
  <c r="AE172" i="2"/>
  <c r="AE171" i="2"/>
  <c r="AE170" i="2"/>
  <c r="AE169" i="2"/>
  <c r="AE168" i="2"/>
  <c r="AE167" i="2"/>
  <c r="AE166" i="2"/>
  <c r="AE165" i="2"/>
  <c r="AE164" i="2"/>
  <c r="AE163" i="2"/>
  <c r="AE162" i="2"/>
  <c r="AE161" i="2"/>
  <c r="AE160" i="2"/>
  <c r="AE159" i="2"/>
  <c r="AE158" i="2"/>
  <c r="AE157" i="2"/>
  <c r="AE156" i="2"/>
  <c r="AE155" i="2"/>
  <c r="AE154" i="2"/>
  <c r="AE153" i="2"/>
  <c r="AE152" i="2"/>
  <c r="AE151" i="2"/>
  <c r="AE150" i="2"/>
  <c r="AE149" i="2"/>
  <c r="AE148" i="2"/>
  <c r="AE147" i="2"/>
  <c r="AE146" i="2"/>
  <c r="AE145" i="2"/>
  <c r="AE144" i="2"/>
  <c r="AE143" i="2"/>
  <c r="AE142" i="2"/>
  <c r="AE141" i="2"/>
  <c r="AE140" i="2"/>
  <c r="AE139" i="2"/>
  <c r="AE138" i="2"/>
  <c r="AE137" i="2"/>
  <c r="AE136" i="2"/>
  <c r="AE135" i="2"/>
  <c r="AE134" i="2"/>
  <c r="AE133" i="2"/>
  <c r="AE132" i="2"/>
  <c r="AE131" i="2"/>
  <c r="AE130" i="2"/>
  <c r="AE129" i="2"/>
  <c r="AE128" i="2"/>
  <c r="AE127" i="2"/>
  <c r="AE126" i="2"/>
  <c r="AE125" i="2"/>
  <c r="AE124" i="2"/>
  <c r="AE123" i="2"/>
  <c r="AE122" i="2"/>
  <c r="AE121" i="2"/>
  <c r="AE120" i="2"/>
  <c r="AE119" i="2"/>
  <c r="AE118" i="2"/>
  <c r="AE117" i="2"/>
  <c r="AE116" i="2"/>
  <c r="AE115" i="2"/>
  <c r="AE114" i="2"/>
  <c r="AE113" i="2"/>
  <c r="AE112" i="2"/>
  <c r="AE111" i="2"/>
  <c r="AE110" i="2"/>
  <c r="AE109" i="2"/>
  <c r="AE108" i="2"/>
  <c r="AE107" i="2"/>
  <c r="AE106" i="2"/>
  <c r="AE105" i="2"/>
  <c r="AE104" i="2"/>
  <c r="AE103" i="2"/>
  <c r="AE102" i="2"/>
  <c r="AE101" i="2"/>
  <c r="AE100" i="2"/>
  <c r="AE99" i="2"/>
  <c r="AE98" i="2"/>
  <c r="AE97" i="2"/>
  <c r="AE96" i="2"/>
  <c r="AE95" i="2"/>
  <c r="AE94" i="2"/>
  <c r="AE93" i="2"/>
  <c r="AE92" i="2"/>
  <c r="AE91" i="2"/>
  <c r="AE90" i="2"/>
  <c r="AE89" i="2"/>
  <c r="AE88" i="2"/>
  <c r="AE87" i="2"/>
  <c r="AE86" i="2"/>
  <c r="AE85" i="2"/>
  <c r="AE84" i="2"/>
  <c r="AE83" i="2"/>
  <c r="AE82" i="2"/>
  <c r="AE81" i="2"/>
  <c r="AE80" i="2"/>
  <c r="AE79" i="2"/>
  <c r="AE78" i="2"/>
  <c r="AE77" i="2"/>
  <c r="AE76" i="2"/>
  <c r="AE75" i="2"/>
  <c r="AE74" i="2"/>
  <c r="AE73" i="2"/>
  <c r="AE72" i="2"/>
  <c r="AE71" i="2"/>
  <c r="AE70" i="2"/>
  <c r="AE69" i="2"/>
  <c r="AE68" i="2"/>
  <c r="AE67" i="2"/>
  <c r="AE66" i="2"/>
  <c r="AE65" i="2"/>
  <c r="AE64" i="2"/>
  <c r="AE63" i="2"/>
  <c r="AE62" i="2"/>
  <c r="AE61" i="2"/>
  <c r="AE60" i="2"/>
  <c r="AE59" i="2"/>
  <c r="AE58" i="2"/>
  <c r="AE57" i="2"/>
  <c r="AE56" i="2"/>
  <c r="AE55" i="2"/>
  <c r="AE54" i="2"/>
  <c r="AE53" i="2"/>
  <c r="AE52" i="2"/>
  <c r="AE51" i="2"/>
  <c r="AE50" i="2"/>
  <c r="AE49" i="2"/>
  <c r="AI277" i="2"/>
  <c r="AI276" i="2"/>
  <c r="AI275" i="2"/>
  <c r="AI274" i="2"/>
  <c r="AI273" i="2"/>
  <c r="AI272" i="2"/>
  <c r="AI271" i="2"/>
  <c r="AI270" i="2"/>
  <c r="AI269" i="2"/>
  <c r="AI268" i="2"/>
  <c r="AI267" i="2"/>
  <c r="AI266" i="2"/>
  <c r="AI265" i="2"/>
  <c r="AI264" i="2"/>
  <c r="AI263" i="2"/>
  <c r="AI262" i="2"/>
  <c r="AI261" i="2"/>
  <c r="AI260" i="2"/>
  <c r="AI259" i="2"/>
  <c r="AI258" i="2"/>
  <c r="AI257" i="2"/>
  <c r="AI256" i="2"/>
  <c r="AI255" i="2"/>
  <c r="AI254" i="2"/>
  <c r="AI253" i="2"/>
  <c r="AI252" i="2"/>
  <c r="AI251" i="2"/>
  <c r="AI250" i="2"/>
  <c r="AI249" i="2"/>
  <c r="AI248" i="2"/>
  <c r="AI247" i="2"/>
  <c r="AI246" i="2"/>
  <c r="AI245" i="2"/>
  <c r="AI244" i="2"/>
  <c r="AI243" i="2"/>
  <c r="AI242" i="2"/>
  <c r="AI241" i="2"/>
  <c r="AI240" i="2"/>
  <c r="AI239" i="2"/>
  <c r="AI238" i="2"/>
  <c r="AI237" i="2"/>
  <c r="AI236" i="2"/>
  <c r="AI235" i="2"/>
  <c r="AI234" i="2"/>
  <c r="AI233" i="2"/>
  <c r="AI232" i="2"/>
  <c r="AI231" i="2"/>
  <c r="AI230" i="2"/>
  <c r="AI229" i="2"/>
  <c r="AI228" i="2"/>
  <c r="AI227" i="2"/>
  <c r="AI226" i="2"/>
  <c r="AI225" i="2"/>
  <c r="AI224" i="2"/>
  <c r="AI223" i="2"/>
  <c r="AI222" i="2"/>
  <c r="AI221" i="2"/>
  <c r="AI220" i="2"/>
  <c r="AI219" i="2"/>
  <c r="AI218" i="2"/>
  <c r="AI217" i="2"/>
  <c r="AI216" i="2"/>
  <c r="AI215" i="2"/>
  <c r="AI214" i="2"/>
  <c r="AI213" i="2"/>
  <c r="AI212" i="2"/>
  <c r="AI211" i="2"/>
  <c r="AI210" i="2"/>
  <c r="AI209" i="2"/>
  <c r="AI208" i="2"/>
  <c r="AI207" i="2"/>
  <c r="AI206" i="2"/>
  <c r="AI205" i="2"/>
  <c r="AI204" i="2"/>
  <c r="AI203" i="2"/>
  <c r="AI202" i="2"/>
  <c r="AI201" i="2"/>
  <c r="AI200" i="2"/>
  <c r="AI199" i="2"/>
  <c r="AI198" i="2"/>
  <c r="AI197" i="2"/>
  <c r="AI196" i="2"/>
  <c r="AI195" i="2"/>
  <c r="AI194" i="2"/>
  <c r="AI193" i="2"/>
  <c r="AI192" i="2"/>
  <c r="AI191" i="2"/>
  <c r="AI190" i="2"/>
  <c r="AI189" i="2"/>
  <c r="AI188" i="2"/>
  <c r="AI187" i="2"/>
  <c r="AI186" i="2"/>
  <c r="AI185" i="2"/>
  <c r="AI184" i="2"/>
  <c r="AI183" i="2"/>
  <c r="AI182" i="2"/>
  <c r="AI181" i="2"/>
  <c r="AI180" i="2"/>
  <c r="AI178" i="2"/>
  <c r="AI177" i="2"/>
  <c r="AI176" i="2"/>
  <c r="AI175" i="2"/>
  <c r="AI174" i="2"/>
  <c r="AI173" i="2"/>
  <c r="AI172" i="2"/>
  <c r="AI171" i="2"/>
  <c r="AI170" i="2"/>
  <c r="AI169" i="2"/>
  <c r="AI168" i="2"/>
  <c r="AI167" i="2"/>
  <c r="AI166" i="2"/>
  <c r="AI165" i="2"/>
  <c r="AI164" i="2"/>
  <c r="AI163" i="2"/>
  <c r="AI162" i="2"/>
  <c r="AI161" i="2"/>
  <c r="AI160" i="2"/>
  <c r="AI159" i="2"/>
  <c r="AI158" i="2"/>
  <c r="AI157" i="2"/>
  <c r="AI156" i="2"/>
  <c r="AI155" i="2"/>
  <c r="AI154" i="2"/>
  <c r="AI153" i="2"/>
  <c r="AI152" i="2"/>
  <c r="AI151" i="2"/>
  <c r="AI150" i="2"/>
  <c r="AI149" i="2"/>
  <c r="AI148" i="2"/>
  <c r="AI147" i="2"/>
  <c r="AI146" i="2"/>
  <c r="AI145" i="2"/>
  <c r="AI144" i="2"/>
  <c r="AI143" i="2"/>
  <c r="AI142" i="2"/>
  <c r="AI141" i="2"/>
  <c r="AI140" i="2"/>
  <c r="AI139" i="2"/>
  <c r="AI138" i="2"/>
  <c r="AI137" i="2"/>
  <c r="AI136" i="2"/>
  <c r="AI135" i="2"/>
  <c r="AI134" i="2"/>
  <c r="AI133" i="2"/>
  <c r="AI132" i="2"/>
  <c r="AI131" i="2"/>
  <c r="AI130" i="2"/>
  <c r="AI129" i="2"/>
  <c r="AI128" i="2"/>
  <c r="AI127" i="2"/>
  <c r="AI126" i="2"/>
  <c r="AI125" i="2"/>
  <c r="AI124" i="2"/>
  <c r="AI123" i="2"/>
  <c r="AI122" i="2"/>
  <c r="AI121" i="2"/>
  <c r="AI120" i="2"/>
  <c r="AI119" i="2"/>
  <c r="AI118" i="2"/>
  <c r="AI117" i="2"/>
  <c r="AI116" i="2"/>
  <c r="AI115" i="2"/>
  <c r="AI114" i="2"/>
  <c r="AI113" i="2"/>
  <c r="AI112" i="2"/>
  <c r="AI111" i="2"/>
  <c r="AI110" i="2"/>
  <c r="AI109" i="2"/>
  <c r="AI108" i="2"/>
  <c r="AI107" i="2"/>
  <c r="AI106" i="2"/>
  <c r="AI105" i="2"/>
  <c r="AI104" i="2"/>
  <c r="AI103" i="2"/>
  <c r="AI102" i="2"/>
  <c r="AI101" i="2"/>
  <c r="AI100" i="2"/>
  <c r="AI99" i="2"/>
  <c r="AI98" i="2"/>
  <c r="AI97" i="2"/>
  <c r="AI96" i="2"/>
  <c r="AI95" i="2"/>
  <c r="AI94" i="2"/>
  <c r="AI93" i="2"/>
  <c r="AI92" i="2"/>
  <c r="AI91" i="2"/>
  <c r="AI90" i="2"/>
  <c r="AI89" i="2"/>
  <c r="AI88" i="2"/>
  <c r="AI87" i="2"/>
  <c r="AI86" i="2"/>
  <c r="AI85" i="2"/>
  <c r="AI84" i="2"/>
  <c r="AI83" i="2"/>
  <c r="AI82" i="2"/>
  <c r="AI81" i="2"/>
  <c r="AI80" i="2"/>
  <c r="AI79" i="2"/>
  <c r="AI78" i="2"/>
  <c r="AI77" i="2"/>
  <c r="AI76" i="2"/>
  <c r="AI75" i="2"/>
  <c r="AI74" i="2"/>
  <c r="AI73" i="2"/>
  <c r="AI72" i="2"/>
  <c r="AI71" i="2"/>
  <c r="AI70" i="2"/>
  <c r="AI69" i="2"/>
  <c r="AI68" i="2"/>
  <c r="AI67" i="2"/>
  <c r="AI66" i="2"/>
  <c r="AI65" i="2"/>
  <c r="AI64" i="2"/>
  <c r="AI63" i="2"/>
  <c r="AI62" i="2"/>
  <c r="AI61" i="2"/>
  <c r="AI60" i="2"/>
  <c r="AI59" i="2"/>
  <c r="AI58" i="2"/>
  <c r="AI57" i="2"/>
  <c r="AI56" i="2"/>
  <c r="AI55" i="2"/>
  <c r="AI54" i="2"/>
  <c r="AI53" i="2"/>
  <c r="AI52" i="2"/>
  <c r="AI51" i="2"/>
  <c r="AI50" i="2"/>
  <c r="AI49"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Z22" i="2"/>
  <c r="AD22" i="2"/>
  <c r="AH22" i="2"/>
  <c r="AL22" i="2"/>
  <c r="Z23" i="2"/>
  <c r="AD23" i="2"/>
  <c r="AH23" i="2"/>
  <c r="AL23" i="2"/>
  <c r="Z24" i="2"/>
  <c r="AD24" i="2"/>
  <c r="AH24" i="2"/>
  <c r="AL24" i="2"/>
  <c r="Z25" i="2"/>
  <c r="AD25" i="2"/>
  <c r="AH25" i="2"/>
  <c r="AL25" i="2"/>
  <c r="Z26" i="2"/>
  <c r="AD26" i="2"/>
  <c r="AH26" i="2"/>
  <c r="AL26" i="2"/>
  <c r="Z27" i="2"/>
  <c r="AD27" i="2"/>
  <c r="AH27" i="2"/>
  <c r="AL27" i="2"/>
  <c r="Z28" i="2"/>
  <c r="AD28" i="2"/>
  <c r="AH28" i="2"/>
  <c r="AL28" i="2"/>
  <c r="Z29" i="2"/>
  <c r="AD29" i="2"/>
  <c r="AH29" i="2"/>
  <c r="AL29" i="2"/>
  <c r="Z30" i="2"/>
  <c r="AD30" i="2"/>
  <c r="AH30" i="2"/>
  <c r="AL30" i="2"/>
  <c r="Z31" i="2"/>
  <c r="AD31" i="2"/>
  <c r="AH31" i="2"/>
  <c r="AL31" i="2"/>
  <c r="Z32" i="2"/>
  <c r="AD32" i="2"/>
  <c r="AH32" i="2"/>
  <c r="AL32" i="2"/>
  <c r="Z33" i="2"/>
  <c r="AD33" i="2"/>
  <c r="AH33" i="2"/>
  <c r="AL33" i="2"/>
  <c r="Z34" i="2"/>
  <c r="AD34" i="2"/>
  <c r="AH34" i="2"/>
  <c r="AL34" i="2"/>
  <c r="Z35" i="2"/>
  <c r="AD35" i="2"/>
  <c r="AH35" i="2"/>
  <c r="AL35" i="2"/>
  <c r="Z36" i="2"/>
  <c r="AD36" i="2"/>
  <c r="AH36" i="2"/>
  <c r="AL36" i="2"/>
  <c r="Z37" i="2"/>
  <c r="AD37" i="2"/>
  <c r="AH37" i="2"/>
  <c r="AL37" i="2"/>
  <c r="Z38" i="2"/>
  <c r="AD38" i="2"/>
  <c r="AH38" i="2"/>
  <c r="AL38" i="2"/>
  <c r="Z39" i="2"/>
  <c r="AD39" i="2"/>
  <c r="AH39" i="2"/>
  <c r="AL39" i="2"/>
  <c r="Z40" i="2"/>
  <c r="AD40" i="2"/>
  <c r="AH40" i="2"/>
  <c r="AL40" i="2"/>
  <c r="Z41" i="2"/>
  <c r="AD41" i="2"/>
  <c r="AH41" i="2"/>
  <c r="AL41" i="2"/>
  <c r="Z42" i="2"/>
  <c r="AD42" i="2"/>
  <c r="AH42" i="2"/>
  <c r="AL42" i="2"/>
  <c r="Z43" i="2"/>
  <c r="AD43" i="2"/>
  <c r="AH43" i="2"/>
  <c r="AL43" i="2"/>
  <c r="Z44" i="2"/>
  <c r="AD44" i="2"/>
  <c r="AH44" i="2"/>
  <c r="AL44" i="2"/>
  <c r="Z45" i="2"/>
  <c r="AD45" i="2"/>
  <c r="AH45" i="2"/>
  <c r="AL45" i="2"/>
  <c r="Z46" i="2"/>
  <c r="AD46" i="2"/>
  <c r="AH46" i="2"/>
  <c r="AL46" i="2"/>
  <c r="Z47" i="2"/>
  <c r="AD47" i="2"/>
  <c r="AH47" i="2"/>
  <c r="AL47" i="2"/>
  <c r="Z48" i="2"/>
  <c r="AD48" i="2"/>
  <c r="AH48" i="2"/>
  <c r="AL48" i="2"/>
  <c r="Z49" i="2"/>
  <c r="AF49" i="2"/>
  <c r="V270" i="2" l="1"/>
  <c r="AQ270" i="2" s="1"/>
  <c r="J17" i="4"/>
  <c r="J34" i="4" s="1"/>
  <c r="V224" i="2"/>
  <c r="AQ224" i="2" s="1"/>
  <c r="L14" i="4"/>
  <c r="L31" i="4" s="1"/>
  <c r="V52" i="2"/>
  <c r="AQ52" i="2" s="1"/>
  <c r="P3" i="4"/>
  <c r="P20" i="4" s="1"/>
  <c r="V44" i="2"/>
  <c r="AQ44" i="2" s="1"/>
  <c r="H3" i="4"/>
  <c r="H20" i="4" s="1"/>
  <c r="V109" i="2"/>
  <c r="I7" i="4"/>
  <c r="I24" i="4" s="1"/>
  <c r="V84" i="2"/>
  <c r="P5" i="4"/>
  <c r="P22" i="4" s="1"/>
  <c r="K5" i="4"/>
  <c r="K22" i="4" s="1"/>
  <c r="V79" i="2"/>
  <c r="V155" i="2"/>
  <c r="AQ155" i="2" s="1"/>
  <c r="G10" i="4"/>
  <c r="G27" i="4" s="1"/>
  <c r="V134" i="2"/>
  <c r="B9" i="4"/>
  <c r="B26" i="4" s="1"/>
  <c r="V60" i="2"/>
  <c r="H4" i="4"/>
  <c r="H21" i="4" s="1"/>
  <c r="V130" i="2"/>
  <c r="N8" i="4"/>
  <c r="N25" i="4" s="1"/>
  <c r="V203" i="2"/>
  <c r="AQ203" i="2" s="1"/>
  <c r="G13" i="4"/>
  <c r="G30" i="4" s="1"/>
  <c r="V247" i="2"/>
  <c r="AQ247" i="2" s="1"/>
  <c r="C16" i="4"/>
  <c r="C33" i="4" s="1"/>
  <c r="V42" i="2"/>
  <c r="AQ42" i="2" s="1"/>
  <c r="F3" i="4"/>
  <c r="F20" i="4" s="1"/>
  <c r="V58" i="2"/>
  <c r="F4" i="4"/>
  <c r="F21" i="4" s="1"/>
  <c r="V74" i="2"/>
  <c r="F5" i="4"/>
  <c r="F22" i="4" s="1"/>
  <c r="V90" i="2"/>
  <c r="F6" i="4"/>
  <c r="F23" i="4" s="1"/>
  <c r="V104" i="2"/>
  <c r="D7" i="4"/>
  <c r="D24" i="4" s="1"/>
  <c r="V117" i="2"/>
  <c r="Q7" i="4"/>
  <c r="Q24" i="4" s="1"/>
  <c r="V135" i="2"/>
  <c r="C9" i="4"/>
  <c r="C26" i="4" s="1"/>
  <c r="V149" i="2"/>
  <c r="AQ149" i="2" s="1"/>
  <c r="Q9" i="4"/>
  <c r="Q26" i="4" s="1"/>
  <c r="V167" i="2"/>
  <c r="AQ167" i="2" s="1"/>
  <c r="C11" i="4"/>
  <c r="C28" i="4" s="1"/>
  <c r="V183" i="2"/>
  <c r="AQ183" i="2" s="1"/>
  <c r="C12" i="4"/>
  <c r="C29" i="4" s="1"/>
  <c r="V197" i="2"/>
  <c r="AQ197" i="2" s="1"/>
  <c r="Q12" i="4"/>
  <c r="Q29" i="4" s="1"/>
  <c r="V215" i="2"/>
  <c r="AQ215" i="2" s="1"/>
  <c r="C14" i="4"/>
  <c r="C31" i="4" s="1"/>
  <c r="V230" i="2"/>
  <c r="AQ230" i="2" s="1"/>
  <c r="B15" i="4"/>
  <c r="B32" i="4" s="1"/>
  <c r="V248" i="2"/>
  <c r="AQ248" i="2" s="1"/>
  <c r="D16" i="4"/>
  <c r="D33" i="4" s="1"/>
  <c r="D17" i="4"/>
  <c r="D34" i="4" s="1"/>
  <c r="V264" i="2"/>
  <c r="AQ264" i="2" s="1"/>
  <c r="V162" i="2"/>
  <c r="AQ162" i="2" s="1"/>
  <c r="N10" i="4"/>
  <c r="N27" i="4" s="1"/>
  <c r="V210" i="2"/>
  <c r="AQ210" i="2" s="1"/>
  <c r="N13" i="4"/>
  <c r="N30" i="4" s="1"/>
  <c r="V263" i="2"/>
  <c r="AQ263" i="2" s="1"/>
  <c r="C17" i="4"/>
  <c r="C34" i="4" s="1"/>
  <c r="V32" i="2"/>
  <c r="AQ32" i="2" s="1"/>
  <c r="L2" i="4"/>
  <c r="L19" i="4" s="1"/>
  <c r="V64" i="2"/>
  <c r="L4" i="4"/>
  <c r="L21" i="4" s="1"/>
  <c r="V80" i="2"/>
  <c r="L5" i="4"/>
  <c r="L22" i="4" s="1"/>
  <c r="V96" i="2"/>
  <c r="L6" i="4"/>
  <c r="L23" i="4" s="1"/>
  <c r="V111" i="2"/>
  <c r="K7" i="4"/>
  <c r="K24" i="4" s="1"/>
  <c r="V125" i="2"/>
  <c r="I8" i="4"/>
  <c r="I25" i="4" s="1"/>
  <c r="V143" i="2"/>
  <c r="K9" i="4"/>
  <c r="K26" i="4" s="1"/>
  <c r="V157" i="2"/>
  <c r="AQ157" i="2" s="1"/>
  <c r="I10" i="4"/>
  <c r="I27" i="4" s="1"/>
  <c r="V176" i="2"/>
  <c r="AQ176" i="2" s="1"/>
  <c r="L11" i="4"/>
  <c r="L28" i="4" s="1"/>
  <c r="V191" i="2"/>
  <c r="AQ191" i="2" s="1"/>
  <c r="K12" i="4"/>
  <c r="K29" i="4" s="1"/>
  <c r="V205" i="2"/>
  <c r="AQ205" i="2" s="1"/>
  <c r="I13" i="4"/>
  <c r="I30" i="4" s="1"/>
  <c r="V223" i="2"/>
  <c r="AQ223" i="2" s="1"/>
  <c r="K14" i="4"/>
  <c r="K31" i="4" s="1"/>
  <c r="V238" i="2"/>
  <c r="AQ238" i="2" s="1"/>
  <c r="J15" i="4"/>
  <c r="J32" i="4" s="1"/>
  <c r="V253" i="2"/>
  <c r="AQ253" i="2" s="1"/>
  <c r="I16" i="4"/>
  <c r="I33" i="4" s="1"/>
  <c r="V269" i="2"/>
  <c r="AQ269" i="2" s="1"/>
  <c r="I17" i="4"/>
  <c r="I34" i="4" s="1"/>
  <c r="V185" i="2"/>
  <c r="AQ185" i="2" s="1"/>
  <c r="E12" i="4"/>
  <c r="E29" i="4" s="1"/>
  <c r="V229" i="2"/>
  <c r="AQ229" i="2" s="1"/>
  <c r="Q14" i="4"/>
  <c r="Q31" i="4" s="1"/>
  <c r="V271" i="2"/>
  <c r="AQ271" i="2" s="1"/>
  <c r="K17" i="4"/>
  <c r="K34" i="4" s="1"/>
  <c r="O3" i="4"/>
  <c r="O20" i="4" s="1"/>
  <c r="V51" i="2"/>
  <c r="AQ51" i="2" s="1"/>
  <c r="M2" i="4"/>
  <c r="M19" i="4" s="1"/>
  <c r="V33" i="2"/>
  <c r="AQ33" i="2" s="1"/>
  <c r="M3" i="4"/>
  <c r="M20" i="4" s="1"/>
  <c r="V49" i="2"/>
  <c r="AQ49" i="2" s="1"/>
  <c r="M4" i="4"/>
  <c r="M21" i="4" s="1"/>
  <c r="V65" i="2"/>
  <c r="M5" i="4"/>
  <c r="M22" i="4" s="1"/>
  <c r="V81" i="2"/>
  <c r="M6" i="4"/>
  <c r="M23" i="4" s="1"/>
  <c r="V97" i="2"/>
  <c r="V115" i="2"/>
  <c r="O7" i="4"/>
  <c r="O24" i="4" s="1"/>
  <c r="V129" i="2"/>
  <c r="M8" i="4"/>
  <c r="M25" i="4" s="1"/>
  <c r="V147" i="2"/>
  <c r="O9" i="4"/>
  <c r="O26" i="4" s="1"/>
  <c r="V161" i="2"/>
  <c r="AQ161" i="2" s="1"/>
  <c r="M10" i="4"/>
  <c r="M27" i="4" s="1"/>
  <c r="V177" i="2"/>
  <c r="AQ177" i="2" s="1"/>
  <c r="M11" i="4"/>
  <c r="M28" i="4" s="1"/>
  <c r="V195" i="2"/>
  <c r="AQ195" i="2" s="1"/>
  <c r="O12" i="4"/>
  <c r="O29" i="4" s="1"/>
  <c r="V209" i="2"/>
  <c r="AQ209" i="2" s="1"/>
  <c r="M13" i="4"/>
  <c r="M30" i="4" s="1"/>
  <c r="V228" i="2"/>
  <c r="AQ228" i="2" s="1"/>
  <c r="P14" i="4"/>
  <c r="P31" i="4" s="1"/>
  <c r="V242" i="2"/>
  <c r="AQ242" i="2" s="1"/>
  <c r="N15" i="4"/>
  <c r="N32" i="4" s="1"/>
  <c r="V258" i="2"/>
  <c r="AQ258" i="2" s="1"/>
  <c r="N16" i="4"/>
  <c r="N33" i="4" s="1"/>
  <c r="V273" i="2"/>
  <c r="AQ273" i="2" s="1"/>
  <c r="M17" i="4"/>
  <c r="M34" i="4" s="1"/>
  <c r="C6" i="4"/>
  <c r="C23" i="4" s="1"/>
  <c r="V87" i="2"/>
  <c r="V141" i="2"/>
  <c r="I9" i="4"/>
  <c r="I26" i="4" s="1"/>
  <c r="C3" i="4"/>
  <c r="C20" i="4" s="1"/>
  <c r="V39" i="2"/>
  <c r="AQ39" i="2" s="1"/>
  <c r="V182" i="2"/>
  <c r="AQ182" i="2" s="1"/>
  <c r="B12" i="4"/>
  <c r="B29" i="4" s="1"/>
  <c r="Q2" i="4"/>
  <c r="Q19" i="4" s="1"/>
  <c r="V37" i="2"/>
  <c r="AQ37" i="2" s="1"/>
  <c r="Q4" i="4"/>
  <c r="Q21" i="4" s="1"/>
  <c r="V69" i="2"/>
  <c r="V101" i="2"/>
  <c r="Q6" i="4"/>
  <c r="Q23" i="4" s="1"/>
  <c r="V113" i="2"/>
  <c r="M7" i="4"/>
  <c r="M24" i="4" s="1"/>
  <c r="V163" i="2"/>
  <c r="AQ163" i="2" s="1"/>
  <c r="O10" i="4"/>
  <c r="O27" i="4" s="1"/>
  <c r="AQ179" i="2"/>
  <c r="O11" i="4"/>
  <c r="O28" i="4" s="1"/>
  <c r="V211" i="2"/>
  <c r="AQ211" i="2" s="1"/>
  <c r="O13" i="4"/>
  <c r="O30" i="4" s="1"/>
  <c r="V260" i="2"/>
  <c r="AQ260" i="2" s="1"/>
  <c r="P16" i="4"/>
  <c r="P33" i="4" s="1"/>
  <c r="V275" i="2"/>
  <c r="AQ275" i="2" s="1"/>
  <c r="O17" i="4"/>
  <c r="O34" i="4" s="1"/>
  <c r="G2" i="4"/>
  <c r="G19" i="4" s="1"/>
  <c r="V27" i="2"/>
  <c r="AQ27" i="2" s="1"/>
  <c r="G5" i="4"/>
  <c r="G22" i="4" s="1"/>
  <c r="V75" i="2"/>
  <c r="E7" i="4"/>
  <c r="E24" i="4" s="1"/>
  <c r="V105" i="2"/>
  <c r="V121" i="2"/>
  <c r="E8" i="4"/>
  <c r="E25" i="4" s="1"/>
  <c r="V172" i="2"/>
  <c r="AQ172" i="2" s="1"/>
  <c r="H11" i="4"/>
  <c r="H28" i="4" s="1"/>
  <c r="V187" i="2"/>
  <c r="AQ187" i="2" s="1"/>
  <c r="G12" i="4"/>
  <c r="G29" i="4" s="1"/>
  <c r="V219" i="2"/>
  <c r="AQ219" i="2" s="1"/>
  <c r="G14" i="4"/>
  <c r="G31" i="4" s="1"/>
  <c r="V249" i="2"/>
  <c r="AQ249" i="2" s="1"/>
  <c r="E16" i="4"/>
  <c r="E33" i="4" s="1"/>
  <c r="V174" i="2"/>
  <c r="AQ174" i="2" s="1"/>
  <c r="J11" i="4"/>
  <c r="J28" i="4" s="1"/>
  <c r="V259" i="2"/>
  <c r="AQ259" i="2" s="1"/>
  <c r="O16" i="4"/>
  <c r="O33" i="4" s="1"/>
  <c r="V46" i="2"/>
  <c r="AQ46" i="2" s="1"/>
  <c r="J3" i="4"/>
  <c r="J20" i="4" s="1"/>
  <c r="V62" i="2"/>
  <c r="J4" i="4"/>
  <c r="J21" i="4" s="1"/>
  <c r="V94" i="2"/>
  <c r="J6" i="4"/>
  <c r="J23" i="4" s="1"/>
  <c r="L9" i="4"/>
  <c r="L26" i="4" s="1"/>
  <c r="V144" i="2"/>
  <c r="V173" i="2"/>
  <c r="AQ173" i="2" s="1"/>
  <c r="I11" i="4"/>
  <c r="I28" i="4" s="1"/>
  <c r="L12" i="4"/>
  <c r="L29" i="4" s="1"/>
  <c r="V192" i="2"/>
  <c r="AQ192" i="2" s="1"/>
  <c r="V254" i="2"/>
  <c r="AQ254" i="2" s="1"/>
  <c r="J16" i="4"/>
  <c r="J33" i="4" s="1"/>
  <c r="V106" i="2"/>
  <c r="F7" i="4"/>
  <c r="F24" i="4" s="1"/>
  <c r="C4" i="4"/>
  <c r="C21" i="4" s="1"/>
  <c r="V55" i="2"/>
  <c r="V123" i="2"/>
  <c r="G8" i="4"/>
  <c r="G25" i="4" s="1"/>
  <c r="D8" i="4"/>
  <c r="D25" i="4" s="1"/>
  <c r="V120" i="2"/>
  <c r="V100" i="2"/>
  <c r="P6" i="4"/>
  <c r="P23" i="4" s="1"/>
  <c r="K2" i="4"/>
  <c r="K19" i="4" s="1"/>
  <c r="V31" i="2"/>
  <c r="AQ31" i="2" s="1"/>
  <c r="K3" i="4"/>
  <c r="K20" i="4" s="1"/>
  <c r="V47" i="2"/>
  <c r="AQ47" i="2" s="1"/>
  <c r="C5" i="4"/>
  <c r="C22" i="4" s="1"/>
  <c r="V71" i="2"/>
  <c r="V159" i="2"/>
  <c r="AQ159" i="2" s="1"/>
  <c r="K10" i="4"/>
  <c r="K27" i="4" s="1"/>
  <c r="V214" i="2"/>
  <c r="AQ214" i="2" s="1"/>
  <c r="B14" i="4"/>
  <c r="B31" i="4" s="1"/>
  <c r="I2" i="4"/>
  <c r="I19" i="4" s="1"/>
  <c r="V29" i="2"/>
  <c r="AQ29" i="2" s="1"/>
  <c r="I3" i="4"/>
  <c r="I20" i="4" s="1"/>
  <c r="V45" i="2"/>
  <c r="AQ45" i="2" s="1"/>
  <c r="I4" i="4"/>
  <c r="I21" i="4" s="1"/>
  <c r="V61" i="2"/>
  <c r="I5" i="4"/>
  <c r="I22" i="4" s="1"/>
  <c r="V77" i="2"/>
  <c r="I6" i="4"/>
  <c r="I23" i="4" s="1"/>
  <c r="V93" i="2"/>
  <c r="G7" i="4"/>
  <c r="G24" i="4" s="1"/>
  <c r="V107" i="2"/>
  <c r="V124" i="2"/>
  <c r="H8" i="4"/>
  <c r="H25" i="4" s="1"/>
  <c r="V138" i="2"/>
  <c r="F9" i="4"/>
  <c r="F26" i="4" s="1"/>
  <c r="V156" i="2"/>
  <c r="AQ156" i="2" s="1"/>
  <c r="H10" i="4"/>
  <c r="H27" i="4" s="1"/>
  <c r="V171" i="2"/>
  <c r="AQ171" i="2" s="1"/>
  <c r="G11" i="4"/>
  <c r="G28" i="4" s="1"/>
  <c r="V186" i="2"/>
  <c r="AQ186" i="2" s="1"/>
  <c r="F12" i="4"/>
  <c r="F29" i="4" s="1"/>
  <c r="V204" i="2"/>
  <c r="AQ204" i="2" s="1"/>
  <c r="H13" i="4"/>
  <c r="H30" i="4" s="1"/>
  <c r="V218" i="2"/>
  <c r="AQ218" i="2" s="1"/>
  <c r="F14" i="4"/>
  <c r="F31" i="4" s="1"/>
  <c r="V233" i="2"/>
  <c r="AQ233" i="2" s="1"/>
  <c r="E15" i="4"/>
  <c r="E32" i="4" s="1"/>
  <c r="V252" i="2"/>
  <c r="AQ252" i="2" s="1"/>
  <c r="H16" i="4"/>
  <c r="H33" i="4" s="1"/>
  <c r="V268" i="2"/>
  <c r="AQ268" i="2" s="1"/>
  <c r="H17" i="4"/>
  <c r="H34" i="4" s="1"/>
  <c r="N11" i="4"/>
  <c r="N28" i="4" s="1"/>
  <c r="V178" i="2"/>
  <c r="AQ178" i="2" s="1"/>
  <c r="V221" i="2"/>
  <c r="AQ221" i="2" s="1"/>
  <c r="I14" i="4"/>
  <c r="I31" i="4" s="1"/>
  <c r="V267" i="2"/>
  <c r="AQ267" i="2" s="1"/>
  <c r="G17" i="4"/>
  <c r="G34" i="4" s="1"/>
  <c r="G3" i="4"/>
  <c r="G20" i="4" s="1"/>
  <c r="V43" i="2"/>
  <c r="AQ43" i="2" s="1"/>
  <c r="O4" i="4"/>
  <c r="O21" i="4" s="1"/>
  <c r="V67" i="2"/>
  <c r="O5" i="4"/>
  <c r="O22" i="4" s="1"/>
  <c r="V83" i="2"/>
  <c r="O6" i="4"/>
  <c r="O23" i="4" s="1"/>
  <c r="V99" i="2"/>
  <c r="V114" i="2"/>
  <c r="AQ114" i="2" s="1"/>
  <c r="N7" i="4"/>
  <c r="N24" i="4" s="1"/>
  <c r="V132" i="2"/>
  <c r="P8" i="4"/>
  <c r="P25" i="4" s="1"/>
  <c r="V146" i="2"/>
  <c r="N9" i="4"/>
  <c r="N26" i="4" s="1"/>
  <c r="V164" i="2"/>
  <c r="AQ164" i="2" s="1"/>
  <c r="P10" i="4"/>
  <c r="P27" i="4" s="1"/>
  <c r="V180" i="2"/>
  <c r="AQ180" i="2" s="1"/>
  <c r="P11" i="4"/>
  <c r="P28" i="4" s="1"/>
  <c r="V194" i="2"/>
  <c r="AQ194" i="2" s="1"/>
  <c r="N12" i="4"/>
  <c r="N29" i="4" s="1"/>
  <c r="V212" i="2"/>
  <c r="AQ212" i="2" s="1"/>
  <c r="P13" i="4"/>
  <c r="P30" i="4" s="1"/>
  <c r="V227" i="2"/>
  <c r="AQ227" i="2" s="1"/>
  <c r="O14" i="4"/>
  <c r="O31" i="4" s="1"/>
  <c r="V241" i="2"/>
  <c r="AQ241" i="2" s="1"/>
  <c r="M15" i="4"/>
  <c r="M32" i="4" s="1"/>
  <c r="V257" i="2"/>
  <c r="AQ257" i="2" s="1"/>
  <c r="M16" i="4"/>
  <c r="M33" i="4" s="1"/>
  <c r="V276" i="2"/>
  <c r="AQ276" i="2" s="1"/>
  <c r="P17" i="4"/>
  <c r="P34" i="4" s="1"/>
  <c r="V196" i="2"/>
  <c r="AQ196" i="2" s="1"/>
  <c r="P12" i="4"/>
  <c r="P29" i="4" s="1"/>
  <c r="L15" i="4"/>
  <c r="L32" i="4" s="1"/>
  <c r="V240" i="2"/>
  <c r="AQ240" i="2" s="1"/>
  <c r="V24" i="2"/>
  <c r="AQ24" i="2" s="1"/>
  <c r="D2" i="4"/>
  <c r="D19" i="4" s="1"/>
  <c r="V56" i="2"/>
  <c r="D4" i="4"/>
  <c r="D21" i="4" s="1"/>
  <c r="V38" i="2"/>
  <c r="AQ38" i="2" s="1"/>
  <c r="B3" i="4"/>
  <c r="B20" i="4" s="1"/>
  <c r="V54" i="2"/>
  <c r="AQ54" i="2" s="1"/>
  <c r="B4" i="4"/>
  <c r="B21" i="4" s="1"/>
  <c r="V70" i="2"/>
  <c r="B5" i="4"/>
  <c r="B22" i="4" s="1"/>
  <c r="V86" i="2"/>
  <c r="B6" i="4"/>
  <c r="B23" i="4" s="1"/>
  <c r="C7" i="4"/>
  <c r="C24" i="4" s="1"/>
  <c r="V103" i="2"/>
  <c r="C8" i="4"/>
  <c r="C25" i="4" s="1"/>
  <c r="V119" i="2"/>
  <c r="V133" i="2"/>
  <c r="Q8" i="4"/>
  <c r="Q25" i="4" s="1"/>
  <c r="V151" i="2"/>
  <c r="AQ151" i="2" s="1"/>
  <c r="C10" i="4"/>
  <c r="C27" i="4" s="1"/>
  <c r="V165" i="2"/>
  <c r="AQ165" i="2" s="1"/>
  <c r="Q10" i="4"/>
  <c r="Q27" i="4" s="1"/>
  <c r="V181" i="2"/>
  <c r="AQ181" i="2" s="1"/>
  <c r="Q11" i="4"/>
  <c r="Q28" i="4" s="1"/>
  <c r="V199" i="2"/>
  <c r="AQ199" i="2" s="1"/>
  <c r="C13" i="4"/>
  <c r="C30" i="4" s="1"/>
  <c r="V213" i="2"/>
  <c r="AQ213" i="2" s="1"/>
  <c r="Q13" i="4"/>
  <c r="Q30" i="4" s="1"/>
  <c r="D15" i="4"/>
  <c r="D32" i="4" s="1"/>
  <c r="V232" i="2"/>
  <c r="AQ232" i="2" s="1"/>
  <c r="V246" i="2"/>
  <c r="AQ246" i="2" s="1"/>
  <c r="B16" i="4"/>
  <c r="B33" i="4" s="1"/>
  <c r="V262" i="2"/>
  <c r="AQ262" i="2" s="1"/>
  <c r="B17" i="4"/>
  <c r="B34" i="4" s="1"/>
  <c r="V277" i="2"/>
  <c r="AQ277" i="2" s="1"/>
  <c r="Q17" i="4"/>
  <c r="Q34" i="4" s="1"/>
  <c r="C2" i="4"/>
  <c r="C19" i="4" s="1"/>
  <c r="V23" i="2"/>
  <c r="AQ23" i="2" s="1"/>
  <c r="D10" i="4"/>
  <c r="D27" i="4" s="1"/>
  <c r="V152" i="2"/>
  <c r="AQ152" i="2" s="1"/>
  <c r="V68" i="2"/>
  <c r="P4" i="4"/>
  <c r="P21" i="4" s="1"/>
  <c r="K6" i="4"/>
  <c r="K23" i="4" s="1"/>
  <c r="V95" i="2"/>
  <c r="V116" i="2"/>
  <c r="P7" i="4"/>
  <c r="P24" i="4" s="1"/>
  <c r="V236" i="2"/>
  <c r="AQ236" i="2" s="1"/>
  <c r="H15" i="4"/>
  <c r="H32" i="4" s="1"/>
  <c r="Q3" i="4"/>
  <c r="Q20" i="4" s="1"/>
  <c r="V53" i="2"/>
  <c r="AQ53" i="2" s="1"/>
  <c r="Q5" i="4"/>
  <c r="Q22" i="4" s="1"/>
  <c r="V85" i="2"/>
  <c r="V131" i="2"/>
  <c r="O8" i="4"/>
  <c r="O25" i="4" s="1"/>
  <c r="V145" i="2"/>
  <c r="M9" i="4"/>
  <c r="M26" i="4" s="1"/>
  <c r="V193" i="2"/>
  <c r="AQ193" i="2" s="1"/>
  <c r="M12" i="4"/>
  <c r="M29" i="4" s="1"/>
  <c r="V226" i="2"/>
  <c r="AQ226" i="2" s="1"/>
  <c r="N14" i="4"/>
  <c r="N31" i="4" s="1"/>
  <c r="V244" i="2"/>
  <c r="AQ244" i="2" s="1"/>
  <c r="P15" i="4"/>
  <c r="P32" i="4" s="1"/>
  <c r="D13" i="4"/>
  <c r="D30" i="4" s="1"/>
  <c r="V200" i="2"/>
  <c r="AQ200" i="2" s="1"/>
  <c r="V255" i="2"/>
  <c r="AQ255" i="2" s="1"/>
  <c r="K16" i="4"/>
  <c r="K33" i="4" s="1"/>
  <c r="G4" i="4"/>
  <c r="G21" i="4" s="1"/>
  <c r="V59" i="2"/>
  <c r="G6" i="4"/>
  <c r="G23" i="4" s="1"/>
  <c r="V91" i="2"/>
  <c r="V139" i="2"/>
  <c r="G9" i="4"/>
  <c r="G26" i="4" s="1"/>
  <c r="V153" i="2"/>
  <c r="AQ153" i="2" s="1"/>
  <c r="E10" i="4"/>
  <c r="E27" i="4" s="1"/>
  <c r="V201" i="2"/>
  <c r="AQ201" i="2" s="1"/>
  <c r="E13" i="4"/>
  <c r="E30" i="4" s="1"/>
  <c r="V234" i="2"/>
  <c r="AQ234" i="2" s="1"/>
  <c r="F15" i="4"/>
  <c r="F32" i="4" s="1"/>
  <c r="V265" i="2"/>
  <c r="AQ265" i="2" s="1"/>
  <c r="E17" i="4"/>
  <c r="E34" i="4" s="1"/>
  <c r="V217" i="2"/>
  <c r="AQ217" i="2" s="1"/>
  <c r="E14" i="4"/>
  <c r="E31" i="4" s="1"/>
  <c r="V40" i="2"/>
  <c r="AQ40" i="2" s="1"/>
  <c r="D3" i="4"/>
  <c r="D20" i="4" s="1"/>
  <c r="V30" i="2"/>
  <c r="AQ30" i="2" s="1"/>
  <c r="J2" i="4"/>
  <c r="J19" i="4" s="1"/>
  <c r="V78" i="2"/>
  <c r="J5" i="4"/>
  <c r="J22" i="4" s="1"/>
  <c r="L7" i="4"/>
  <c r="L24" i="4" s="1"/>
  <c r="V112" i="2"/>
  <c r="V126" i="2"/>
  <c r="J8" i="4"/>
  <c r="J25" i="4" s="1"/>
  <c r="V158" i="2"/>
  <c r="AQ158" i="2" s="1"/>
  <c r="J10" i="4"/>
  <c r="J27" i="4" s="1"/>
  <c r="V206" i="2"/>
  <c r="AQ206" i="2" s="1"/>
  <c r="J13" i="4"/>
  <c r="J30" i="4" s="1"/>
  <c r="V239" i="2"/>
  <c r="AQ239" i="2" s="1"/>
  <c r="K15" i="4"/>
  <c r="K32" i="4" s="1"/>
  <c r="V22" i="2"/>
  <c r="AQ22" i="2" s="1"/>
  <c r="B2" i="4"/>
  <c r="B19" i="4" s="1"/>
  <c r="V148" i="2"/>
  <c r="P9" i="4"/>
  <c r="P26" i="4" s="1"/>
  <c r="V76" i="2"/>
  <c r="H5" i="4"/>
  <c r="H22" i="4" s="1"/>
  <c r="V137" i="2"/>
  <c r="E9" i="4"/>
  <c r="E26" i="4" s="1"/>
  <c r="V36" i="2"/>
  <c r="AQ36" i="2" s="1"/>
  <c r="P2" i="4"/>
  <c r="P19" i="4" s="1"/>
  <c r="V127" i="2"/>
  <c r="K8" i="4"/>
  <c r="K25" i="4" s="1"/>
  <c r="K4" i="4"/>
  <c r="K21" i="4" s="1"/>
  <c r="V63" i="2"/>
  <c r="V28" i="2"/>
  <c r="AQ28" i="2" s="1"/>
  <c r="H2" i="4"/>
  <c r="H19" i="4" s="1"/>
  <c r="V92" i="2"/>
  <c r="H6" i="4"/>
  <c r="H23" i="4" s="1"/>
  <c r="V170" i="2"/>
  <c r="AQ170" i="2" s="1"/>
  <c r="F11" i="4"/>
  <c r="F28" i="4" s="1"/>
  <c r="V225" i="2"/>
  <c r="AQ225" i="2" s="1"/>
  <c r="M14" i="4"/>
  <c r="M31" i="4" s="1"/>
  <c r="V34" i="2"/>
  <c r="AQ34" i="2" s="1"/>
  <c r="N2" i="4"/>
  <c r="N19" i="4" s="1"/>
  <c r="V50" i="2"/>
  <c r="AQ50" i="2" s="1"/>
  <c r="N3" i="4"/>
  <c r="N20" i="4" s="1"/>
  <c r="V66" i="2"/>
  <c r="N4" i="4"/>
  <c r="N21" i="4" s="1"/>
  <c r="V82" i="2"/>
  <c r="N5" i="4"/>
  <c r="N22" i="4" s="1"/>
  <c r="V98" i="2"/>
  <c r="N6" i="4"/>
  <c r="N23" i="4" s="1"/>
  <c r="V110" i="2"/>
  <c r="J7" i="4"/>
  <c r="J24" i="4" s="1"/>
  <c r="L8" i="4"/>
  <c r="L25" i="4" s="1"/>
  <c r="V128" i="2"/>
  <c r="V142" i="2"/>
  <c r="J9" i="4"/>
  <c r="J26" i="4" s="1"/>
  <c r="L10" i="4"/>
  <c r="L27" i="4" s="1"/>
  <c r="V160" i="2"/>
  <c r="AQ160" i="2" s="1"/>
  <c r="V175" i="2"/>
  <c r="AQ175" i="2" s="1"/>
  <c r="K11" i="4"/>
  <c r="K28" i="4" s="1"/>
  <c r="V190" i="2"/>
  <c r="AQ190" i="2" s="1"/>
  <c r="J12" i="4"/>
  <c r="J29" i="4" s="1"/>
  <c r="L13" i="4"/>
  <c r="L30" i="4" s="1"/>
  <c r="V208" i="2"/>
  <c r="AQ208" i="2" s="1"/>
  <c r="V222" i="2"/>
  <c r="AQ222" i="2" s="1"/>
  <c r="J14" i="4"/>
  <c r="J31" i="4" s="1"/>
  <c r="V237" i="2"/>
  <c r="AQ237" i="2" s="1"/>
  <c r="I15" i="4"/>
  <c r="I32" i="4" s="1"/>
  <c r="V256" i="2"/>
  <c r="AQ256" i="2" s="1"/>
  <c r="L16" i="4"/>
  <c r="L33" i="4" s="1"/>
  <c r="L17" i="4"/>
  <c r="L34" i="4" s="1"/>
  <c r="V272" i="2"/>
  <c r="AQ272" i="2" s="1"/>
  <c r="V189" i="2"/>
  <c r="AQ189" i="2" s="1"/>
  <c r="I12" i="4"/>
  <c r="I29" i="4" s="1"/>
  <c r="V243" i="2"/>
  <c r="AQ243" i="2" s="1"/>
  <c r="O15" i="4"/>
  <c r="O32" i="4" s="1"/>
  <c r="V26" i="2"/>
  <c r="AQ26" i="2" s="1"/>
  <c r="F2" i="4"/>
  <c r="F19" i="4" s="1"/>
  <c r="V48" i="2"/>
  <c r="AQ48" i="2" s="1"/>
  <c r="L3" i="4"/>
  <c r="L20" i="4" s="1"/>
  <c r="V72" i="2"/>
  <c r="D5" i="4"/>
  <c r="D22" i="4" s="1"/>
  <c r="V88" i="2"/>
  <c r="D6" i="4"/>
  <c r="D23" i="4" s="1"/>
  <c r="V102" i="2"/>
  <c r="B7" i="4"/>
  <c r="B24" i="4" s="1"/>
  <c r="V118" i="2"/>
  <c r="B8" i="4"/>
  <c r="B25" i="4" s="1"/>
  <c r="D9" i="4"/>
  <c r="D26" i="4" s="1"/>
  <c r="V136" i="2"/>
  <c r="V150" i="2"/>
  <c r="AQ150" i="2" s="1"/>
  <c r="B10" i="4"/>
  <c r="B27" i="4" s="1"/>
  <c r="V168" i="2"/>
  <c r="AQ168" i="2" s="1"/>
  <c r="D11" i="4"/>
  <c r="D28" i="4" s="1"/>
  <c r="D12" i="4"/>
  <c r="D29" i="4" s="1"/>
  <c r="V184" i="2"/>
  <c r="AQ184" i="2" s="1"/>
  <c r="V198" i="2"/>
  <c r="AQ198" i="2" s="1"/>
  <c r="B13" i="4"/>
  <c r="B30" i="4" s="1"/>
  <c r="D14" i="4"/>
  <c r="D31" i="4" s="1"/>
  <c r="V216" i="2"/>
  <c r="AQ216" i="2" s="1"/>
  <c r="V231" i="2"/>
  <c r="AQ231" i="2" s="1"/>
  <c r="C15" i="4"/>
  <c r="C32" i="4" s="1"/>
  <c r="V245" i="2"/>
  <c r="AQ245" i="2" s="1"/>
  <c r="Q15" i="4"/>
  <c r="Q32" i="4" s="1"/>
  <c r="V261" i="2"/>
  <c r="AQ261" i="2" s="1"/>
  <c r="Q16" i="4"/>
  <c r="Q33" i="4" s="1"/>
  <c r="V166" i="2"/>
  <c r="AQ166" i="2" s="1"/>
  <c r="B11" i="4"/>
  <c r="B28" i="4" s="1"/>
  <c r="V207" i="2"/>
  <c r="AQ207" i="2" s="1"/>
  <c r="K13" i="4"/>
  <c r="K30" i="4" s="1"/>
  <c r="V251" i="2"/>
  <c r="AQ251" i="2" s="1"/>
  <c r="G16" i="4"/>
  <c r="G33" i="4" s="1"/>
  <c r="O2" i="4"/>
  <c r="O19" i="4" s="1"/>
  <c r="V35" i="2"/>
  <c r="AQ35" i="2" s="1"/>
  <c r="E2" i="4"/>
  <c r="E19" i="4" s="1"/>
  <c r="V25" i="2"/>
  <c r="AQ25" i="2" s="1"/>
  <c r="E3" i="4"/>
  <c r="E20" i="4" s="1"/>
  <c r="V41" i="2"/>
  <c r="AQ41" i="2" s="1"/>
  <c r="E4" i="4"/>
  <c r="E21" i="4" s="1"/>
  <c r="V57" i="2"/>
  <c r="E5" i="4"/>
  <c r="E22" i="4" s="1"/>
  <c r="V73" i="2"/>
  <c r="E6" i="4"/>
  <c r="E23" i="4" s="1"/>
  <c r="V89" i="2"/>
  <c r="V108" i="2"/>
  <c r="H7" i="4"/>
  <c r="H24" i="4" s="1"/>
  <c r="V122" i="2"/>
  <c r="F8" i="4"/>
  <c r="F25" i="4" s="1"/>
  <c r="V140" i="2"/>
  <c r="H9" i="4"/>
  <c r="H26" i="4" s="1"/>
  <c r="V154" i="2"/>
  <c r="AQ154" i="2" s="1"/>
  <c r="F10" i="4"/>
  <c r="F27" i="4" s="1"/>
  <c r="V169" i="2"/>
  <c r="AQ169" i="2" s="1"/>
  <c r="E11" i="4"/>
  <c r="E28" i="4" s="1"/>
  <c r="V188" i="2"/>
  <c r="AQ188" i="2" s="1"/>
  <c r="H12" i="4"/>
  <c r="H29" i="4" s="1"/>
  <c r="V202" i="2"/>
  <c r="AQ202" i="2" s="1"/>
  <c r="F13" i="4"/>
  <c r="F30" i="4" s="1"/>
  <c r="V220" i="2"/>
  <c r="AQ220" i="2" s="1"/>
  <c r="H14" i="4"/>
  <c r="H31" i="4" s="1"/>
  <c r="V235" i="2"/>
  <c r="AQ235" i="2" s="1"/>
  <c r="G15" i="4"/>
  <c r="G32" i="4" s="1"/>
  <c r="V250" i="2"/>
  <c r="AQ250" i="2" s="1"/>
  <c r="F16" i="4"/>
  <c r="F33" i="4" s="1"/>
  <c r="V266" i="2"/>
  <c r="AQ266" i="2" s="1"/>
  <c r="F17" i="4"/>
  <c r="F34" i="4" s="1"/>
  <c r="N17" i="4"/>
  <c r="N34" i="4" s="1"/>
  <c r="V274" i="2"/>
  <c r="AQ274" i="2" s="1"/>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C22" i="2"/>
  <c r="AQ89" i="2" l="1"/>
  <c r="AQ57" i="2"/>
  <c r="B45" i="4"/>
  <c r="B44" i="4"/>
  <c r="B42" i="4"/>
  <c r="AQ63" i="2"/>
  <c r="B36" i="4"/>
  <c r="AQ59" i="2"/>
  <c r="AQ85" i="2"/>
  <c r="AQ95" i="2"/>
  <c r="AQ119" i="2"/>
  <c r="B40" i="4"/>
  <c r="B38" i="4"/>
  <c r="AQ83" i="2"/>
  <c r="AQ107" i="2"/>
  <c r="AQ77" i="2"/>
  <c r="B48" i="4"/>
  <c r="AQ71" i="2"/>
  <c r="AQ120" i="2"/>
  <c r="AQ55" i="2"/>
  <c r="AQ105" i="2"/>
  <c r="AQ69" i="2"/>
  <c r="B46" i="4"/>
  <c r="AQ81" i="2"/>
  <c r="B49" i="4"/>
  <c r="AQ122" i="2"/>
  <c r="AQ118" i="2"/>
  <c r="AQ88" i="2"/>
  <c r="AQ142" i="2"/>
  <c r="AQ110" i="2"/>
  <c r="AQ82" i="2"/>
  <c r="AQ92" i="2"/>
  <c r="AQ76" i="2"/>
  <c r="AQ126" i="2"/>
  <c r="AQ78" i="2"/>
  <c r="AQ139" i="2"/>
  <c r="AQ145" i="2"/>
  <c r="AQ86" i="2"/>
  <c r="AQ56" i="2"/>
  <c r="AQ146" i="2"/>
  <c r="AQ138" i="2"/>
  <c r="AQ94" i="2"/>
  <c r="AQ113" i="2"/>
  <c r="AQ141" i="2"/>
  <c r="AQ147" i="2"/>
  <c r="AQ115" i="2"/>
  <c r="AQ143" i="2"/>
  <c r="AQ111" i="2"/>
  <c r="AQ80" i="2"/>
  <c r="B51" i="4"/>
  <c r="AQ135" i="2"/>
  <c r="AQ104" i="2"/>
  <c r="AQ74" i="2"/>
  <c r="AQ60" i="2"/>
  <c r="AQ84" i="2"/>
  <c r="AQ73" i="2"/>
  <c r="B47" i="4"/>
  <c r="AQ136" i="2"/>
  <c r="B41" i="4"/>
  <c r="AQ128" i="2"/>
  <c r="AQ112" i="2"/>
  <c r="AQ91" i="2"/>
  <c r="AQ103" i="2"/>
  <c r="B39" i="4"/>
  <c r="B37" i="4"/>
  <c r="AQ99" i="2"/>
  <c r="AQ67" i="2"/>
  <c r="AQ93" i="2"/>
  <c r="AQ61" i="2"/>
  <c r="AQ144" i="2"/>
  <c r="AQ75" i="2"/>
  <c r="AQ87" i="2"/>
  <c r="AQ97" i="2"/>
  <c r="AQ65" i="2"/>
  <c r="B50" i="4"/>
  <c r="B43" i="4"/>
  <c r="AQ79" i="2"/>
  <c r="AQ140" i="2"/>
  <c r="AQ108" i="2"/>
  <c r="AQ102" i="2"/>
  <c r="AQ72" i="2"/>
  <c r="AQ98" i="2"/>
  <c r="AQ66" i="2"/>
  <c r="AQ127" i="2"/>
  <c r="AQ137" i="2"/>
  <c r="AQ148" i="2"/>
  <c r="AQ131" i="2"/>
  <c r="AQ116" i="2"/>
  <c r="AQ68" i="2"/>
  <c r="AQ133" i="2"/>
  <c r="AQ70" i="2"/>
  <c r="AQ132" i="2"/>
  <c r="AQ124" i="2"/>
  <c r="AQ100" i="2"/>
  <c r="AQ123" i="2"/>
  <c r="AQ106" i="2"/>
  <c r="AQ62" i="2"/>
  <c r="AQ121" i="2"/>
  <c r="AQ101" i="2"/>
  <c r="AQ129" i="2"/>
  <c r="AQ125" i="2"/>
  <c r="AQ96" i="2"/>
  <c r="AQ64" i="2"/>
  <c r="AQ117" i="2"/>
  <c r="AQ90" i="2"/>
  <c r="AQ58" i="2"/>
  <c r="AQ130" i="2"/>
  <c r="AQ134" i="2"/>
  <c r="AQ109" i="2"/>
</calcChain>
</file>

<file path=xl/sharedStrings.xml><?xml version="1.0" encoding="utf-8"?>
<sst xmlns="http://schemas.openxmlformats.org/spreadsheetml/2006/main" count="294" uniqueCount="186">
  <si>
    <t>a1</t>
    <phoneticPr fontId="1"/>
  </si>
  <si>
    <t>a2</t>
    <phoneticPr fontId="1"/>
  </si>
  <si>
    <t>b</t>
    <phoneticPr fontId="1"/>
  </si>
  <si>
    <t>c</t>
    <phoneticPr fontId="1"/>
  </si>
  <si>
    <t>d1</t>
    <phoneticPr fontId="1"/>
  </si>
  <si>
    <t>d2</t>
    <phoneticPr fontId="1"/>
  </si>
  <si>
    <t>e</t>
    <phoneticPr fontId="1"/>
  </si>
  <si>
    <t>f</t>
    <phoneticPr fontId="1"/>
  </si>
  <si>
    <t>g1</t>
    <phoneticPr fontId="1"/>
  </si>
  <si>
    <t>g2</t>
    <phoneticPr fontId="1"/>
  </si>
  <si>
    <t>h</t>
    <phoneticPr fontId="1"/>
  </si>
  <si>
    <t>j</t>
    <phoneticPr fontId="1"/>
  </si>
  <si>
    <t>k</t>
    <phoneticPr fontId="1"/>
  </si>
  <si>
    <t>l</t>
    <phoneticPr fontId="1"/>
  </si>
  <si>
    <t>m</t>
    <phoneticPr fontId="1"/>
  </si>
  <si>
    <t>n</t>
    <phoneticPr fontId="1"/>
  </si>
  <si>
    <t>a1x</t>
    <phoneticPr fontId="1"/>
  </si>
  <si>
    <t>a1y</t>
    <phoneticPr fontId="1"/>
  </si>
  <si>
    <t>a2x</t>
    <phoneticPr fontId="1"/>
  </si>
  <si>
    <t>a2y</t>
    <phoneticPr fontId="1"/>
  </si>
  <si>
    <t>bx</t>
    <phoneticPr fontId="1"/>
  </si>
  <si>
    <t>by</t>
    <phoneticPr fontId="1"/>
  </si>
  <si>
    <t>cx</t>
    <phoneticPr fontId="1"/>
  </si>
  <si>
    <t>cy</t>
    <phoneticPr fontId="1"/>
  </si>
  <si>
    <t>d1x</t>
    <phoneticPr fontId="1"/>
  </si>
  <si>
    <t>d1y</t>
    <phoneticPr fontId="1"/>
  </si>
  <si>
    <t>d2x</t>
    <phoneticPr fontId="1"/>
  </si>
  <si>
    <t>d2y</t>
    <phoneticPr fontId="1"/>
  </si>
  <si>
    <t>ex</t>
    <phoneticPr fontId="1"/>
  </si>
  <si>
    <t>ey</t>
    <phoneticPr fontId="1"/>
  </si>
  <si>
    <t>fx</t>
    <phoneticPr fontId="1"/>
  </si>
  <si>
    <t>fy</t>
    <phoneticPr fontId="1"/>
  </si>
  <si>
    <t>g1x</t>
    <phoneticPr fontId="1"/>
  </si>
  <si>
    <t>g1y</t>
    <phoneticPr fontId="1"/>
  </si>
  <si>
    <t>g2x</t>
    <phoneticPr fontId="1"/>
  </si>
  <si>
    <t>g2y</t>
    <phoneticPr fontId="1"/>
  </si>
  <si>
    <t>hx</t>
    <phoneticPr fontId="1"/>
  </si>
  <si>
    <t>hy</t>
    <phoneticPr fontId="1"/>
  </si>
  <si>
    <t>jx</t>
    <phoneticPr fontId="1"/>
  </si>
  <si>
    <t>jy</t>
    <phoneticPr fontId="1"/>
  </si>
  <si>
    <t>kx</t>
    <phoneticPr fontId="1"/>
  </si>
  <si>
    <t>ky</t>
    <phoneticPr fontId="1"/>
  </si>
  <si>
    <t>lx</t>
    <phoneticPr fontId="1"/>
  </si>
  <si>
    <t>ly</t>
    <phoneticPr fontId="1"/>
  </si>
  <si>
    <t>mx</t>
    <phoneticPr fontId="1"/>
  </si>
  <si>
    <t>my</t>
    <phoneticPr fontId="1"/>
  </si>
  <si>
    <t>nx</t>
    <phoneticPr fontId="1"/>
  </si>
  <si>
    <t>ny</t>
    <phoneticPr fontId="1"/>
  </si>
  <si>
    <t>code</t>
    <phoneticPr fontId="1"/>
  </si>
  <si>
    <t>hex</t>
    <phoneticPr fontId="1"/>
  </si>
  <si>
    <t>char</t>
    <phoneticPr fontId="1"/>
  </si>
  <si>
    <t>pattern</t>
    <phoneticPr fontId="1"/>
  </si>
  <si>
    <t>pattern</t>
    <phoneticPr fontId="1"/>
  </si>
  <si>
    <t>segment to pattern</t>
    <phoneticPr fontId="1"/>
  </si>
  <si>
    <t>pattern to segment</t>
    <phoneticPr fontId="1"/>
  </si>
  <si>
    <t>p-hex</t>
    <phoneticPr fontId="1"/>
  </si>
  <si>
    <t>p-hex</t>
    <phoneticPr fontId="1"/>
  </si>
  <si>
    <t>real size</t>
    <phoneticPr fontId="1"/>
  </si>
  <si>
    <t>mm</t>
    <phoneticPr fontId="1"/>
  </si>
  <si>
    <t>pt/inch</t>
    <phoneticPr fontId="1"/>
  </si>
  <si>
    <t>mm/inch</t>
    <phoneticPr fontId="1"/>
  </si>
  <si>
    <t>draw size</t>
    <phoneticPr fontId="1"/>
  </si>
  <si>
    <t>pt</t>
    <phoneticPr fontId="1"/>
  </si>
  <si>
    <t>image data of 16 segment LED</t>
    <phoneticPr fontId="1"/>
  </si>
  <si>
    <t>Font editor for 16 segment LED</t>
    <phoneticPr fontId="1"/>
  </si>
  <si>
    <t>2018/6/25</t>
    <phoneticPr fontId="1"/>
  </si>
  <si>
    <t xml:space="preserve">clear cell=&gt; </t>
    <phoneticPr fontId="1"/>
  </si>
  <si>
    <t>code to show(hex)</t>
    <phoneticPr fontId="1"/>
  </si>
  <si>
    <t>(dec)</t>
    <phoneticPr fontId="1"/>
  </si>
  <si>
    <t>clock</t>
    <phoneticPr fontId="1"/>
  </si>
  <si>
    <t>spoke</t>
    <phoneticPr fontId="1"/>
  </si>
  <si>
    <t>alien</t>
    <phoneticPr fontId="1"/>
  </si>
  <si>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</si>
  <si>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</si>
  <si>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</si>
  <si>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</si>
  <si>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</si>
  <si>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</si>
  <si>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</si>
  <si>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</si>
  <si>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</si>
  <si>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</si>
  <si>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</si>
  <si>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</si>
  <si>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</si>
  <si>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</si>
  <si>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</si>
  <si>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</si>
  <si>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</si>
  <si>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</si>
  <si>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</si>
  <si>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</si>
  <si>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</si>
  <si>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</si>
  <si>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</si>
  <si>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</si>
  <si>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</si>
  <si>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</si>
  <si>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</si>
  <si>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</si>
  <si>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</si>
  <si>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</si>
  <si>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</si>
  <si>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</si>
  <si>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</si>
  <si>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</si>
  <si>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</si>
  <si>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</si>
  <si>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</si>
  <si>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</si>
  <si>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</si>
  <si>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</si>
  <si>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</si>
  <si>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</si>
  <si>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</si>
  <si>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</si>
  <si>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</si>
  <si>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</si>
  <si>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</si>
  <si>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</si>
  <si>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</si>
  <si>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</si>
  <si>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</si>
  <si>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</si>
  <si>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</si>
  <si>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</si>
  <si>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</si>
  <si>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</si>
  <si>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</si>
  <si>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</si>
  <si>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</si>
  <si>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</si>
  <si>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</si>
  <si>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</si>
  <si>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</si>
  <si>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t>
  </si>
  <si>
    <t>#</t>
  </si>
  <si>
    <t>$</t>
  </si>
  <si>
    <t>%</t>
  </si>
  <si>
    <t>&amp;</t>
  </si>
  <si>
    <t>'</t>
  </si>
  <si>
    <t>(</t>
  </si>
  <si>
    <t>)</t>
  </si>
  <si>
    <t>*</t>
  </si>
  <si>
    <t>+</t>
  </si>
  <si>
    <t>,</t>
  </si>
  <si>
    <t>-</t>
  </si>
  <si>
    <t>.</t>
  </si>
  <si>
    <t>/</t>
  </si>
  <si>
    <t>:</t>
  </si>
  <si>
    <t>;</t>
  </si>
  <si>
    <t>&lt;</t>
  </si>
  <si>
    <t>=</t>
  </si>
  <si>
    <t>&gt;</t>
  </si>
  <si>
    <t>?</t>
  </si>
  <si>
    <t>0</t>
    <phoneticPr fontId="1"/>
  </si>
  <si>
    <t>1</t>
    <phoneticPr fontId="1"/>
  </si>
  <si>
    <t>2</t>
    <phoneticPr fontId="1"/>
  </si>
  <si>
    <t>3</t>
    <phoneticPr fontId="1"/>
  </si>
  <si>
    <t>4</t>
    <phoneticPr fontId="1"/>
  </si>
  <si>
    <t>5</t>
    <phoneticPr fontId="1"/>
  </si>
  <si>
    <t>6</t>
    <phoneticPr fontId="1"/>
  </si>
  <si>
    <t>7</t>
    <phoneticPr fontId="1"/>
  </si>
  <si>
    <t>8</t>
    <phoneticPr fontId="1"/>
  </si>
  <si>
    <t>9</t>
    <phoneticPr fontId="1"/>
  </si>
  <si>
    <t>to initialize</t>
  </si>
  <si>
    <t>to update type &lt;CTRL&gt;+&lt;shift&gt;+A</t>
    <phoneticPr fontId="1"/>
  </si>
  <si>
    <t>for source code</t>
    <phoneticPr fontId="1"/>
  </si>
  <si>
    <t>&lt;del&gt;</t>
    <phoneticPr fontId="1"/>
  </si>
  <si>
    <t>&lt;space&gt;</t>
    <phoneticPr fontId="1"/>
  </si>
  <si>
    <t>&lt;yen&gt;</t>
    <phoneticPr fontId="1"/>
  </si>
  <si>
    <t>&lt;pattern&gt;</t>
    <phoneticPr fontId="1"/>
  </si>
  <si>
    <t>&lt;yen&gt;</t>
    <phoneticPr fontId="1"/>
  </si>
  <si>
    <t>};</t>
    <phoneticPr fontId="1"/>
  </si>
  <si>
    <t>const uint16_t font[] = {</t>
    <phoneticPr fontId="1"/>
  </si>
  <si>
    <t>type</t>
    <phoneticPr fontId="1"/>
  </si>
  <si>
    <t>select</t>
    <phoneticPr fontId="1"/>
  </si>
  <si>
    <t>TLC5940</t>
    <phoneticPr fontId="1"/>
  </si>
  <si>
    <t>HT16K33</t>
    <phoneticPr fontId="1"/>
  </si>
  <si>
    <t>segment=&gt;</t>
    <phoneticPr fontId="1"/>
  </si>
  <si>
    <t xml:space="preserve"> Copyright 2018 BotanicFields, Inc.</t>
    <phoneticPr fontId="1"/>
  </si>
  <si>
    <t>arrow</t>
    <phoneticPr fontId="1"/>
  </si>
  <si>
    <t>wheel</t>
    <phoneticPr fontId="1"/>
  </si>
  <si>
    <t>hammer</t>
    <phoneticPr fontId="1"/>
  </si>
  <si>
    <t>o</t>
    <phoneticPr fontId="1"/>
  </si>
  <si>
    <t>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</si>
</sst>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quot;0x&quot;@"/>
  </numFmts>
  <fonts count="7" x14ac:knownFonts="1">
    <font>
      <sz val="11"/>
      <color theme="1"/>
      <name val="ＭＳ Ｐゴシック"/>
      <family val="2"/>
      <scheme val="minor"/>
    </font>
    <font>
      <sz val="6"/>
      <name val="ＭＳ Ｐゴシック"/>
      <family val="3"/>
      <charset val="128"/>
      <scheme val="minor"/>
    </font>
    <font>
      <sz val="11"/>
      <color theme="1"/>
      <name val="OCRB"/>
      <family val="3"/>
    </font>
    <font>
      <sz val="11"/>
      <color theme="1"/>
      <name val="メイリオ"/>
      <family val="3"/>
      <charset val="128"/>
    </font>
    <font>
      <sz val="10"/>
      <color theme="1"/>
      <name val="OCRB"/>
      <family val="3"/>
    </font>
    <font>
      <u/>
      <sz val="11"/>
      <color theme="1"/>
      <name val="OCRB"/>
      <family val="3"/>
    </font>
    <font>
      <sz val="20"/>
      <color theme="1"/>
      <name val="OCRB"/>
      <family val="3"/>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auto="1"/>
      </left>
      <right/>
      <top/>
      <bottom/>
      <diagonal/>
    </border>
  </borders>
  <cellStyleXfs count="1">
    <xf numFmtId="0" fontId="0" fillId="0" borderId="0"/>
  </cellStyleXfs>
  <cellXfs count="32">
    <xf numFmtId="0" fontId="0" fillId="0" borderId="0" xfId="0"/>
    <xf numFmtId="0" fontId="0" fillId="0" borderId="1" xfId="0" applyBorder="1"/>
    <xf numFmtId="0" fontId="0" fillId="0" borderId="2" xfId="0" applyBorder="1"/>
    <xf numFmtId="0" fontId="0" fillId="2" borderId="1" xfId="0" applyFill="1" applyBorder="1"/>
    <xf numFmtId="0" fontId="2" fillId="0" borderId="0" xfId="0" applyFont="1" applyAlignment="1">
      <alignment horizontal="right" vertical="center"/>
    </xf>
    <xf numFmtId="0" fontId="2" fillId="0" borderId="0" xfId="0" quotePrefix="1" applyFont="1" applyAlignment="1">
      <alignment horizontal="right" vertical="center"/>
    </xf>
    <xf numFmtId="0" fontId="0" fillId="0" borderId="0" xfId="0" applyAlignment="1">
      <alignment vertical="center"/>
    </xf>
    <xf numFmtId="0" fontId="2" fillId="0" borderId="0" xfId="0" applyFont="1" applyAlignment="1">
      <alignment vertical="center"/>
    </xf>
    <xf numFmtId="0" fontId="2" fillId="0" borderId="1" xfId="0" quotePrefix="1" applyFont="1" applyBorder="1" applyAlignment="1">
      <alignment horizontal="right" vertical="center"/>
    </xf>
    <xf numFmtId="0" fontId="2" fillId="2" borderId="1" xfId="0" quotePrefix="1" applyFont="1" applyFill="1" applyBorder="1" applyAlignment="1">
      <alignment horizontal="right" vertical="center"/>
    </xf>
    <xf numFmtId="0" fontId="2" fillId="0" borderId="1" xfId="0" applyFont="1" applyBorder="1" applyAlignment="1">
      <alignment vertical="center"/>
    </xf>
    <xf numFmtId="14" fontId="2" fillId="0" borderId="0" xfId="0" quotePrefix="1" applyNumberFormat="1" applyFont="1" applyAlignment="1">
      <alignment horizontal="right" vertical="center"/>
    </xf>
    <xf numFmtId="0" fontId="4" fillId="2" borderId="1" xfId="0" applyFont="1" applyFill="1" applyBorder="1" applyAlignment="1">
      <alignment vertical="center"/>
    </xf>
    <xf numFmtId="0" fontId="5" fillId="0" borderId="0" xfId="0" applyFont="1" applyAlignment="1">
      <alignment vertical="center"/>
    </xf>
    <xf numFmtId="0" fontId="2" fillId="0" borderId="3" xfId="0" applyFont="1" applyBorder="1" applyAlignment="1">
      <alignment vertical="center"/>
    </xf>
    <xf numFmtId="0" fontId="2" fillId="0" borderId="0" xfId="0" applyFont="1" applyBorder="1" applyAlignment="1">
      <alignment vertical="center"/>
    </xf>
    <xf numFmtId="0" fontId="2" fillId="2" borderId="1" xfId="0" applyFont="1" applyFill="1" applyBorder="1" applyAlignment="1">
      <alignment vertical="center"/>
    </xf>
    <xf numFmtId="0" fontId="2" fillId="0" borderId="4" xfId="0" applyFont="1" applyFill="1" applyBorder="1" applyAlignment="1">
      <alignment vertical="center"/>
    </xf>
    <xf numFmtId="0" fontId="2" fillId="2" borderId="1" xfId="0" applyFont="1" applyFill="1" applyBorder="1" applyAlignment="1">
      <alignment horizontal="center" vertical="center"/>
    </xf>
    <xf numFmtId="176" fontId="2" fillId="2" borderId="1" xfId="0" applyNumberFormat="1" applyFont="1" applyFill="1" applyBorder="1" applyAlignment="1">
      <alignment horizontal="center" vertical="center"/>
    </xf>
    <xf numFmtId="0" fontId="3" fillId="2" borderId="1" xfId="0" applyFont="1" applyFill="1" applyBorder="1" applyAlignment="1">
      <alignment horizontal="center" vertical="center"/>
    </xf>
    <xf numFmtId="0" fontId="2" fillId="0" borderId="1" xfId="0" applyFont="1" applyBorder="1" applyAlignment="1">
      <alignment horizontal="center" vertical="center"/>
    </xf>
    <xf numFmtId="0" fontId="2" fillId="2" borderId="1" xfId="0" applyFont="1" applyFill="1" applyBorder="1" applyAlignment="1">
      <alignment horizontal="right" vertical="center"/>
    </xf>
    <xf numFmtId="0" fontId="2" fillId="0" borderId="1" xfId="0" applyFont="1" applyFill="1" applyBorder="1" applyAlignment="1">
      <alignment vertical="center"/>
    </xf>
    <xf numFmtId="0" fontId="3" fillId="0" borderId="1" xfId="0" applyFont="1" applyFill="1" applyBorder="1" applyAlignment="1">
      <alignment horizontal="center" vertical="center"/>
    </xf>
    <xf numFmtId="0" fontId="3" fillId="0" borderId="1" xfId="0" quotePrefix="1" applyFont="1" applyFill="1" applyBorder="1" applyAlignment="1">
      <alignment horizontal="center" vertical="center"/>
    </xf>
    <xf numFmtId="0" fontId="2" fillId="0" borderId="0" xfId="0" applyFont="1" applyAlignment="1">
      <alignment horizontal="right"/>
    </xf>
    <xf numFmtId="0" fontId="6" fillId="0" borderId="0" xfId="0" applyFont="1"/>
    <xf numFmtId="0" fontId="2" fillId="0" borderId="0" xfId="0" applyNumberFormat="1" applyFont="1"/>
    <xf numFmtId="0" fontId="2" fillId="0" borderId="0" xfId="0" applyFont="1"/>
    <xf numFmtId="0" fontId="2" fillId="0" borderId="1" xfId="0" applyFont="1" applyFill="1" applyBorder="1" applyAlignment="1">
      <alignment horizontal="right" vertical="center"/>
    </xf>
    <xf numFmtId="0" fontId="2" fillId="0" borderId="1" xfId="0" applyFont="1" applyBorder="1" applyAlignment="1">
      <alignment horizontal="right" vertical="center"/>
    </xf>
  </cellXfs>
  <cellStyles count="1">
    <cellStyle name="標準"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1</xdr:col>
      <xdr:colOff>444750</xdr:colOff>
      <xdr:row>1</xdr:row>
      <xdr:rowOff>80550</xdr:rowOff>
    </xdr:from>
    <xdr:to>
      <xdr:col>2</xdr:col>
      <xdr:colOff>246001</xdr:colOff>
      <xdr:row>2</xdr:row>
      <xdr:rowOff>53101</xdr:rowOff>
    </xdr:to>
    <xdr:sp macro="" textlink="">
      <xdr:nvSpPr>
        <xdr:cNvPr id="2" name=" 0">
          <a:extLst>
            <a:ext uri="{FF2B5EF4-FFF2-40B4-BE49-F238E27FC236}">
              <a16:creationId xmlns:a16="http://schemas.microsoft.com/office/drawing/2014/main" id="{6E272BCD-E8DF-4DA2-AC79-D9E5E4700C94}"/>
            </a:ext>
          </a:extLst>
        </xdr:cNvPr>
        <xdr:cNvSpPr>
          <a:spLocks noChangeAspect="1"/>
        </xdr:cNvSpPr>
      </xdr:nvSpPr>
      <xdr:spPr>
        <a:xfrm>
          <a:off x="5400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318000</xdr:colOff>
      <xdr:row>1</xdr:row>
      <xdr:rowOff>80550</xdr:rowOff>
    </xdr:from>
    <xdr:to>
      <xdr:col>3</xdr:col>
      <xdr:colOff>119251</xdr:colOff>
      <xdr:row>2</xdr:row>
      <xdr:rowOff>53101</xdr:rowOff>
    </xdr:to>
    <xdr:sp macro="" textlink="">
      <xdr:nvSpPr>
        <xdr:cNvPr id="3" name=" 1">
          <a:extLst>
            <a:ext uri="{FF2B5EF4-FFF2-40B4-BE49-F238E27FC236}">
              <a16:creationId xmlns:a16="http://schemas.microsoft.com/office/drawing/2014/main" id="{6C01E2F1-34F0-4102-A789-7C0706D7BAFF}"/>
            </a:ext>
          </a:extLst>
        </xdr:cNvPr>
        <xdr:cNvSpPr>
          <a:spLocks noChangeAspect="1"/>
        </xdr:cNvSpPr>
      </xdr:nvSpPr>
      <xdr:spPr>
        <a:xfrm>
          <a:off x="10800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570000</xdr:colOff>
      <xdr:row>1</xdr:row>
      <xdr:rowOff>152550</xdr:rowOff>
    </xdr:from>
    <xdr:to>
      <xdr:col>3</xdr:col>
      <xdr:colOff>191251</xdr:colOff>
      <xdr:row>7</xdr:row>
      <xdr:rowOff>59851</xdr:rowOff>
    </xdr:to>
    <xdr:sp macro="" textlink="">
      <xdr:nvSpPr>
        <xdr:cNvPr id="4" name=" 2">
          <a:extLst>
            <a:ext uri="{FF2B5EF4-FFF2-40B4-BE49-F238E27FC236}">
              <a16:creationId xmlns:a16="http://schemas.microsoft.com/office/drawing/2014/main" id="{AEC6D165-B686-462E-BCD8-58A5B0313526}"/>
            </a:ext>
          </a:extLst>
        </xdr:cNvPr>
        <xdr:cNvSpPr>
          <a:spLocks noChangeAspect="1"/>
        </xdr:cNvSpPr>
      </xdr:nvSpPr>
      <xdr:spPr>
        <a:xfrm>
          <a:off x="13320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390000</xdr:colOff>
      <xdr:row>7</xdr:row>
      <xdr:rowOff>113850</xdr:rowOff>
    </xdr:from>
    <xdr:to>
      <xdr:col>3</xdr:col>
      <xdr:colOff>11251</xdr:colOff>
      <xdr:row>13</xdr:row>
      <xdr:rowOff>3151</xdr:rowOff>
    </xdr:to>
    <xdr:sp macro="" textlink="">
      <xdr:nvSpPr>
        <xdr:cNvPr id="5" name=" 3">
          <a:extLst>
            <a:ext uri="{FF2B5EF4-FFF2-40B4-BE49-F238E27FC236}">
              <a16:creationId xmlns:a16="http://schemas.microsoft.com/office/drawing/2014/main" id="{6FE93365-DD52-493F-AD35-8788FA0F8025}"/>
            </a:ext>
          </a:extLst>
        </xdr:cNvPr>
        <xdr:cNvSpPr>
          <a:spLocks noChangeAspect="1"/>
        </xdr:cNvSpPr>
      </xdr:nvSpPr>
      <xdr:spPr>
        <a:xfrm>
          <a:off x="11520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102750</xdr:colOff>
      <xdr:row>12</xdr:row>
      <xdr:rowOff>102600</xdr:rowOff>
    </xdr:from>
    <xdr:to>
      <xdr:col>1</xdr:col>
      <xdr:colOff>588751</xdr:colOff>
      <xdr:row>13</xdr:row>
      <xdr:rowOff>75151</xdr:rowOff>
    </xdr:to>
    <xdr:sp macro="" textlink="">
      <xdr:nvSpPr>
        <xdr:cNvPr id="6" name=" 4">
          <a:extLst>
            <a:ext uri="{FF2B5EF4-FFF2-40B4-BE49-F238E27FC236}">
              <a16:creationId xmlns:a16="http://schemas.microsoft.com/office/drawing/2014/main" id="{C1DAB07B-27C1-4709-AEAC-E8DC808B3D45}"/>
            </a:ext>
          </a:extLst>
        </xdr:cNvPr>
        <xdr:cNvSpPr>
          <a:spLocks noChangeAspect="1"/>
        </xdr:cNvSpPr>
      </xdr:nvSpPr>
      <xdr:spPr>
        <a:xfrm>
          <a:off x="1980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624750</xdr:colOff>
      <xdr:row>12</xdr:row>
      <xdr:rowOff>102600</xdr:rowOff>
    </xdr:from>
    <xdr:to>
      <xdr:col>2</xdr:col>
      <xdr:colOff>426001</xdr:colOff>
      <xdr:row>13</xdr:row>
      <xdr:rowOff>75151</xdr:rowOff>
    </xdr:to>
    <xdr:sp macro="" textlink="">
      <xdr:nvSpPr>
        <xdr:cNvPr id="7" name=" 5">
          <a:extLst>
            <a:ext uri="{FF2B5EF4-FFF2-40B4-BE49-F238E27FC236}">
              <a16:creationId xmlns:a16="http://schemas.microsoft.com/office/drawing/2014/main" id="{1FE959B0-CE06-4A32-9202-A91CD0933926}"/>
            </a:ext>
          </a:extLst>
        </xdr:cNvPr>
        <xdr:cNvSpPr>
          <a:spLocks noChangeAspect="1"/>
        </xdr:cNvSpPr>
      </xdr:nvSpPr>
      <xdr:spPr>
        <a:xfrm>
          <a:off x="7200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48750</xdr:colOff>
      <xdr:row>7</xdr:row>
      <xdr:rowOff>113850</xdr:rowOff>
    </xdr:from>
    <xdr:to>
      <xdr:col>1</xdr:col>
      <xdr:colOff>336751</xdr:colOff>
      <xdr:row>13</xdr:row>
      <xdr:rowOff>3151</xdr:rowOff>
    </xdr:to>
    <xdr:sp macro="" textlink="">
      <xdr:nvSpPr>
        <xdr:cNvPr id="8" name=" 6">
          <a:extLst>
            <a:ext uri="{FF2B5EF4-FFF2-40B4-BE49-F238E27FC236}">
              <a16:creationId xmlns:a16="http://schemas.microsoft.com/office/drawing/2014/main" id="{61ED46B3-7A24-4EA9-BFE0-EB33D3559207}"/>
            </a:ext>
          </a:extLst>
        </xdr:cNvPr>
        <xdr:cNvSpPr>
          <a:spLocks noChangeAspect="1"/>
        </xdr:cNvSpPr>
      </xdr:nvSpPr>
      <xdr:spPr>
        <a:xfrm>
          <a:off x="1440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228750</xdr:colOff>
      <xdr:row>1</xdr:row>
      <xdr:rowOff>152550</xdr:rowOff>
    </xdr:from>
    <xdr:to>
      <xdr:col>1</xdr:col>
      <xdr:colOff>480751</xdr:colOff>
      <xdr:row>7</xdr:row>
      <xdr:rowOff>59851</xdr:rowOff>
    </xdr:to>
    <xdr:sp macro="" textlink="">
      <xdr:nvSpPr>
        <xdr:cNvPr id="9" name=" 7">
          <a:extLst>
            <a:ext uri="{FF2B5EF4-FFF2-40B4-BE49-F238E27FC236}">
              <a16:creationId xmlns:a16="http://schemas.microsoft.com/office/drawing/2014/main" id="{C35F352D-E780-48E6-8756-D4E7BAEC0AB4}"/>
            </a:ext>
          </a:extLst>
        </xdr:cNvPr>
        <xdr:cNvSpPr>
          <a:spLocks noChangeAspect="1"/>
        </xdr:cNvSpPr>
      </xdr:nvSpPr>
      <xdr:spPr>
        <a:xfrm>
          <a:off x="3240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300750</xdr:colOff>
      <xdr:row>7</xdr:row>
      <xdr:rowOff>5850</xdr:rowOff>
    </xdr:from>
    <xdr:to>
      <xdr:col>2</xdr:col>
      <xdr:colOff>84001</xdr:colOff>
      <xdr:row>7</xdr:row>
      <xdr:rowOff>149851</xdr:rowOff>
    </xdr:to>
    <xdr:sp macro="" textlink="">
      <xdr:nvSpPr>
        <xdr:cNvPr id="10" name=" 8">
          <a:extLst>
            <a:ext uri="{FF2B5EF4-FFF2-40B4-BE49-F238E27FC236}">
              <a16:creationId xmlns:a16="http://schemas.microsoft.com/office/drawing/2014/main" id="{82301260-D30E-42E7-995C-8A25043F02DE}"/>
            </a:ext>
          </a:extLst>
        </xdr:cNvPr>
        <xdr:cNvSpPr>
          <a:spLocks noChangeAspect="1"/>
        </xdr:cNvSpPr>
      </xdr:nvSpPr>
      <xdr:spPr>
        <a:xfrm>
          <a:off x="3960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138000</xdr:colOff>
      <xdr:row>7</xdr:row>
      <xdr:rowOff>5850</xdr:rowOff>
    </xdr:from>
    <xdr:to>
      <xdr:col>2</xdr:col>
      <xdr:colOff>588001</xdr:colOff>
      <xdr:row>7</xdr:row>
      <xdr:rowOff>149851</xdr:rowOff>
    </xdr:to>
    <xdr:sp macro="" textlink="">
      <xdr:nvSpPr>
        <xdr:cNvPr id="11" name=" 9">
          <a:extLst>
            <a:ext uri="{FF2B5EF4-FFF2-40B4-BE49-F238E27FC236}">
              <a16:creationId xmlns:a16="http://schemas.microsoft.com/office/drawing/2014/main" id="{4F168880-6CF2-43B3-A53A-288B6EC22B13}"/>
            </a:ext>
          </a:extLst>
        </xdr:cNvPr>
        <xdr:cNvSpPr>
          <a:spLocks noChangeAspect="1"/>
        </xdr:cNvSpPr>
      </xdr:nvSpPr>
      <xdr:spPr>
        <a:xfrm>
          <a:off x="9000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498750</xdr:colOff>
      <xdr:row>2</xdr:row>
      <xdr:rowOff>89100</xdr:rowOff>
    </xdr:from>
    <xdr:to>
      <xdr:col>2</xdr:col>
      <xdr:colOff>102001</xdr:colOff>
      <xdr:row>7</xdr:row>
      <xdr:rowOff>41851</xdr:rowOff>
    </xdr:to>
    <xdr:sp macro="" textlink="">
      <xdr:nvSpPr>
        <xdr:cNvPr id="12" name=" 10">
          <a:extLst>
            <a:ext uri="{FF2B5EF4-FFF2-40B4-BE49-F238E27FC236}">
              <a16:creationId xmlns:a16="http://schemas.microsoft.com/office/drawing/2014/main" id="{EFB04F88-4F36-4FDF-BA67-E6699EB79DA6}"/>
            </a:ext>
          </a:extLst>
        </xdr:cNvPr>
        <xdr:cNvSpPr>
          <a:spLocks noChangeAspect="1"/>
        </xdr:cNvSpPr>
      </xdr:nvSpPr>
      <xdr:spPr>
        <a:xfrm>
          <a:off x="5940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102000</xdr:colOff>
      <xdr:row>1</xdr:row>
      <xdr:rowOff>152550</xdr:rowOff>
    </xdr:from>
    <xdr:to>
      <xdr:col>2</xdr:col>
      <xdr:colOff>354001</xdr:colOff>
      <xdr:row>7</xdr:row>
      <xdr:rowOff>23851</xdr:rowOff>
    </xdr:to>
    <xdr:sp macro="" textlink="">
      <xdr:nvSpPr>
        <xdr:cNvPr id="13" name=" 11">
          <a:extLst>
            <a:ext uri="{FF2B5EF4-FFF2-40B4-BE49-F238E27FC236}">
              <a16:creationId xmlns:a16="http://schemas.microsoft.com/office/drawing/2014/main" id="{740E2184-E89F-4F64-BD88-829BEBD45996}"/>
            </a:ext>
          </a:extLst>
        </xdr:cNvPr>
        <xdr:cNvSpPr>
          <a:spLocks noChangeAspect="1"/>
        </xdr:cNvSpPr>
      </xdr:nvSpPr>
      <xdr:spPr>
        <a:xfrm>
          <a:off x="8640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156000</xdr:colOff>
      <xdr:row>2</xdr:row>
      <xdr:rowOff>107100</xdr:rowOff>
    </xdr:from>
    <xdr:to>
      <xdr:col>3</xdr:col>
      <xdr:colOff>11251</xdr:colOff>
      <xdr:row>7</xdr:row>
      <xdr:rowOff>41851</xdr:rowOff>
    </xdr:to>
    <xdr:sp macro="" textlink="">
      <xdr:nvSpPr>
        <xdr:cNvPr id="14" name=" 12">
          <a:extLst>
            <a:ext uri="{FF2B5EF4-FFF2-40B4-BE49-F238E27FC236}">
              <a16:creationId xmlns:a16="http://schemas.microsoft.com/office/drawing/2014/main" id="{24D766FE-CBB0-4DB7-B55A-4E208D446B54}"/>
            </a:ext>
          </a:extLst>
        </xdr:cNvPr>
        <xdr:cNvSpPr>
          <a:spLocks noChangeAspect="1"/>
        </xdr:cNvSpPr>
      </xdr:nvSpPr>
      <xdr:spPr>
        <a:xfrm>
          <a:off x="9180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120000</xdr:colOff>
      <xdr:row>7</xdr:row>
      <xdr:rowOff>113850</xdr:rowOff>
    </xdr:from>
    <xdr:to>
      <xdr:col>2</xdr:col>
      <xdr:colOff>390001</xdr:colOff>
      <xdr:row>12</xdr:row>
      <xdr:rowOff>30601</xdr:rowOff>
    </xdr:to>
    <xdr:sp macro="" textlink="">
      <xdr:nvSpPr>
        <xdr:cNvPr id="15" name=" 13">
          <a:extLst>
            <a:ext uri="{FF2B5EF4-FFF2-40B4-BE49-F238E27FC236}">
              <a16:creationId xmlns:a16="http://schemas.microsoft.com/office/drawing/2014/main" id="{CD0EC0E4-D8B6-42CE-920F-9C09572B4B30}"/>
            </a:ext>
          </a:extLst>
        </xdr:cNvPr>
        <xdr:cNvSpPr>
          <a:spLocks noChangeAspect="1"/>
        </xdr:cNvSpPr>
      </xdr:nvSpPr>
      <xdr:spPr>
        <a:xfrm>
          <a:off x="8820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552750</xdr:colOff>
      <xdr:row>7</xdr:row>
      <xdr:rowOff>131850</xdr:rowOff>
    </xdr:from>
    <xdr:to>
      <xdr:col>2</xdr:col>
      <xdr:colOff>120001</xdr:colOff>
      <xdr:row>12</xdr:row>
      <xdr:rowOff>156601</xdr:rowOff>
    </xdr:to>
    <xdr:sp macro="" textlink="">
      <xdr:nvSpPr>
        <xdr:cNvPr id="16" name=" 14">
          <a:extLst>
            <a:ext uri="{FF2B5EF4-FFF2-40B4-BE49-F238E27FC236}">
              <a16:creationId xmlns:a16="http://schemas.microsoft.com/office/drawing/2014/main" id="{59FE8035-11EA-427E-9E50-DDC2686515AA}"/>
            </a:ext>
          </a:extLst>
        </xdr:cNvPr>
        <xdr:cNvSpPr>
          <a:spLocks noChangeAspect="1"/>
        </xdr:cNvSpPr>
      </xdr:nvSpPr>
      <xdr:spPr>
        <a:xfrm>
          <a:off x="6480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228750</xdr:colOff>
      <xdr:row>7</xdr:row>
      <xdr:rowOff>113850</xdr:rowOff>
    </xdr:from>
    <xdr:to>
      <xdr:col>2</xdr:col>
      <xdr:colOff>84001</xdr:colOff>
      <xdr:row>12</xdr:row>
      <xdr:rowOff>48601</xdr:rowOff>
    </xdr:to>
    <xdr:sp macro="" textlink="">
      <xdr:nvSpPr>
        <xdr:cNvPr id="17" name=" 15">
          <a:extLst>
            <a:ext uri="{FF2B5EF4-FFF2-40B4-BE49-F238E27FC236}">
              <a16:creationId xmlns:a16="http://schemas.microsoft.com/office/drawing/2014/main" id="{B315620E-7015-471E-BAF7-87C874AD25CE}"/>
            </a:ext>
          </a:extLst>
        </xdr:cNvPr>
        <xdr:cNvSpPr>
          <a:spLocks noChangeAspect="1"/>
        </xdr:cNvSpPr>
      </xdr:nvSpPr>
      <xdr:spPr>
        <a:xfrm>
          <a:off x="3240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273300</xdr:colOff>
      <xdr:row>1</xdr:row>
      <xdr:rowOff>80550</xdr:rowOff>
    </xdr:from>
    <xdr:to>
      <xdr:col>6</xdr:col>
      <xdr:colOff>169801</xdr:colOff>
      <xdr:row>2</xdr:row>
      <xdr:rowOff>53101</xdr:rowOff>
    </xdr:to>
    <xdr:sp macro="" textlink="">
      <xdr:nvSpPr>
        <xdr:cNvPr id="18" name=" 16">
          <a:extLst>
            <a:ext uri="{FF2B5EF4-FFF2-40B4-BE49-F238E27FC236}">
              <a16:creationId xmlns:a16="http://schemas.microsoft.com/office/drawing/2014/main" id="{99720659-F251-4AD5-B91F-9B378B5069F1}"/>
            </a:ext>
          </a:extLst>
        </xdr:cNvPr>
        <xdr:cNvSpPr>
          <a:spLocks noChangeAspect="1"/>
        </xdr:cNvSpPr>
      </xdr:nvSpPr>
      <xdr:spPr>
        <a:xfrm>
          <a:off x="23688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241800</xdr:colOff>
      <xdr:row>1</xdr:row>
      <xdr:rowOff>80550</xdr:rowOff>
    </xdr:from>
    <xdr:to>
      <xdr:col>8</xdr:col>
      <xdr:colOff>138301</xdr:colOff>
      <xdr:row>2</xdr:row>
      <xdr:rowOff>53101</xdr:rowOff>
    </xdr:to>
    <xdr:sp macro="" textlink="">
      <xdr:nvSpPr>
        <xdr:cNvPr id="19" name=" 17">
          <a:extLst>
            <a:ext uri="{FF2B5EF4-FFF2-40B4-BE49-F238E27FC236}">
              <a16:creationId xmlns:a16="http://schemas.microsoft.com/office/drawing/2014/main" id="{034E86E2-0E76-4BDC-B11A-1C552B3F7B2F}"/>
            </a:ext>
          </a:extLst>
        </xdr:cNvPr>
        <xdr:cNvSpPr>
          <a:spLocks noChangeAspect="1"/>
        </xdr:cNvSpPr>
      </xdr:nvSpPr>
      <xdr:spPr>
        <a:xfrm>
          <a:off x="29088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208050</xdr:colOff>
      <xdr:row>1</xdr:row>
      <xdr:rowOff>152550</xdr:rowOff>
    </xdr:from>
    <xdr:to>
      <xdr:col>8</xdr:col>
      <xdr:colOff>210301</xdr:colOff>
      <xdr:row>7</xdr:row>
      <xdr:rowOff>59851</xdr:rowOff>
    </xdr:to>
    <xdr:sp macro="" textlink="">
      <xdr:nvSpPr>
        <xdr:cNvPr id="20" name=" 18">
          <a:extLst>
            <a:ext uri="{FF2B5EF4-FFF2-40B4-BE49-F238E27FC236}">
              <a16:creationId xmlns:a16="http://schemas.microsoft.com/office/drawing/2014/main" id="{27A62D59-5B96-4FE1-9FD2-B52CA5BCF3C4}"/>
            </a:ext>
          </a:extLst>
        </xdr:cNvPr>
        <xdr:cNvSpPr>
          <a:spLocks noChangeAspect="1"/>
        </xdr:cNvSpPr>
      </xdr:nvSpPr>
      <xdr:spPr>
        <a:xfrm>
          <a:off x="31608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28050</xdr:colOff>
      <xdr:row>7</xdr:row>
      <xdr:rowOff>113850</xdr:rowOff>
    </xdr:from>
    <xdr:to>
      <xdr:col>8</xdr:col>
      <xdr:colOff>30301</xdr:colOff>
      <xdr:row>13</xdr:row>
      <xdr:rowOff>3151</xdr:rowOff>
    </xdr:to>
    <xdr:sp macro="" textlink="">
      <xdr:nvSpPr>
        <xdr:cNvPr id="21" name=" 19">
          <a:extLst>
            <a:ext uri="{FF2B5EF4-FFF2-40B4-BE49-F238E27FC236}">
              <a16:creationId xmlns:a16="http://schemas.microsoft.com/office/drawing/2014/main" id="{549C8FEA-FFD6-4865-AED5-DE567F3A5282}"/>
            </a:ext>
          </a:extLst>
        </xdr:cNvPr>
        <xdr:cNvSpPr>
          <a:spLocks noChangeAspect="1"/>
        </xdr:cNvSpPr>
      </xdr:nvSpPr>
      <xdr:spPr>
        <a:xfrm>
          <a:off x="29808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598050</xdr:colOff>
      <xdr:row>12</xdr:row>
      <xdr:rowOff>102600</xdr:rowOff>
    </xdr:from>
    <xdr:to>
      <xdr:col>5</xdr:col>
      <xdr:colOff>131551</xdr:colOff>
      <xdr:row>13</xdr:row>
      <xdr:rowOff>75151</xdr:rowOff>
    </xdr:to>
    <xdr:sp macro="" textlink="">
      <xdr:nvSpPr>
        <xdr:cNvPr id="22" name=" 20">
          <a:extLst>
            <a:ext uri="{FF2B5EF4-FFF2-40B4-BE49-F238E27FC236}">
              <a16:creationId xmlns:a16="http://schemas.microsoft.com/office/drawing/2014/main" id="{1B629CD8-89E4-4428-B800-4BBD01C103A7}"/>
            </a:ext>
          </a:extLst>
        </xdr:cNvPr>
        <xdr:cNvSpPr>
          <a:spLocks noChangeAspect="1"/>
        </xdr:cNvSpPr>
      </xdr:nvSpPr>
      <xdr:spPr>
        <a:xfrm>
          <a:off x="20268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167550</xdr:colOff>
      <xdr:row>12</xdr:row>
      <xdr:rowOff>102600</xdr:rowOff>
    </xdr:from>
    <xdr:to>
      <xdr:col>7</xdr:col>
      <xdr:colOff>64051</xdr:colOff>
      <xdr:row>13</xdr:row>
      <xdr:rowOff>75151</xdr:rowOff>
    </xdr:to>
    <xdr:sp macro="" textlink="">
      <xdr:nvSpPr>
        <xdr:cNvPr id="23" name=" 21">
          <a:extLst>
            <a:ext uri="{FF2B5EF4-FFF2-40B4-BE49-F238E27FC236}">
              <a16:creationId xmlns:a16="http://schemas.microsoft.com/office/drawing/2014/main" id="{7DEA3158-3311-4AC1-9155-653EFEDEDA9B}"/>
            </a:ext>
          </a:extLst>
        </xdr:cNvPr>
        <xdr:cNvSpPr>
          <a:spLocks noChangeAspect="1"/>
        </xdr:cNvSpPr>
      </xdr:nvSpPr>
      <xdr:spPr>
        <a:xfrm>
          <a:off x="25488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544050</xdr:colOff>
      <xdr:row>7</xdr:row>
      <xdr:rowOff>113850</xdr:rowOff>
    </xdr:from>
    <xdr:to>
      <xdr:col>4</xdr:col>
      <xdr:colOff>165301</xdr:colOff>
      <xdr:row>13</xdr:row>
      <xdr:rowOff>3151</xdr:rowOff>
    </xdr:to>
    <xdr:sp macro="" textlink="">
      <xdr:nvSpPr>
        <xdr:cNvPr id="24" name=" 22">
          <a:extLst>
            <a:ext uri="{FF2B5EF4-FFF2-40B4-BE49-F238E27FC236}">
              <a16:creationId xmlns:a16="http://schemas.microsoft.com/office/drawing/2014/main" id="{00420DD7-AF08-4C58-9916-44C234615BCB}"/>
            </a:ext>
          </a:extLst>
        </xdr:cNvPr>
        <xdr:cNvSpPr>
          <a:spLocks noChangeAspect="1"/>
        </xdr:cNvSpPr>
      </xdr:nvSpPr>
      <xdr:spPr>
        <a:xfrm>
          <a:off x="19728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57300</xdr:colOff>
      <xdr:row>1</xdr:row>
      <xdr:rowOff>152550</xdr:rowOff>
    </xdr:from>
    <xdr:to>
      <xdr:col>5</xdr:col>
      <xdr:colOff>23551</xdr:colOff>
      <xdr:row>7</xdr:row>
      <xdr:rowOff>59851</xdr:rowOff>
    </xdr:to>
    <xdr:sp macro="" textlink="">
      <xdr:nvSpPr>
        <xdr:cNvPr id="25" name=" 23">
          <a:extLst>
            <a:ext uri="{FF2B5EF4-FFF2-40B4-BE49-F238E27FC236}">
              <a16:creationId xmlns:a16="http://schemas.microsoft.com/office/drawing/2014/main" id="{9ED41192-5514-4BA0-874C-3EE1F5C476E8}"/>
            </a:ext>
          </a:extLst>
        </xdr:cNvPr>
        <xdr:cNvSpPr>
          <a:spLocks noChangeAspect="1"/>
        </xdr:cNvSpPr>
      </xdr:nvSpPr>
      <xdr:spPr>
        <a:xfrm>
          <a:off x="21528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129300</xdr:colOff>
      <xdr:row>7</xdr:row>
      <xdr:rowOff>5850</xdr:rowOff>
    </xdr:from>
    <xdr:to>
      <xdr:col>6</xdr:col>
      <xdr:colOff>7801</xdr:colOff>
      <xdr:row>7</xdr:row>
      <xdr:rowOff>149851</xdr:rowOff>
    </xdr:to>
    <xdr:sp macro="" textlink="">
      <xdr:nvSpPr>
        <xdr:cNvPr id="26" name=" 24">
          <a:extLst>
            <a:ext uri="{FF2B5EF4-FFF2-40B4-BE49-F238E27FC236}">
              <a16:creationId xmlns:a16="http://schemas.microsoft.com/office/drawing/2014/main" id="{E70E755A-4CFD-48B3-9CFB-158ED09FD8A6}"/>
            </a:ext>
          </a:extLst>
        </xdr:cNvPr>
        <xdr:cNvSpPr>
          <a:spLocks noChangeAspect="1"/>
        </xdr:cNvSpPr>
      </xdr:nvSpPr>
      <xdr:spPr>
        <a:xfrm>
          <a:off x="22248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61800</xdr:colOff>
      <xdr:row>7</xdr:row>
      <xdr:rowOff>5850</xdr:rowOff>
    </xdr:from>
    <xdr:to>
      <xdr:col>7</xdr:col>
      <xdr:colOff>226051</xdr:colOff>
      <xdr:row>7</xdr:row>
      <xdr:rowOff>149851</xdr:rowOff>
    </xdr:to>
    <xdr:sp macro="" textlink="">
      <xdr:nvSpPr>
        <xdr:cNvPr id="27" name=" 25">
          <a:extLst>
            <a:ext uri="{FF2B5EF4-FFF2-40B4-BE49-F238E27FC236}">
              <a16:creationId xmlns:a16="http://schemas.microsoft.com/office/drawing/2014/main" id="{0C216EAF-C904-4AD1-AA50-BCA4459BBF8F}"/>
            </a:ext>
          </a:extLst>
        </xdr:cNvPr>
        <xdr:cNvSpPr>
          <a:spLocks noChangeAspect="1"/>
        </xdr:cNvSpPr>
      </xdr:nvSpPr>
      <xdr:spPr>
        <a:xfrm>
          <a:off x="27288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41550</xdr:colOff>
      <xdr:row>2</xdr:row>
      <xdr:rowOff>89100</xdr:rowOff>
    </xdr:from>
    <xdr:to>
      <xdr:col>6</xdr:col>
      <xdr:colOff>25801</xdr:colOff>
      <xdr:row>7</xdr:row>
      <xdr:rowOff>41851</xdr:rowOff>
    </xdr:to>
    <xdr:sp macro="" textlink="">
      <xdr:nvSpPr>
        <xdr:cNvPr id="28" name=" 26">
          <a:extLst>
            <a:ext uri="{FF2B5EF4-FFF2-40B4-BE49-F238E27FC236}">
              <a16:creationId xmlns:a16="http://schemas.microsoft.com/office/drawing/2014/main" id="{F362D60B-C4BB-4842-9D8C-C8A4EEC360BA}"/>
            </a:ext>
          </a:extLst>
        </xdr:cNvPr>
        <xdr:cNvSpPr>
          <a:spLocks noChangeAspect="1"/>
        </xdr:cNvSpPr>
      </xdr:nvSpPr>
      <xdr:spPr>
        <a:xfrm>
          <a:off x="24228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25800</xdr:colOff>
      <xdr:row>1</xdr:row>
      <xdr:rowOff>152550</xdr:rowOff>
    </xdr:from>
    <xdr:to>
      <xdr:col>6</xdr:col>
      <xdr:colOff>277801</xdr:colOff>
      <xdr:row>7</xdr:row>
      <xdr:rowOff>23851</xdr:rowOff>
    </xdr:to>
    <xdr:sp macro="" textlink="">
      <xdr:nvSpPr>
        <xdr:cNvPr id="29" name=" 27">
          <a:extLst>
            <a:ext uri="{FF2B5EF4-FFF2-40B4-BE49-F238E27FC236}">
              <a16:creationId xmlns:a16="http://schemas.microsoft.com/office/drawing/2014/main" id="{1CE08421-C8F6-43C6-ACBE-477F7C5475F2}"/>
            </a:ext>
          </a:extLst>
        </xdr:cNvPr>
        <xdr:cNvSpPr>
          <a:spLocks noChangeAspect="1"/>
        </xdr:cNvSpPr>
      </xdr:nvSpPr>
      <xdr:spPr>
        <a:xfrm>
          <a:off x="26928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79800</xdr:colOff>
      <xdr:row>2</xdr:row>
      <xdr:rowOff>107100</xdr:rowOff>
    </xdr:from>
    <xdr:to>
      <xdr:col>8</xdr:col>
      <xdr:colOff>30301</xdr:colOff>
      <xdr:row>7</xdr:row>
      <xdr:rowOff>41851</xdr:rowOff>
    </xdr:to>
    <xdr:sp macro="" textlink="">
      <xdr:nvSpPr>
        <xdr:cNvPr id="30" name=" 28">
          <a:extLst>
            <a:ext uri="{FF2B5EF4-FFF2-40B4-BE49-F238E27FC236}">
              <a16:creationId xmlns:a16="http://schemas.microsoft.com/office/drawing/2014/main" id="{9E0D2FE7-DA72-4AF9-8ED7-4C5E87B449CA}"/>
            </a:ext>
          </a:extLst>
        </xdr:cNvPr>
        <xdr:cNvSpPr>
          <a:spLocks noChangeAspect="1"/>
        </xdr:cNvSpPr>
      </xdr:nvSpPr>
      <xdr:spPr>
        <a:xfrm>
          <a:off x="27468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43800</xdr:colOff>
      <xdr:row>7</xdr:row>
      <xdr:rowOff>113850</xdr:rowOff>
    </xdr:from>
    <xdr:to>
      <xdr:col>7</xdr:col>
      <xdr:colOff>28051</xdr:colOff>
      <xdr:row>12</xdr:row>
      <xdr:rowOff>30601</xdr:rowOff>
    </xdr:to>
    <xdr:sp macro="" textlink="">
      <xdr:nvSpPr>
        <xdr:cNvPr id="31" name=" 29">
          <a:extLst>
            <a:ext uri="{FF2B5EF4-FFF2-40B4-BE49-F238E27FC236}">
              <a16:creationId xmlns:a16="http://schemas.microsoft.com/office/drawing/2014/main" id="{33521715-61E2-4AC2-90B0-A6DB3045C096}"/>
            </a:ext>
          </a:extLst>
        </xdr:cNvPr>
        <xdr:cNvSpPr>
          <a:spLocks noChangeAspect="1"/>
        </xdr:cNvSpPr>
      </xdr:nvSpPr>
      <xdr:spPr>
        <a:xfrm>
          <a:off x="27108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95550</xdr:colOff>
      <xdr:row>7</xdr:row>
      <xdr:rowOff>131850</xdr:rowOff>
    </xdr:from>
    <xdr:to>
      <xdr:col>6</xdr:col>
      <xdr:colOff>43801</xdr:colOff>
      <xdr:row>12</xdr:row>
      <xdr:rowOff>156601</xdr:rowOff>
    </xdr:to>
    <xdr:sp macro="" textlink="">
      <xdr:nvSpPr>
        <xdr:cNvPr id="32" name=" 30">
          <a:extLst>
            <a:ext uri="{FF2B5EF4-FFF2-40B4-BE49-F238E27FC236}">
              <a16:creationId xmlns:a16="http://schemas.microsoft.com/office/drawing/2014/main" id="{3D2CBCEC-8297-467E-9BA2-E1B2DBBDBDA9}"/>
            </a:ext>
          </a:extLst>
        </xdr:cNvPr>
        <xdr:cNvSpPr>
          <a:spLocks noChangeAspect="1"/>
        </xdr:cNvSpPr>
      </xdr:nvSpPr>
      <xdr:spPr>
        <a:xfrm>
          <a:off x="24768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57300</xdr:colOff>
      <xdr:row>7</xdr:row>
      <xdr:rowOff>113850</xdr:rowOff>
    </xdr:from>
    <xdr:to>
      <xdr:col>6</xdr:col>
      <xdr:colOff>7801</xdr:colOff>
      <xdr:row>12</xdr:row>
      <xdr:rowOff>48601</xdr:rowOff>
    </xdr:to>
    <xdr:sp macro="" textlink="">
      <xdr:nvSpPr>
        <xdr:cNvPr id="33" name=" 31">
          <a:extLst>
            <a:ext uri="{FF2B5EF4-FFF2-40B4-BE49-F238E27FC236}">
              <a16:creationId xmlns:a16="http://schemas.microsoft.com/office/drawing/2014/main" id="{D19C5FCD-E734-4DE6-9246-C5BE7E6D9406}"/>
            </a:ext>
          </a:extLst>
        </xdr:cNvPr>
        <xdr:cNvSpPr>
          <a:spLocks noChangeAspect="1"/>
        </xdr:cNvSpPr>
      </xdr:nvSpPr>
      <xdr:spPr>
        <a:xfrm>
          <a:off x="21528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101850</xdr:colOff>
      <xdr:row>1</xdr:row>
      <xdr:rowOff>80550</xdr:rowOff>
    </xdr:from>
    <xdr:to>
      <xdr:col>12</xdr:col>
      <xdr:colOff>284101</xdr:colOff>
      <xdr:row>2</xdr:row>
      <xdr:rowOff>53101</xdr:rowOff>
    </xdr:to>
    <xdr:sp macro="" textlink="">
      <xdr:nvSpPr>
        <xdr:cNvPr id="34" name=" 32">
          <a:extLst>
            <a:ext uri="{FF2B5EF4-FFF2-40B4-BE49-F238E27FC236}">
              <a16:creationId xmlns:a16="http://schemas.microsoft.com/office/drawing/2014/main" id="{B17FAA4D-9134-4385-B524-F08FE0D4F34D}"/>
            </a:ext>
          </a:extLst>
        </xdr:cNvPr>
        <xdr:cNvSpPr>
          <a:spLocks noChangeAspect="1"/>
        </xdr:cNvSpPr>
      </xdr:nvSpPr>
      <xdr:spPr>
        <a:xfrm>
          <a:off x="41976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70350</xdr:colOff>
      <xdr:row>1</xdr:row>
      <xdr:rowOff>80550</xdr:rowOff>
    </xdr:from>
    <xdr:to>
      <xdr:col>14</xdr:col>
      <xdr:colOff>252601</xdr:colOff>
      <xdr:row>2</xdr:row>
      <xdr:rowOff>53101</xdr:rowOff>
    </xdr:to>
    <xdr:sp macro="" textlink="">
      <xdr:nvSpPr>
        <xdr:cNvPr id="35" name=" 33">
          <a:extLst>
            <a:ext uri="{FF2B5EF4-FFF2-40B4-BE49-F238E27FC236}">
              <a16:creationId xmlns:a16="http://schemas.microsoft.com/office/drawing/2014/main" id="{280E4C27-5DCD-445A-B623-062F4B5747C8}"/>
            </a:ext>
          </a:extLst>
        </xdr:cNvPr>
        <xdr:cNvSpPr>
          <a:spLocks noChangeAspect="1"/>
        </xdr:cNvSpPr>
      </xdr:nvSpPr>
      <xdr:spPr>
        <a:xfrm>
          <a:off x="47376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36600</xdr:colOff>
      <xdr:row>1</xdr:row>
      <xdr:rowOff>152550</xdr:rowOff>
    </xdr:from>
    <xdr:to>
      <xdr:col>15</xdr:col>
      <xdr:colOff>38851</xdr:colOff>
      <xdr:row>7</xdr:row>
      <xdr:rowOff>59851</xdr:rowOff>
    </xdr:to>
    <xdr:sp macro="" textlink="">
      <xdr:nvSpPr>
        <xdr:cNvPr id="36" name=" 34">
          <a:extLst>
            <a:ext uri="{FF2B5EF4-FFF2-40B4-BE49-F238E27FC236}">
              <a16:creationId xmlns:a16="http://schemas.microsoft.com/office/drawing/2014/main" id="{46EFD0EE-D4C0-459A-92F7-2DFA58E7FAB1}"/>
            </a:ext>
          </a:extLst>
        </xdr:cNvPr>
        <xdr:cNvSpPr>
          <a:spLocks noChangeAspect="1"/>
        </xdr:cNvSpPr>
      </xdr:nvSpPr>
      <xdr:spPr>
        <a:xfrm>
          <a:off x="49896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142350</xdr:colOff>
      <xdr:row>7</xdr:row>
      <xdr:rowOff>113850</xdr:rowOff>
    </xdr:from>
    <xdr:to>
      <xdr:col>14</xdr:col>
      <xdr:colOff>144601</xdr:colOff>
      <xdr:row>13</xdr:row>
      <xdr:rowOff>3151</xdr:rowOff>
    </xdr:to>
    <xdr:sp macro="" textlink="">
      <xdr:nvSpPr>
        <xdr:cNvPr id="37" name=" 35">
          <a:extLst>
            <a:ext uri="{FF2B5EF4-FFF2-40B4-BE49-F238E27FC236}">
              <a16:creationId xmlns:a16="http://schemas.microsoft.com/office/drawing/2014/main" id="{BF4DA60E-2D4E-4CFD-9F0A-21A12F37E35E}"/>
            </a:ext>
          </a:extLst>
        </xdr:cNvPr>
        <xdr:cNvSpPr>
          <a:spLocks noChangeAspect="1"/>
        </xdr:cNvSpPr>
      </xdr:nvSpPr>
      <xdr:spPr>
        <a:xfrm>
          <a:off x="48096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45600</xdr:colOff>
      <xdr:row>12</xdr:row>
      <xdr:rowOff>102600</xdr:rowOff>
    </xdr:from>
    <xdr:to>
      <xdr:col>11</xdr:col>
      <xdr:colOff>245851</xdr:colOff>
      <xdr:row>13</xdr:row>
      <xdr:rowOff>75151</xdr:rowOff>
    </xdr:to>
    <xdr:sp macro="" textlink="">
      <xdr:nvSpPr>
        <xdr:cNvPr id="38" name=" 36">
          <a:extLst>
            <a:ext uri="{FF2B5EF4-FFF2-40B4-BE49-F238E27FC236}">
              <a16:creationId xmlns:a16="http://schemas.microsoft.com/office/drawing/2014/main" id="{53D388C2-0DA6-4BDB-934A-DFCA31C1D042}"/>
            </a:ext>
          </a:extLst>
        </xdr:cNvPr>
        <xdr:cNvSpPr>
          <a:spLocks noChangeAspect="1"/>
        </xdr:cNvSpPr>
      </xdr:nvSpPr>
      <xdr:spPr>
        <a:xfrm>
          <a:off x="38556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281850</xdr:colOff>
      <xdr:row>12</xdr:row>
      <xdr:rowOff>102600</xdr:rowOff>
    </xdr:from>
    <xdr:to>
      <xdr:col>13</xdr:col>
      <xdr:colOff>178351</xdr:colOff>
      <xdr:row>13</xdr:row>
      <xdr:rowOff>75151</xdr:rowOff>
    </xdr:to>
    <xdr:sp macro="" textlink="">
      <xdr:nvSpPr>
        <xdr:cNvPr id="39" name=" 37">
          <a:extLst>
            <a:ext uri="{FF2B5EF4-FFF2-40B4-BE49-F238E27FC236}">
              <a16:creationId xmlns:a16="http://schemas.microsoft.com/office/drawing/2014/main" id="{0C410618-4045-4D20-A3AC-8E9119B607E9}"/>
            </a:ext>
          </a:extLst>
        </xdr:cNvPr>
        <xdr:cNvSpPr>
          <a:spLocks noChangeAspect="1"/>
        </xdr:cNvSpPr>
      </xdr:nvSpPr>
      <xdr:spPr>
        <a:xfrm>
          <a:off x="43776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277350</xdr:colOff>
      <xdr:row>7</xdr:row>
      <xdr:rowOff>113850</xdr:rowOff>
    </xdr:from>
    <xdr:to>
      <xdr:col>10</xdr:col>
      <xdr:colOff>279601</xdr:colOff>
      <xdr:row>13</xdr:row>
      <xdr:rowOff>3151</xdr:rowOff>
    </xdr:to>
    <xdr:sp macro="" textlink="">
      <xdr:nvSpPr>
        <xdr:cNvPr id="40" name=" 38">
          <a:extLst>
            <a:ext uri="{FF2B5EF4-FFF2-40B4-BE49-F238E27FC236}">
              <a16:creationId xmlns:a16="http://schemas.microsoft.com/office/drawing/2014/main" id="{20BCA3DB-FD8E-4126-B08A-C73DE05694BD}"/>
            </a:ext>
          </a:extLst>
        </xdr:cNvPr>
        <xdr:cNvSpPr>
          <a:spLocks noChangeAspect="1"/>
        </xdr:cNvSpPr>
      </xdr:nvSpPr>
      <xdr:spPr>
        <a:xfrm>
          <a:off x="38016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171600</xdr:colOff>
      <xdr:row>1</xdr:row>
      <xdr:rowOff>152550</xdr:rowOff>
    </xdr:from>
    <xdr:to>
      <xdr:col>11</xdr:col>
      <xdr:colOff>137851</xdr:colOff>
      <xdr:row>7</xdr:row>
      <xdr:rowOff>59851</xdr:rowOff>
    </xdr:to>
    <xdr:sp macro="" textlink="">
      <xdr:nvSpPr>
        <xdr:cNvPr id="41" name=" 39">
          <a:extLst>
            <a:ext uri="{FF2B5EF4-FFF2-40B4-BE49-F238E27FC236}">
              <a16:creationId xmlns:a16="http://schemas.microsoft.com/office/drawing/2014/main" id="{723BA321-DBA8-4785-A149-2E6F1611CC14}"/>
            </a:ext>
          </a:extLst>
        </xdr:cNvPr>
        <xdr:cNvSpPr>
          <a:spLocks noChangeAspect="1"/>
        </xdr:cNvSpPr>
      </xdr:nvSpPr>
      <xdr:spPr>
        <a:xfrm>
          <a:off x="39816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243600</xdr:colOff>
      <xdr:row>7</xdr:row>
      <xdr:rowOff>5850</xdr:rowOff>
    </xdr:from>
    <xdr:to>
      <xdr:col>12</xdr:col>
      <xdr:colOff>122101</xdr:colOff>
      <xdr:row>7</xdr:row>
      <xdr:rowOff>149851</xdr:rowOff>
    </xdr:to>
    <xdr:sp macro="" textlink="">
      <xdr:nvSpPr>
        <xdr:cNvPr id="42" name=" 40">
          <a:extLst>
            <a:ext uri="{FF2B5EF4-FFF2-40B4-BE49-F238E27FC236}">
              <a16:creationId xmlns:a16="http://schemas.microsoft.com/office/drawing/2014/main" id="{96A7D723-F691-458A-928B-C17530DC32D2}"/>
            </a:ext>
          </a:extLst>
        </xdr:cNvPr>
        <xdr:cNvSpPr>
          <a:spLocks noChangeAspect="1"/>
        </xdr:cNvSpPr>
      </xdr:nvSpPr>
      <xdr:spPr>
        <a:xfrm>
          <a:off x="40536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176100</xdr:colOff>
      <xdr:row>7</xdr:row>
      <xdr:rowOff>5850</xdr:rowOff>
    </xdr:from>
    <xdr:to>
      <xdr:col>14</xdr:col>
      <xdr:colOff>54601</xdr:colOff>
      <xdr:row>7</xdr:row>
      <xdr:rowOff>149851</xdr:rowOff>
    </xdr:to>
    <xdr:sp macro="" textlink="">
      <xdr:nvSpPr>
        <xdr:cNvPr id="43" name=" 41">
          <a:extLst>
            <a:ext uri="{FF2B5EF4-FFF2-40B4-BE49-F238E27FC236}">
              <a16:creationId xmlns:a16="http://schemas.microsoft.com/office/drawing/2014/main" id="{230FB16F-45DE-4383-9221-2607EE1D81D4}"/>
            </a:ext>
          </a:extLst>
        </xdr:cNvPr>
        <xdr:cNvSpPr>
          <a:spLocks noChangeAspect="1"/>
        </xdr:cNvSpPr>
      </xdr:nvSpPr>
      <xdr:spPr>
        <a:xfrm>
          <a:off x="45576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155850</xdr:colOff>
      <xdr:row>2</xdr:row>
      <xdr:rowOff>89100</xdr:rowOff>
    </xdr:from>
    <xdr:to>
      <xdr:col>12</xdr:col>
      <xdr:colOff>140101</xdr:colOff>
      <xdr:row>7</xdr:row>
      <xdr:rowOff>41851</xdr:rowOff>
    </xdr:to>
    <xdr:sp macro="" textlink="">
      <xdr:nvSpPr>
        <xdr:cNvPr id="44" name=" 42">
          <a:extLst>
            <a:ext uri="{FF2B5EF4-FFF2-40B4-BE49-F238E27FC236}">
              <a16:creationId xmlns:a16="http://schemas.microsoft.com/office/drawing/2014/main" id="{8C02CC93-4BB7-4179-A0D0-DB19FDF253F3}"/>
            </a:ext>
          </a:extLst>
        </xdr:cNvPr>
        <xdr:cNvSpPr>
          <a:spLocks noChangeAspect="1"/>
        </xdr:cNvSpPr>
      </xdr:nvSpPr>
      <xdr:spPr>
        <a:xfrm>
          <a:off x="42516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140100</xdr:colOff>
      <xdr:row>1</xdr:row>
      <xdr:rowOff>152550</xdr:rowOff>
    </xdr:from>
    <xdr:to>
      <xdr:col>13</xdr:col>
      <xdr:colOff>106351</xdr:colOff>
      <xdr:row>7</xdr:row>
      <xdr:rowOff>23851</xdr:rowOff>
    </xdr:to>
    <xdr:sp macro="" textlink="">
      <xdr:nvSpPr>
        <xdr:cNvPr id="45" name=" 43">
          <a:extLst>
            <a:ext uri="{FF2B5EF4-FFF2-40B4-BE49-F238E27FC236}">
              <a16:creationId xmlns:a16="http://schemas.microsoft.com/office/drawing/2014/main" id="{B6126C43-833D-4AE9-87B8-B7ACA92158DD}"/>
            </a:ext>
          </a:extLst>
        </xdr:cNvPr>
        <xdr:cNvSpPr>
          <a:spLocks noChangeAspect="1"/>
        </xdr:cNvSpPr>
      </xdr:nvSpPr>
      <xdr:spPr>
        <a:xfrm>
          <a:off x="45216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194100</xdr:colOff>
      <xdr:row>2</xdr:row>
      <xdr:rowOff>107100</xdr:rowOff>
    </xdr:from>
    <xdr:to>
      <xdr:col>14</xdr:col>
      <xdr:colOff>144601</xdr:colOff>
      <xdr:row>7</xdr:row>
      <xdr:rowOff>41851</xdr:rowOff>
    </xdr:to>
    <xdr:sp macro="" textlink="">
      <xdr:nvSpPr>
        <xdr:cNvPr id="46" name=" 44">
          <a:extLst>
            <a:ext uri="{FF2B5EF4-FFF2-40B4-BE49-F238E27FC236}">
              <a16:creationId xmlns:a16="http://schemas.microsoft.com/office/drawing/2014/main" id="{7A2912C3-9426-4B75-9165-3E96C6CCD5E3}"/>
            </a:ext>
          </a:extLst>
        </xdr:cNvPr>
        <xdr:cNvSpPr>
          <a:spLocks noChangeAspect="1"/>
        </xdr:cNvSpPr>
      </xdr:nvSpPr>
      <xdr:spPr>
        <a:xfrm>
          <a:off x="45756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158100</xdr:colOff>
      <xdr:row>7</xdr:row>
      <xdr:rowOff>113850</xdr:rowOff>
    </xdr:from>
    <xdr:to>
      <xdr:col>13</xdr:col>
      <xdr:colOff>142351</xdr:colOff>
      <xdr:row>12</xdr:row>
      <xdr:rowOff>30601</xdr:rowOff>
    </xdr:to>
    <xdr:sp macro="" textlink="">
      <xdr:nvSpPr>
        <xdr:cNvPr id="47" name=" 45">
          <a:extLst>
            <a:ext uri="{FF2B5EF4-FFF2-40B4-BE49-F238E27FC236}">
              <a16:creationId xmlns:a16="http://schemas.microsoft.com/office/drawing/2014/main" id="{C41CF5FD-8CCE-48E9-A89E-20C0BD92D6FF}"/>
            </a:ext>
          </a:extLst>
        </xdr:cNvPr>
        <xdr:cNvSpPr>
          <a:spLocks noChangeAspect="1"/>
        </xdr:cNvSpPr>
      </xdr:nvSpPr>
      <xdr:spPr>
        <a:xfrm>
          <a:off x="45396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209850</xdr:colOff>
      <xdr:row>7</xdr:row>
      <xdr:rowOff>131850</xdr:rowOff>
    </xdr:from>
    <xdr:to>
      <xdr:col>12</xdr:col>
      <xdr:colOff>158101</xdr:colOff>
      <xdr:row>12</xdr:row>
      <xdr:rowOff>156601</xdr:rowOff>
    </xdr:to>
    <xdr:sp macro="" textlink="">
      <xdr:nvSpPr>
        <xdr:cNvPr id="48" name=" 46">
          <a:extLst>
            <a:ext uri="{FF2B5EF4-FFF2-40B4-BE49-F238E27FC236}">
              <a16:creationId xmlns:a16="http://schemas.microsoft.com/office/drawing/2014/main" id="{B86B9AF1-77D7-4BEB-8FFB-D03EF69D3DC4}"/>
            </a:ext>
          </a:extLst>
        </xdr:cNvPr>
        <xdr:cNvSpPr>
          <a:spLocks noChangeAspect="1"/>
        </xdr:cNvSpPr>
      </xdr:nvSpPr>
      <xdr:spPr>
        <a:xfrm>
          <a:off x="43056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171600</xdr:colOff>
      <xdr:row>7</xdr:row>
      <xdr:rowOff>113850</xdr:rowOff>
    </xdr:from>
    <xdr:to>
      <xdr:col>12</xdr:col>
      <xdr:colOff>122101</xdr:colOff>
      <xdr:row>12</xdr:row>
      <xdr:rowOff>48601</xdr:rowOff>
    </xdr:to>
    <xdr:sp macro="" textlink="">
      <xdr:nvSpPr>
        <xdr:cNvPr id="49" name=" 47">
          <a:extLst>
            <a:ext uri="{FF2B5EF4-FFF2-40B4-BE49-F238E27FC236}">
              <a16:creationId xmlns:a16="http://schemas.microsoft.com/office/drawing/2014/main" id="{0D64E421-CD19-41D9-8390-5302E30FB880}"/>
            </a:ext>
          </a:extLst>
        </xdr:cNvPr>
        <xdr:cNvSpPr>
          <a:spLocks noChangeAspect="1"/>
        </xdr:cNvSpPr>
      </xdr:nvSpPr>
      <xdr:spPr>
        <a:xfrm>
          <a:off x="39816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216150</xdr:colOff>
      <xdr:row>1</xdr:row>
      <xdr:rowOff>80550</xdr:rowOff>
    </xdr:from>
    <xdr:to>
      <xdr:col>19</xdr:col>
      <xdr:colOff>112651</xdr:colOff>
      <xdr:row>2</xdr:row>
      <xdr:rowOff>53101</xdr:rowOff>
    </xdr:to>
    <xdr:sp macro="" textlink="">
      <xdr:nvSpPr>
        <xdr:cNvPr id="50" name=" 48">
          <a:extLst>
            <a:ext uri="{FF2B5EF4-FFF2-40B4-BE49-F238E27FC236}">
              <a16:creationId xmlns:a16="http://schemas.microsoft.com/office/drawing/2014/main" id="{94E1E72E-55C3-4DB5-8B7D-5550CFFAA1BA}"/>
            </a:ext>
          </a:extLst>
        </xdr:cNvPr>
        <xdr:cNvSpPr>
          <a:spLocks noChangeAspect="1"/>
        </xdr:cNvSpPr>
      </xdr:nvSpPr>
      <xdr:spPr>
        <a:xfrm>
          <a:off x="60264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184650</xdr:colOff>
      <xdr:row>1</xdr:row>
      <xdr:rowOff>80550</xdr:rowOff>
    </xdr:from>
    <xdr:to>
      <xdr:col>20</xdr:col>
      <xdr:colOff>366901</xdr:colOff>
      <xdr:row>2</xdr:row>
      <xdr:rowOff>53101</xdr:rowOff>
    </xdr:to>
    <xdr:sp macro="" textlink="">
      <xdr:nvSpPr>
        <xdr:cNvPr id="51" name=" 49">
          <a:extLst>
            <a:ext uri="{FF2B5EF4-FFF2-40B4-BE49-F238E27FC236}">
              <a16:creationId xmlns:a16="http://schemas.microsoft.com/office/drawing/2014/main" id="{ED5F793D-7D2B-435C-AC0E-52E5789E4C5E}"/>
            </a:ext>
          </a:extLst>
        </xdr:cNvPr>
        <xdr:cNvSpPr>
          <a:spLocks noChangeAspect="1"/>
        </xdr:cNvSpPr>
      </xdr:nvSpPr>
      <xdr:spPr>
        <a:xfrm>
          <a:off x="65664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150900</xdr:colOff>
      <xdr:row>1</xdr:row>
      <xdr:rowOff>152550</xdr:rowOff>
    </xdr:from>
    <xdr:to>
      <xdr:col>20</xdr:col>
      <xdr:colOff>438901</xdr:colOff>
      <xdr:row>7</xdr:row>
      <xdr:rowOff>59851</xdr:rowOff>
    </xdr:to>
    <xdr:sp macro="" textlink="">
      <xdr:nvSpPr>
        <xdr:cNvPr id="52" name=" 50">
          <a:extLst>
            <a:ext uri="{FF2B5EF4-FFF2-40B4-BE49-F238E27FC236}">
              <a16:creationId xmlns:a16="http://schemas.microsoft.com/office/drawing/2014/main" id="{C3FB484A-DE0A-40F3-AB7F-8CB4FA48B602}"/>
            </a:ext>
          </a:extLst>
        </xdr:cNvPr>
        <xdr:cNvSpPr>
          <a:spLocks noChangeAspect="1"/>
        </xdr:cNvSpPr>
      </xdr:nvSpPr>
      <xdr:spPr>
        <a:xfrm>
          <a:off x="68184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256650</xdr:colOff>
      <xdr:row>7</xdr:row>
      <xdr:rowOff>113850</xdr:rowOff>
    </xdr:from>
    <xdr:to>
      <xdr:col>20</xdr:col>
      <xdr:colOff>258901</xdr:colOff>
      <xdr:row>13</xdr:row>
      <xdr:rowOff>3151</xdr:rowOff>
    </xdr:to>
    <xdr:sp macro="" textlink="">
      <xdr:nvSpPr>
        <xdr:cNvPr id="53" name=" 51">
          <a:extLst>
            <a:ext uri="{FF2B5EF4-FFF2-40B4-BE49-F238E27FC236}">
              <a16:creationId xmlns:a16="http://schemas.microsoft.com/office/drawing/2014/main" id="{AFBC27B6-0465-4666-9E67-2C679F72414A}"/>
            </a:ext>
          </a:extLst>
        </xdr:cNvPr>
        <xdr:cNvSpPr>
          <a:spLocks noChangeAspect="1"/>
        </xdr:cNvSpPr>
      </xdr:nvSpPr>
      <xdr:spPr>
        <a:xfrm>
          <a:off x="66384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159900</xdr:colOff>
      <xdr:row>12</xdr:row>
      <xdr:rowOff>102600</xdr:rowOff>
    </xdr:from>
    <xdr:to>
      <xdr:col>18</xdr:col>
      <xdr:colOff>74401</xdr:colOff>
      <xdr:row>13</xdr:row>
      <xdr:rowOff>75151</xdr:rowOff>
    </xdr:to>
    <xdr:sp macro="" textlink="">
      <xdr:nvSpPr>
        <xdr:cNvPr id="54" name=" 52">
          <a:extLst>
            <a:ext uri="{FF2B5EF4-FFF2-40B4-BE49-F238E27FC236}">
              <a16:creationId xmlns:a16="http://schemas.microsoft.com/office/drawing/2014/main" id="{88558641-A02C-4E02-9B56-7B7EB46529C1}"/>
            </a:ext>
          </a:extLst>
        </xdr:cNvPr>
        <xdr:cNvSpPr>
          <a:spLocks noChangeAspect="1"/>
        </xdr:cNvSpPr>
      </xdr:nvSpPr>
      <xdr:spPr>
        <a:xfrm>
          <a:off x="56844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110400</xdr:colOff>
      <xdr:row>12</xdr:row>
      <xdr:rowOff>102600</xdr:rowOff>
    </xdr:from>
    <xdr:to>
      <xdr:col>20</xdr:col>
      <xdr:colOff>6901</xdr:colOff>
      <xdr:row>13</xdr:row>
      <xdr:rowOff>75151</xdr:rowOff>
    </xdr:to>
    <xdr:sp macro="" textlink="">
      <xdr:nvSpPr>
        <xdr:cNvPr id="55" name=" 53">
          <a:extLst>
            <a:ext uri="{FF2B5EF4-FFF2-40B4-BE49-F238E27FC236}">
              <a16:creationId xmlns:a16="http://schemas.microsoft.com/office/drawing/2014/main" id="{8367FE7D-6267-41E5-AE4D-A6444BE8C4A5}"/>
            </a:ext>
          </a:extLst>
        </xdr:cNvPr>
        <xdr:cNvSpPr>
          <a:spLocks noChangeAspect="1"/>
        </xdr:cNvSpPr>
      </xdr:nvSpPr>
      <xdr:spPr>
        <a:xfrm>
          <a:off x="62064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105900</xdr:colOff>
      <xdr:row>7</xdr:row>
      <xdr:rowOff>113850</xdr:rowOff>
    </xdr:from>
    <xdr:to>
      <xdr:col>17</xdr:col>
      <xdr:colOff>108151</xdr:colOff>
      <xdr:row>13</xdr:row>
      <xdr:rowOff>3151</xdr:rowOff>
    </xdr:to>
    <xdr:sp macro="" textlink="">
      <xdr:nvSpPr>
        <xdr:cNvPr id="56" name=" 54">
          <a:extLst>
            <a:ext uri="{FF2B5EF4-FFF2-40B4-BE49-F238E27FC236}">
              <a16:creationId xmlns:a16="http://schemas.microsoft.com/office/drawing/2014/main" id="{5250242B-45DA-4071-9106-9555062B1AFE}"/>
            </a:ext>
          </a:extLst>
        </xdr:cNvPr>
        <xdr:cNvSpPr>
          <a:spLocks noChangeAspect="1"/>
        </xdr:cNvSpPr>
      </xdr:nvSpPr>
      <xdr:spPr>
        <a:xfrm>
          <a:off x="56304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150</xdr:colOff>
      <xdr:row>1</xdr:row>
      <xdr:rowOff>152550</xdr:rowOff>
    </xdr:from>
    <xdr:to>
      <xdr:col>17</xdr:col>
      <xdr:colOff>252151</xdr:colOff>
      <xdr:row>7</xdr:row>
      <xdr:rowOff>59851</xdr:rowOff>
    </xdr:to>
    <xdr:sp macro="" textlink="">
      <xdr:nvSpPr>
        <xdr:cNvPr id="57" name=" 55">
          <a:extLst>
            <a:ext uri="{FF2B5EF4-FFF2-40B4-BE49-F238E27FC236}">
              <a16:creationId xmlns:a16="http://schemas.microsoft.com/office/drawing/2014/main" id="{12DAD976-C670-4AEA-88A6-320A82F29008}"/>
            </a:ext>
          </a:extLst>
        </xdr:cNvPr>
        <xdr:cNvSpPr>
          <a:spLocks noChangeAspect="1"/>
        </xdr:cNvSpPr>
      </xdr:nvSpPr>
      <xdr:spPr>
        <a:xfrm>
          <a:off x="58104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72150</xdr:colOff>
      <xdr:row>7</xdr:row>
      <xdr:rowOff>5850</xdr:rowOff>
    </xdr:from>
    <xdr:to>
      <xdr:col>18</xdr:col>
      <xdr:colOff>236401</xdr:colOff>
      <xdr:row>7</xdr:row>
      <xdr:rowOff>149851</xdr:rowOff>
    </xdr:to>
    <xdr:sp macro="" textlink="">
      <xdr:nvSpPr>
        <xdr:cNvPr id="58" name=" 56">
          <a:extLst>
            <a:ext uri="{FF2B5EF4-FFF2-40B4-BE49-F238E27FC236}">
              <a16:creationId xmlns:a16="http://schemas.microsoft.com/office/drawing/2014/main" id="{ED2312D0-7463-49FF-A059-3C14F7CB23FB}"/>
            </a:ext>
          </a:extLst>
        </xdr:cNvPr>
        <xdr:cNvSpPr>
          <a:spLocks noChangeAspect="1"/>
        </xdr:cNvSpPr>
      </xdr:nvSpPr>
      <xdr:spPr>
        <a:xfrm>
          <a:off x="58824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4650</xdr:colOff>
      <xdr:row>7</xdr:row>
      <xdr:rowOff>5850</xdr:rowOff>
    </xdr:from>
    <xdr:to>
      <xdr:col>20</xdr:col>
      <xdr:colOff>168901</xdr:colOff>
      <xdr:row>7</xdr:row>
      <xdr:rowOff>149851</xdr:rowOff>
    </xdr:to>
    <xdr:sp macro="" textlink="">
      <xdr:nvSpPr>
        <xdr:cNvPr id="59" name=" 57">
          <a:extLst>
            <a:ext uri="{FF2B5EF4-FFF2-40B4-BE49-F238E27FC236}">
              <a16:creationId xmlns:a16="http://schemas.microsoft.com/office/drawing/2014/main" id="{6845D9AE-62BB-4EB8-AF45-140F75BDAC95}"/>
            </a:ext>
          </a:extLst>
        </xdr:cNvPr>
        <xdr:cNvSpPr>
          <a:spLocks noChangeAspect="1"/>
        </xdr:cNvSpPr>
      </xdr:nvSpPr>
      <xdr:spPr>
        <a:xfrm>
          <a:off x="63864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270150</xdr:colOff>
      <xdr:row>2</xdr:row>
      <xdr:rowOff>89100</xdr:rowOff>
    </xdr:from>
    <xdr:to>
      <xdr:col>18</xdr:col>
      <xdr:colOff>254401</xdr:colOff>
      <xdr:row>7</xdr:row>
      <xdr:rowOff>41851</xdr:rowOff>
    </xdr:to>
    <xdr:sp macro="" textlink="">
      <xdr:nvSpPr>
        <xdr:cNvPr id="60" name=" 58">
          <a:extLst>
            <a:ext uri="{FF2B5EF4-FFF2-40B4-BE49-F238E27FC236}">
              <a16:creationId xmlns:a16="http://schemas.microsoft.com/office/drawing/2014/main" id="{29ACAADF-7348-44C2-973C-F855C851E7C8}"/>
            </a:ext>
          </a:extLst>
        </xdr:cNvPr>
        <xdr:cNvSpPr>
          <a:spLocks noChangeAspect="1"/>
        </xdr:cNvSpPr>
      </xdr:nvSpPr>
      <xdr:spPr>
        <a:xfrm>
          <a:off x="60804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254400</xdr:colOff>
      <xdr:row>1</xdr:row>
      <xdr:rowOff>152550</xdr:rowOff>
    </xdr:from>
    <xdr:to>
      <xdr:col>19</xdr:col>
      <xdr:colOff>220651</xdr:colOff>
      <xdr:row>7</xdr:row>
      <xdr:rowOff>23851</xdr:rowOff>
    </xdr:to>
    <xdr:sp macro="" textlink="">
      <xdr:nvSpPr>
        <xdr:cNvPr id="61" name=" 59">
          <a:extLst>
            <a:ext uri="{FF2B5EF4-FFF2-40B4-BE49-F238E27FC236}">
              <a16:creationId xmlns:a16="http://schemas.microsoft.com/office/drawing/2014/main" id="{29EE7337-D9A9-45ED-AF86-23F849A2EB21}"/>
            </a:ext>
          </a:extLst>
        </xdr:cNvPr>
        <xdr:cNvSpPr>
          <a:spLocks noChangeAspect="1"/>
        </xdr:cNvSpPr>
      </xdr:nvSpPr>
      <xdr:spPr>
        <a:xfrm>
          <a:off x="63504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22650</xdr:colOff>
      <xdr:row>2</xdr:row>
      <xdr:rowOff>107100</xdr:rowOff>
    </xdr:from>
    <xdr:to>
      <xdr:col>20</xdr:col>
      <xdr:colOff>258901</xdr:colOff>
      <xdr:row>7</xdr:row>
      <xdr:rowOff>41851</xdr:rowOff>
    </xdr:to>
    <xdr:sp macro="" textlink="">
      <xdr:nvSpPr>
        <xdr:cNvPr id="62" name=" 60">
          <a:extLst>
            <a:ext uri="{FF2B5EF4-FFF2-40B4-BE49-F238E27FC236}">
              <a16:creationId xmlns:a16="http://schemas.microsoft.com/office/drawing/2014/main" id="{367C2892-C5A1-4D5C-A5C2-4FCCF7F26DF1}"/>
            </a:ext>
          </a:extLst>
        </xdr:cNvPr>
        <xdr:cNvSpPr>
          <a:spLocks noChangeAspect="1"/>
        </xdr:cNvSpPr>
      </xdr:nvSpPr>
      <xdr:spPr>
        <a:xfrm>
          <a:off x="64044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272400</xdr:colOff>
      <xdr:row>7</xdr:row>
      <xdr:rowOff>113850</xdr:rowOff>
    </xdr:from>
    <xdr:to>
      <xdr:col>19</xdr:col>
      <xdr:colOff>256651</xdr:colOff>
      <xdr:row>12</xdr:row>
      <xdr:rowOff>30601</xdr:rowOff>
    </xdr:to>
    <xdr:sp macro="" textlink="">
      <xdr:nvSpPr>
        <xdr:cNvPr id="63" name=" 61">
          <a:extLst>
            <a:ext uri="{FF2B5EF4-FFF2-40B4-BE49-F238E27FC236}">
              <a16:creationId xmlns:a16="http://schemas.microsoft.com/office/drawing/2014/main" id="{45A68783-623B-484B-BA62-5799C1E0837D}"/>
            </a:ext>
          </a:extLst>
        </xdr:cNvPr>
        <xdr:cNvSpPr>
          <a:spLocks noChangeAspect="1"/>
        </xdr:cNvSpPr>
      </xdr:nvSpPr>
      <xdr:spPr>
        <a:xfrm>
          <a:off x="63684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38400</xdr:colOff>
      <xdr:row>7</xdr:row>
      <xdr:rowOff>131850</xdr:rowOff>
    </xdr:from>
    <xdr:to>
      <xdr:col>18</xdr:col>
      <xdr:colOff>272401</xdr:colOff>
      <xdr:row>12</xdr:row>
      <xdr:rowOff>156601</xdr:rowOff>
    </xdr:to>
    <xdr:sp macro="" textlink="">
      <xdr:nvSpPr>
        <xdr:cNvPr id="325314" name=" 62">
          <a:extLst>
            <a:ext uri="{FF2B5EF4-FFF2-40B4-BE49-F238E27FC236}">
              <a16:creationId xmlns:a16="http://schemas.microsoft.com/office/drawing/2014/main" id="{A86BCF37-E455-4326-B94D-4B0D9E7FFAB6}"/>
            </a:ext>
          </a:extLst>
        </xdr:cNvPr>
        <xdr:cNvSpPr>
          <a:spLocks noChangeAspect="1"/>
        </xdr:cNvSpPr>
      </xdr:nvSpPr>
      <xdr:spPr>
        <a:xfrm>
          <a:off x="61344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150</xdr:colOff>
      <xdr:row>7</xdr:row>
      <xdr:rowOff>113850</xdr:rowOff>
    </xdr:from>
    <xdr:to>
      <xdr:col>18</xdr:col>
      <xdr:colOff>236401</xdr:colOff>
      <xdr:row>12</xdr:row>
      <xdr:rowOff>48601</xdr:rowOff>
    </xdr:to>
    <xdr:sp macro="" textlink="">
      <xdr:nvSpPr>
        <xdr:cNvPr id="325315" name=" 63">
          <a:extLst>
            <a:ext uri="{FF2B5EF4-FFF2-40B4-BE49-F238E27FC236}">
              <a16:creationId xmlns:a16="http://schemas.microsoft.com/office/drawing/2014/main" id="{0502038F-3D4C-47D0-8662-3DE04D5C0A61}"/>
            </a:ext>
          </a:extLst>
        </xdr:cNvPr>
        <xdr:cNvSpPr>
          <a:spLocks noChangeAspect="1"/>
        </xdr:cNvSpPr>
      </xdr:nvSpPr>
      <xdr:spPr>
        <a:xfrm>
          <a:off x="58104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520950</xdr:colOff>
      <xdr:row>1</xdr:row>
      <xdr:rowOff>80550</xdr:rowOff>
    </xdr:from>
    <xdr:to>
      <xdr:col>22</xdr:col>
      <xdr:colOff>322201</xdr:colOff>
      <xdr:row>2</xdr:row>
      <xdr:rowOff>53101</xdr:rowOff>
    </xdr:to>
    <xdr:sp macro="" textlink="">
      <xdr:nvSpPr>
        <xdr:cNvPr id="325316" name=" 64">
          <a:extLst>
            <a:ext uri="{FF2B5EF4-FFF2-40B4-BE49-F238E27FC236}">
              <a16:creationId xmlns:a16="http://schemas.microsoft.com/office/drawing/2014/main" id="{12FABF8A-4C78-436B-8561-DC9DA3290DE5}"/>
            </a:ext>
          </a:extLst>
        </xdr:cNvPr>
        <xdr:cNvSpPr>
          <a:spLocks noChangeAspect="1"/>
        </xdr:cNvSpPr>
      </xdr:nvSpPr>
      <xdr:spPr>
        <a:xfrm>
          <a:off x="78552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394200</xdr:colOff>
      <xdr:row>1</xdr:row>
      <xdr:rowOff>80550</xdr:rowOff>
    </xdr:from>
    <xdr:to>
      <xdr:col>23</xdr:col>
      <xdr:colOff>195451</xdr:colOff>
      <xdr:row>2</xdr:row>
      <xdr:rowOff>53101</xdr:rowOff>
    </xdr:to>
    <xdr:sp macro="" textlink="">
      <xdr:nvSpPr>
        <xdr:cNvPr id="325317" name=" 65">
          <a:extLst>
            <a:ext uri="{FF2B5EF4-FFF2-40B4-BE49-F238E27FC236}">
              <a16:creationId xmlns:a16="http://schemas.microsoft.com/office/drawing/2014/main" id="{7D53D8C0-58ED-49F9-BCBF-25944E689223}"/>
            </a:ext>
          </a:extLst>
        </xdr:cNvPr>
        <xdr:cNvSpPr>
          <a:spLocks noChangeAspect="1"/>
        </xdr:cNvSpPr>
      </xdr:nvSpPr>
      <xdr:spPr>
        <a:xfrm>
          <a:off x="83952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646200</xdr:colOff>
      <xdr:row>1</xdr:row>
      <xdr:rowOff>152550</xdr:rowOff>
    </xdr:from>
    <xdr:to>
      <xdr:col>23</xdr:col>
      <xdr:colOff>267451</xdr:colOff>
      <xdr:row>7</xdr:row>
      <xdr:rowOff>59851</xdr:rowOff>
    </xdr:to>
    <xdr:sp macro="" textlink="">
      <xdr:nvSpPr>
        <xdr:cNvPr id="325318" name=" 66">
          <a:extLst>
            <a:ext uri="{FF2B5EF4-FFF2-40B4-BE49-F238E27FC236}">
              <a16:creationId xmlns:a16="http://schemas.microsoft.com/office/drawing/2014/main" id="{34275E70-D577-4B03-B75F-30DA4B22F06D}"/>
            </a:ext>
          </a:extLst>
        </xdr:cNvPr>
        <xdr:cNvSpPr>
          <a:spLocks noChangeAspect="1"/>
        </xdr:cNvSpPr>
      </xdr:nvSpPr>
      <xdr:spPr>
        <a:xfrm>
          <a:off x="86472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466200</xdr:colOff>
      <xdr:row>7</xdr:row>
      <xdr:rowOff>113850</xdr:rowOff>
    </xdr:from>
    <xdr:to>
      <xdr:col>23</xdr:col>
      <xdr:colOff>87451</xdr:colOff>
      <xdr:row>13</xdr:row>
      <xdr:rowOff>3151</xdr:rowOff>
    </xdr:to>
    <xdr:sp macro="" textlink="">
      <xdr:nvSpPr>
        <xdr:cNvPr id="325319" name=" 67">
          <a:extLst>
            <a:ext uri="{FF2B5EF4-FFF2-40B4-BE49-F238E27FC236}">
              <a16:creationId xmlns:a16="http://schemas.microsoft.com/office/drawing/2014/main" id="{B84BA48D-88A9-4B18-9941-EFE01C4B97D5}"/>
            </a:ext>
          </a:extLst>
        </xdr:cNvPr>
        <xdr:cNvSpPr>
          <a:spLocks noChangeAspect="1"/>
        </xdr:cNvSpPr>
      </xdr:nvSpPr>
      <xdr:spPr>
        <a:xfrm>
          <a:off x="84672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178950</xdr:colOff>
      <xdr:row>12</xdr:row>
      <xdr:rowOff>102600</xdr:rowOff>
    </xdr:from>
    <xdr:to>
      <xdr:col>21</xdr:col>
      <xdr:colOff>664951</xdr:colOff>
      <xdr:row>13</xdr:row>
      <xdr:rowOff>75151</xdr:rowOff>
    </xdr:to>
    <xdr:sp macro="" textlink="">
      <xdr:nvSpPr>
        <xdr:cNvPr id="325320" name=" 68">
          <a:extLst>
            <a:ext uri="{FF2B5EF4-FFF2-40B4-BE49-F238E27FC236}">
              <a16:creationId xmlns:a16="http://schemas.microsoft.com/office/drawing/2014/main" id="{476F98A6-830C-4150-AB3B-6127C597F286}"/>
            </a:ext>
          </a:extLst>
        </xdr:cNvPr>
        <xdr:cNvSpPr>
          <a:spLocks noChangeAspect="1"/>
        </xdr:cNvSpPr>
      </xdr:nvSpPr>
      <xdr:spPr>
        <a:xfrm>
          <a:off x="75132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34200</xdr:colOff>
      <xdr:row>12</xdr:row>
      <xdr:rowOff>102600</xdr:rowOff>
    </xdr:from>
    <xdr:to>
      <xdr:col>22</xdr:col>
      <xdr:colOff>502201</xdr:colOff>
      <xdr:row>13</xdr:row>
      <xdr:rowOff>75151</xdr:rowOff>
    </xdr:to>
    <xdr:sp macro="" textlink="">
      <xdr:nvSpPr>
        <xdr:cNvPr id="325321" name=" 69">
          <a:extLst>
            <a:ext uri="{FF2B5EF4-FFF2-40B4-BE49-F238E27FC236}">
              <a16:creationId xmlns:a16="http://schemas.microsoft.com/office/drawing/2014/main" id="{A17DB0BA-5360-47CC-B02B-12D85AB2C4C3}"/>
            </a:ext>
          </a:extLst>
        </xdr:cNvPr>
        <xdr:cNvSpPr>
          <a:spLocks noChangeAspect="1"/>
        </xdr:cNvSpPr>
      </xdr:nvSpPr>
      <xdr:spPr>
        <a:xfrm>
          <a:off x="80352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124950</xdr:colOff>
      <xdr:row>7</xdr:row>
      <xdr:rowOff>113850</xdr:rowOff>
    </xdr:from>
    <xdr:to>
      <xdr:col>21</xdr:col>
      <xdr:colOff>412951</xdr:colOff>
      <xdr:row>13</xdr:row>
      <xdr:rowOff>3151</xdr:rowOff>
    </xdr:to>
    <xdr:sp macro="" textlink="">
      <xdr:nvSpPr>
        <xdr:cNvPr id="325322" name=" 70">
          <a:extLst>
            <a:ext uri="{FF2B5EF4-FFF2-40B4-BE49-F238E27FC236}">
              <a16:creationId xmlns:a16="http://schemas.microsoft.com/office/drawing/2014/main" id="{ED0AA813-C7F5-45DE-8EA7-2EA08A72A313}"/>
            </a:ext>
          </a:extLst>
        </xdr:cNvPr>
        <xdr:cNvSpPr>
          <a:spLocks noChangeAspect="1"/>
        </xdr:cNvSpPr>
      </xdr:nvSpPr>
      <xdr:spPr>
        <a:xfrm>
          <a:off x="74592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304950</xdr:colOff>
      <xdr:row>1</xdr:row>
      <xdr:rowOff>152550</xdr:rowOff>
    </xdr:from>
    <xdr:to>
      <xdr:col>21</xdr:col>
      <xdr:colOff>556951</xdr:colOff>
      <xdr:row>7</xdr:row>
      <xdr:rowOff>59851</xdr:rowOff>
    </xdr:to>
    <xdr:sp macro="" textlink="">
      <xdr:nvSpPr>
        <xdr:cNvPr id="325323" name=" 71">
          <a:extLst>
            <a:ext uri="{FF2B5EF4-FFF2-40B4-BE49-F238E27FC236}">
              <a16:creationId xmlns:a16="http://schemas.microsoft.com/office/drawing/2014/main" id="{1CF80152-38B9-4E24-9846-A60E7089D7B1}"/>
            </a:ext>
          </a:extLst>
        </xdr:cNvPr>
        <xdr:cNvSpPr>
          <a:spLocks noChangeAspect="1"/>
        </xdr:cNvSpPr>
      </xdr:nvSpPr>
      <xdr:spPr>
        <a:xfrm>
          <a:off x="76392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376950</xdr:colOff>
      <xdr:row>7</xdr:row>
      <xdr:rowOff>5850</xdr:rowOff>
    </xdr:from>
    <xdr:to>
      <xdr:col>22</xdr:col>
      <xdr:colOff>160201</xdr:colOff>
      <xdr:row>7</xdr:row>
      <xdr:rowOff>149851</xdr:rowOff>
    </xdr:to>
    <xdr:sp macro="" textlink="">
      <xdr:nvSpPr>
        <xdr:cNvPr id="325324" name=" 72">
          <a:extLst>
            <a:ext uri="{FF2B5EF4-FFF2-40B4-BE49-F238E27FC236}">
              <a16:creationId xmlns:a16="http://schemas.microsoft.com/office/drawing/2014/main" id="{A3FD9FA8-8FC9-4BC2-B428-F8C1C1AAE5F4}"/>
            </a:ext>
          </a:extLst>
        </xdr:cNvPr>
        <xdr:cNvSpPr>
          <a:spLocks noChangeAspect="1"/>
        </xdr:cNvSpPr>
      </xdr:nvSpPr>
      <xdr:spPr>
        <a:xfrm>
          <a:off x="77112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214200</xdr:colOff>
      <xdr:row>7</xdr:row>
      <xdr:rowOff>5850</xdr:rowOff>
    </xdr:from>
    <xdr:to>
      <xdr:col>22</xdr:col>
      <xdr:colOff>664201</xdr:colOff>
      <xdr:row>7</xdr:row>
      <xdr:rowOff>149851</xdr:rowOff>
    </xdr:to>
    <xdr:sp macro="" textlink="">
      <xdr:nvSpPr>
        <xdr:cNvPr id="325325" name=" 73">
          <a:extLst>
            <a:ext uri="{FF2B5EF4-FFF2-40B4-BE49-F238E27FC236}">
              <a16:creationId xmlns:a16="http://schemas.microsoft.com/office/drawing/2014/main" id="{872B94AA-A3C7-442D-886D-FF6F3D51074D}"/>
            </a:ext>
          </a:extLst>
        </xdr:cNvPr>
        <xdr:cNvSpPr>
          <a:spLocks noChangeAspect="1"/>
        </xdr:cNvSpPr>
      </xdr:nvSpPr>
      <xdr:spPr>
        <a:xfrm>
          <a:off x="82152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574950</xdr:colOff>
      <xdr:row>2</xdr:row>
      <xdr:rowOff>89100</xdr:rowOff>
    </xdr:from>
    <xdr:to>
      <xdr:col>22</xdr:col>
      <xdr:colOff>178201</xdr:colOff>
      <xdr:row>7</xdr:row>
      <xdr:rowOff>41851</xdr:rowOff>
    </xdr:to>
    <xdr:sp macro="" textlink="">
      <xdr:nvSpPr>
        <xdr:cNvPr id="325326" name=" 74">
          <a:extLst>
            <a:ext uri="{FF2B5EF4-FFF2-40B4-BE49-F238E27FC236}">
              <a16:creationId xmlns:a16="http://schemas.microsoft.com/office/drawing/2014/main" id="{F92DF85D-A9DD-491F-9CA8-FBAF47BBC0F4}"/>
            </a:ext>
          </a:extLst>
        </xdr:cNvPr>
        <xdr:cNvSpPr>
          <a:spLocks noChangeAspect="1"/>
        </xdr:cNvSpPr>
      </xdr:nvSpPr>
      <xdr:spPr>
        <a:xfrm>
          <a:off x="79092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178200</xdr:colOff>
      <xdr:row>1</xdr:row>
      <xdr:rowOff>152550</xdr:rowOff>
    </xdr:from>
    <xdr:to>
      <xdr:col>22</xdr:col>
      <xdr:colOff>430201</xdr:colOff>
      <xdr:row>7</xdr:row>
      <xdr:rowOff>23851</xdr:rowOff>
    </xdr:to>
    <xdr:sp macro="" textlink="">
      <xdr:nvSpPr>
        <xdr:cNvPr id="325327" name=" 75">
          <a:extLst>
            <a:ext uri="{FF2B5EF4-FFF2-40B4-BE49-F238E27FC236}">
              <a16:creationId xmlns:a16="http://schemas.microsoft.com/office/drawing/2014/main" id="{1035D683-133A-4883-BBB0-078CE37F4E68}"/>
            </a:ext>
          </a:extLst>
        </xdr:cNvPr>
        <xdr:cNvSpPr>
          <a:spLocks noChangeAspect="1"/>
        </xdr:cNvSpPr>
      </xdr:nvSpPr>
      <xdr:spPr>
        <a:xfrm>
          <a:off x="81792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232200</xdr:colOff>
      <xdr:row>2</xdr:row>
      <xdr:rowOff>107100</xdr:rowOff>
    </xdr:from>
    <xdr:to>
      <xdr:col>23</xdr:col>
      <xdr:colOff>87451</xdr:colOff>
      <xdr:row>7</xdr:row>
      <xdr:rowOff>41851</xdr:rowOff>
    </xdr:to>
    <xdr:sp macro="" textlink="">
      <xdr:nvSpPr>
        <xdr:cNvPr id="325328" name=" 76">
          <a:extLst>
            <a:ext uri="{FF2B5EF4-FFF2-40B4-BE49-F238E27FC236}">
              <a16:creationId xmlns:a16="http://schemas.microsoft.com/office/drawing/2014/main" id="{1675513C-0FF7-4589-8A67-717A48A6B193}"/>
            </a:ext>
          </a:extLst>
        </xdr:cNvPr>
        <xdr:cNvSpPr>
          <a:spLocks noChangeAspect="1"/>
        </xdr:cNvSpPr>
      </xdr:nvSpPr>
      <xdr:spPr>
        <a:xfrm>
          <a:off x="82332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196200</xdr:colOff>
      <xdr:row>7</xdr:row>
      <xdr:rowOff>113850</xdr:rowOff>
    </xdr:from>
    <xdr:to>
      <xdr:col>22</xdr:col>
      <xdr:colOff>466201</xdr:colOff>
      <xdr:row>12</xdr:row>
      <xdr:rowOff>30601</xdr:rowOff>
    </xdr:to>
    <xdr:sp macro="" textlink="">
      <xdr:nvSpPr>
        <xdr:cNvPr id="325329" name=" 77">
          <a:extLst>
            <a:ext uri="{FF2B5EF4-FFF2-40B4-BE49-F238E27FC236}">
              <a16:creationId xmlns:a16="http://schemas.microsoft.com/office/drawing/2014/main" id="{41FB475E-3143-4107-BD85-F463BC5A7B3E}"/>
            </a:ext>
          </a:extLst>
        </xdr:cNvPr>
        <xdr:cNvSpPr>
          <a:spLocks noChangeAspect="1"/>
        </xdr:cNvSpPr>
      </xdr:nvSpPr>
      <xdr:spPr>
        <a:xfrm>
          <a:off x="81972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628950</xdr:colOff>
      <xdr:row>7</xdr:row>
      <xdr:rowOff>131850</xdr:rowOff>
    </xdr:from>
    <xdr:to>
      <xdr:col>22</xdr:col>
      <xdr:colOff>196201</xdr:colOff>
      <xdr:row>12</xdr:row>
      <xdr:rowOff>156601</xdr:rowOff>
    </xdr:to>
    <xdr:sp macro="" textlink="">
      <xdr:nvSpPr>
        <xdr:cNvPr id="325330" name=" 78">
          <a:extLst>
            <a:ext uri="{FF2B5EF4-FFF2-40B4-BE49-F238E27FC236}">
              <a16:creationId xmlns:a16="http://schemas.microsoft.com/office/drawing/2014/main" id="{81995053-0809-44E4-B03C-23669ADAD6CB}"/>
            </a:ext>
          </a:extLst>
        </xdr:cNvPr>
        <xdr:cNvSpPr>
          <a:spLocks noChangeAspect="1"/>
        </xdr:cNvSpPr>
      </xdr:nvSpPr>
      <xdr:spPr>
        <a:xfrm>
          <a:off x="79632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304950</xdr:colOff>
      <xdr:row>7</xdr:row>
      <xdr:rowOff>113850</xdr:rowOff>
    </xdr:from>
    <xdr:to>
      <xdr:col>22</xdr:col>
      <xdr:colOff>160201</xdr:colOff>
      <xdr:row>12</xdr:row>
      <xdr:rowOff>48601</xdr:rowOff>
    </xdr:to>
    <xdr:sp macro="" textlink="">
      <xdr:nvSpPr>
        <xdr:cNvPr id="325331" name=" 79">
          <a:extLst>
            <a:ext uri="{FF2B5EF4-FFF2-40B4-BE49-F238E27FC236}">
              <a16:creationId xmlns:a16="http://schemas.microsoft.com/office/drawing/2014/main" id="{44AA0413-BABB-4A6C-B999-84D9EE6D01E6}"/>
            </a:ext>
          </a:extLst>
        </xdr:cNvPr>
        <xdr:cNvSpPr>
          <a:spLocks noChangeAspect="1"/>
        </xdr:cNvSpPr>
      </xdr:nvSpPr>
      <xdr:spPr>
        <a:xfrm>
          <a:off x="76392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349500</xdr:colOff>
      <xdr:row>1</xdr:row>
      <xdr:rowOff>80550</xdr:rowOff>
    </xdr:from>
    <xdr:to>
      <xdr:col>25</xdr:col>
      <xdr:colOff>150751</xdr:colOff>
      <xdr:row>2</xdr:row>
      <xdr:rowOff>53101</xdr:rowOff>
    </xdr:to>
    <xdr:sp macro="" textlink="">
      <xdr:nvSpPr>
        <xdr:cNvPr id="325332" name=" 80">
          <a:extLst>
            <a:ext uri="{FF2B5EF4-FFF2-40B4-BE49-F238E27FC236}">
              <a16:creationId xmlns:a16="http://schemas.microsoft.com/office/drawing/2014/main" id="{947E9F6F-71A3-42E6-A2FD-190E67661F6C}"/>
            </a:ext>
          </a:extLst>
        </xdr:cNvPr>
        <xdr:cNvSpPr>
          <a:spLocks noChangeAspect="1"/>
        </xdr:cNvSpPr>
      </xdr:nvSpPr>
      <xdr:spPr>
        <a:xfrm>
          <a:off x="96840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222750</xdr:colOff>
      <xdr:row>1</xdr:row>
      <xdr:rowOff>80550</xdr:rowOff>
    </xdr:from>
    <xdr:to>
      <xdr:col>27</xdr:col>
      <xdr:colOff>119251</xdr:colOff>
      <xdr:row>2</xdr:row>
      <xdr:rowOff>53101</xdr:rowOff>
    </xdr:to>
    <xdr:sp macro="" textlink="">
      <xdr:nvSpPr>
        <xdr:cNvPr id="325333" name=" 81">
          <a:extLst>
            <a:ext uri="{FF2B5EF4-FFF2-40B4-BE49-F238E27FC236}">
              <a16:creationId xmlns:a16="http://schemas.microsoft.com/office/drawing/2014/main" id="{CF97ACD8-102E-489A-B5A0-6AD329F1DC4A}"/>
            </a:ext>
          </a:extLst>
        </xdr:cNvPr>
        <xdr:cNvSpPr>
          <a:spLocks noChangeAspect="1"/>
        </xdr:cNvSpPr>
      </xdr:nvSpPr>
      <xdr:spPr>
        <a:xfrm>
          <a:off x="102240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189000</xdr:colOff>
      <xdr:row>1</xdr:row>
      <xdr:rowOff>152550</xdr:rowOff>
    </xdr:from>
    <xdr:to>
      <xdr:col>27</xdr:col>
      <xdr:colOff>191251</xdr:colOff>
      <xdr:row>7</xdr:row>
      <xdr:rowOff>59851</xdr:rowOff>
    </xdr:to>
    <xdr:sp macro="" textlink="">
      <xdr:nvSpPr>
        <xdr:cNvPr id="325334" name=" 82">
          <a:extLst>
            <a:ext uri="{FF2B5EF4-FFF2-40B4-BE49-F238E27FC236}">
              <a16:creationId xmlns:a16="http://schemas.microsoft.com/office/drawing/2014/main" id="{104BDEAB-706A-4FA9-8F0F-D4545354E249}"/>
            </a:ext>
          </a:extLst>
        </xdr:cNvPr>
        <xdr:cNvSpPr>
          <a:spLocks noChangeAspect="1"/>
        </xdr:cNvSpPr>
      </xdr:nvSpPr>
      <xdr:spPr>
        <a:xfrm>
          <a:off x="104760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9000</xdr:colOff>
      <xdr:row>7</xdr:row>
      <xdr:rowOff>113850</xdr:rowOff>
    </xdr:from>
    <xdr:to>
      <xdr:col>27</xdr:col>
      <xdr:colOff>11251</xdr:colOff>
      <xdr:row>13</xdr:row>
      <xdr:rowOff>3151</xdr:rowOff>
    </xdr:to>
    <xdr:sp macro="" textlink="">
      <xdr:nvSpPr>
        <xdr:cNvPr id="325335" name=" 83">
          <a:extLst>
            <a:ext uri="{FF2B5EF4-FFF2-40B4-BE49-F238E27FC236}">
              <a16:creationId xmlns:a16="http://schemas.microsoft.com/office/drawing/2014/main" id="{E159371E-AB84-4C61-B960-8F88FC2B45D8}"/>
            </a:ext>
          </a:extLst>
        </xdr:cNvPr>
        <xdr:cNvSpPr>
          <a:spLocks noChangeAspect="1"/>
        </xdr:cNvSpPr>
      </xdr:nvSpPr>
      <xdr:spPr>
        <a:xfrm>
          <a:off x="102960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7500</xdr:colOff>
      <xdr:row>12</xdr:row>
      <xdr:rowOff>102600</xdr:rowOff>
    </xdr:from>
    <xdr:to>
      <xdr:col>24</xdr:col>
      <xdr:colOff>493501</xdr:colOff>
      <xdr:row>13</xdr:row>
      <xdr:rowOff>75151</xdr:rowOff>
    </xdr:to>
    <xdr:sp macro="" textlink="">
      <xdr:nvSpPr>
        <xdr:cNvPr id="325336" name=" 84">
          <a:extLst>
            <a:ext uri="{FF2B5EF4-FFF2-40B4-BE49-F238E27FC236}">
              <a16:creationId xmlns:a16="http://schemas.microsoft.com/office/drawing/2014/main" id="{4EDA3EDE-5D85-4921-9FDF-A7D051ED16C2}"/>
            </a:ext>
          </a:extLst>
        </xdr:cNvPr>
        <xdr:cNvSpPr>
          <a:spLocks noChangeAspect="1"/>
        </xdr:cNvSpPr>
      </xdr:nvSpPr>
      <xdr:spPr>
        <a:xfrm>
          <a:off x="93420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529500</xdr:colOff>
      <xdr:row>12</xdr:row>
      <xdr:rowOff>102600</xdr:rowOff>
    </xdr:from>
    <xdr:to>
      <xdr:col>26</xdr:col>
      <xdr:colOff>45001</xdr:colOff>
      <xdr:row>13</xdr:row>
      <xdr:rowOff>75151</xdr:rowOff>
    </xdr:to>
    <xdr:sp macro="" textlink="">
      <xdr:nvSpPr>
        <xdr:cNvPr id="325337" name=" 85">
          <a:extLst>
            <a:ext uri="{FF2B5EF4-FFF2-40B4-BE49-F238E27FC236}">
              <a16:creationId xmlns:a16="http://schemas.microsoft.com/office/drawing/2014/main" id="{B8B57818-AAED-46FA-98A7-340E6C219471}"/>
            </a:ext>
          </a:extLst>
        </xdr:cNvPr>
        <xdr:cNvSpPr>
          <a:spLocks noChangeAspect="1"/>
        </xdr:cNvSpPr>
      </xdr:nvSpPr>
      <xdr:spPr>
        <a:xfrm>
          <a:off x="98640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620250</xdr:colOff>
      <xdr:row>7</xdr:row>
      <xdr:rowOff>113850</xdr:rowOff>
    </xdr:from>
    <xdr:to>
      <xdr:col>24</xdr:col>
      <xdr:colOff>241501</xdr:colOff>
      <xdr:row>13</xdr:row>
      <xdr:rowOff>3151</xdr:rowOff>
    </xdr:to>
    <xdr:sp macro="" textlink="">
      <xdr:nvSpPr>
        <xdr:cNvPr id="325338" name=" 86">
          <a:extLst>
            <a:ext uri="{FF2B5EF4-FFF2-40B4-BE49-F238E27FC236}">
              <a16:creationId xmlns:a16="http://schemas.microsoft.com/office/drawing/2014/main" id="{762DA7C2-B4CD-462D-A1CB-5486C317D793}"/>
            </a:ext>
          </a:extLst>
        </xdr:cNvPr>
        <xdr:cNvSpPr>
          <a:spLocks noChangeAspect="1"/>
        </xdr:cNvSpPr>
      </xdr:nvSpPr>
      <xdr:spPr>
        <a:xfrm>
          <a:off x="92880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133500</xdr:colOff>
      <xdr:row>1</xdr:row>
      <xdr:rowOff>152550</xdr:rowOff>
    </xdr:from>
    <xdr:to>
      <xdr:col>24</xdr:col>
      <xdr:colOff>385501</xdr:colOff>
      <xdr:row>7</xdr:row>
      <xdr:rowOff>59851</xdr:rowOff>
    </xdr:to>
    <xdr:sp macro="" textlink="">
      <xdr:nvSpPr>
        <xdr:cNvPr id="325339" name=" 87">
          <a:extLst>
            <a:ext uri="{FF2B5EF4-FFF2-40B4-BE49-F238E27FC236}">
              <a16:creationId xmlns:a16="http://schemas.microsoft.com/office/drawing/2014/main" id="{E9A1CF9D-D711-4131-9BE8-4276178E347F}"/>
            </a:ext>
          </a:extLst>
        </xdr:cNvPr>
        <xdr:cNvSpPr>
          <a:spLocks noChangeAspect="1"/>
        </xdr:cNvSpPr>
      </xdr:nvSpPr>
      <xdr:spPr>
        <a:xfrm>
          <a:off x="94680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205500</xdr:colOff>
      <xdr:row>7</xdr:row>
      <xdr:rowOff>5850</xdr:rowOff>
    </xdr:from>
    <xdr:to>
      <xdr:col>24</xdr:col>
      <xdr:colOff>655501</xdr:colOff>
      <xdr:row>7</xdr:row>
      <xdr:rowOff>149851</xdr:rowOff>
    </xdr:to>
    <xdr:sp macro="" textlink="">
      <xdr:nvSpPr>
        <xdr:cNvPr id="325340" name=" 88">
          <a:extLst>
            <a:ext uri="{FF2B5EF4-FFF2-40B4-BE49-F238E27FC236}">
              <a16:creationId xmlns:a16="http://schemas.microsoft.com/office/drawing/2014/main" id="{9CDD3B80-512C-489C-9F4E-B97FF7A1656E}"/>
            </a:ext>
          </a:extLst>
        </xdr:cNvPr>
        <xdr:cNvSpPr>
          <a:spLocks noChangeAspect="1"/>
        </xdr:cNvSpPr>
      </xdr:nvSpPr>
      <xdr:spPr>
        <a:xfrm>
          <a:off x="95400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42750</xdr:colOff>
      <xdr:row>7</xdr:row>
      <xdr:rowOff>5850</xdr:rowOff>
    </xdr:from>
    <xdr:to>
      <xdr:col>26</xdr:col>
      <xdr:colOff>207001</xdr:colOff>
      <xdr:row>7</xdr:row>
      <xdr:rowOff>149851</xdr:rowOff>
    </xdr:to>
    <xdr:sp macro="" textlink="">
      <xdr:nvSpPr>
        <xdr:cNvPr id="325341" name=" 89">
          <a:extLst>
            <a:ext uri="{FF2B5EF4-FFF2-40B4-BE49-F238E27FC236}">
              <a16:creationId xmlns:a16="http://schemas.microsoft.com/office/drawing/2014/main" id="{8EDC7D80-D89E-441B-91C8-2ADB69F74024}"/>
            </a:ext>
          </a:extLst>
        </xdr:cNvPr>
        <xdr:cNvSpPr>
          <a:spLocks noChangeAspect="1"/>
        </xdr:cNvSpPr>
      </xdr:nvSpPr>
      <xdr:spPr>
        <a:xfrm>
          <a:off x="100440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403500</xdr:colOff>
      <xdr:row>2</xdr:row>
      <xdr:rowOff>89100</xdr:rowOff>
    </xdr:from>
    <xdr:to>
      <xdr:col>25</xdr:col>
      <xdr:colOff>6751</xdr:colOff>
      <xdr:row>7</xdr:row>
      <xdr:rowOff>41851</xdr:rowOff>
    </xdr:to>
    <xdr:sp macro="" textlink="">
      <xdr:nvSpPr>
        <xdr:cNvPr id="325342" name=" 90">
          <a:extLst>
            <a:ext uri="{FF2B5EF4-FFF2-40B4-BE49-F238E27FC236}">
              <a16:creationId xmlns:a16="http://schemas.microsoft.com/office/drawing/2014/main" id="{109E99B0-9E35-432B-9013-84BC14A54932}"/>
            </a:ext>
          </a:extLst>
        </xdr:cNvPr>
        <xdr:cNvSpPr>
          <a:spLocks noChangeAspect="1"/>
        </xdr:cNvSpPr>
      </xdr:nvSpPr>
      <xdr:spPr>
        <a:xfrm>
          <a:off x="97380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6750</xdr:colOff>
      <xdr:row>1</xdr:row>
      <xdr:rowOff>152550</xdr:rowOff>
    </xdr:from>
    <xdr:to>
      <xdr:col>25</xdr:col>
      <xdr:colOff>258751</xdr:colOff>
      <xdr:row>7</xdr:row>
      <xdr:rowOff>23851</xdr:rowOff>
    </xdr:to>
    <xdr:sp macro="" textlink="">
      <xdr:nvSpPr>
        <xdr:cNvPr id="325343" name=" 91">
          <a:extLst>
            <a:ext uri="{FF2B5EF4-FFF2-40B4-BE49-F238E27FC236}">
              <a16:creationId xmlns:a16="http://schemas.microsoft.com/office/drawing/2014/main" id="{A1C8A539-0576-4A38-A1FD-4FFE6A10507B}"/>
            </a:ext>
          </a:extLst>
        </xdr:cNvPr>
        <xdr:cNvSpPr>
          <a:spLocks noChangeAspect="1"/>
        </xdr:cNvSpPr>
      </xdr:nvSpPr>
      <xdr:spPr>
        <a:xfrm>
          <a:off x="100080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60750</xdr:colOff>
      <xdr:row>2</xdr:row>
      <xdr:rowOff>107100</xdr:rowOff>
    </xdr:from>
    <xdr:to>
      <xdr:col>27</xdr:col>
      <xdr:colOff>11251</xdr:colOff>
      <xdr:row>7</xdr:row>
      <xdr:rowOff>41851</xdr:rowOff>
    </xdr:to>
    <xdr:sp macro="" textlink="">
      <xdr:nvSpPr>
        <xdr:cNvPr id="325344" name=" 92">
          <a:extLst>
            <a:ext uri="{FF2B5EF4-FFF2-40B4-BE49-F238E27FC236}">
              <a16:creationId xmlns:a16="http://schemas.microsoft.com/office/drawing/2014/main" id="{1EFD6868-F839-433E-A954-5F857281E8C0}"/>
            </a:ext>
          </a:extLst>
        </xdr:cNvPr>
        <xdr:cNvSpPr>
          <a:spLocks noChangeAspect="1"/>
        </xdr:cNvSpPr>
      </xdr:nvSpPr>
      <xdr:spPr>
        <a:xfrm>
          <a:off x="100620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24750</xdr:colOff>
      <xdr:row>7</xdr:row>
      <xdr:rowOff>113850</xdr:rowOff>
    </xdr:from>
    <xdr:to>
      <xdr:col>26</xdr:col>
      <xdr:colOff>9001</xdr:colOff>
      <xdr:row>12</xdr:row>
      <xdr:rowOff>30601</xdr:rowOff>
    </xdr:to>
    <xdr:sp macro="" textlink="">
      <xdr:nvSpPr>
        <xdr:cNvPr id="325345" name=" 93">
          <a:extLst>
            <a:ext uri="{FF2B5EF4-FFF2-40B4-BE49-F238E27FC236}">
              <a16:creationId xmlns:a16="http://schemas.microsoft.com/office/drawing/2014/main" id="{3DC4C23A-D715-4646-8367-D883DC83412E}"/>
            </a:ext>
          </a:extLst>
        </xdr:cNvPr>
        <xdr:cNvSpPr>
          <a:spLocks noChangeAspect="1"/>
        </xdr:cNvSpPr>
      </xdr:nvSpPr>
      <xdr:spPr>
        <a:xfrm>
          <a:off x="100260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457500</xdr:colOff>
      <xdr:row>7</xdr:row>
      <xdr:rowOff>131850</xdr:rowOff>
    </xdr:from>
    <xdr:to>
      <xdr:col>25</xdr:col>
      <xdr:colOff>24751</xdr:colOff>
      <xdr:row>12</xdr:row>
      <xdr:rowOff>156601</xdr:rowOff>
    </xdr:to>
    <xdr:sp macro="" textlink="">
      <xdr:nvSpPr>
        <xdr:cNvPr id="325346" name=" 94">
          <a:extLst>
            <a:ext uri="{FF2B5EF4-FFF2-40B4-BE49-F238E27FC236}">
              <a16:creationId xmlns:a16="http://schemas.microsoft.com/office/drawing/2014/main" id="{E0BECA6B-B601-4E03-90E9-85F90C39228B}"/>
            </a:ext>
          </a:extLst>
        </xdr:cNvPr>
        <xdr:cNvSpPr>
          <a:spLocks noChangeAspect="1"/>
        </xdr:cNvSpPr>
      </xdr:nvSpPr>
      <xdr:spPr>
        <a:xfrm>
          <a:off x="97920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133500</xdr:colOff>
      <xdr:row>7</xdr:row>
      <xdr:rowOff>113850</xdr:rowOff>
    </xdr:from>
    <xdr:to>
      <xdr:col>24</xdr:col>
      <xdr:colOff>655501</xdr:colOff>
      <xdr:row>12</xdr:row>
      <xdr:rowOff>48601</xdr:rowOff>
    </xdr:to>
    <xdr:sp macro="" textlink="">
      <xdr:nvSpPr>
        <xdr:cNvPr id="325347" name=" 95">
          <a:extLst>
            <a:ext uri="{FF2B5EF4-FFF2-40B4-BE49-F238E27FC236}">
              <a16:creationId xmlns:a16="http://schemas.microsoft.com/office/drawing/2014/main" id="{E3D9BCD7-8BCC-4EA7-A1D2-4CE54CC48116}"/>
            </a:ext>
          </a:extLst>
        </xdr:cNvPr>
        <xdr:cNvSpPr>
          <a:spLocks noChangeAspect="1"/>
        </xdr:cNvSpPr>
      </xdr:nvSpPr>
      <xdr:spPr>
        <a:xfrm>
          <a:off x="94680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1</xdr:row>
      <xdr:rowOff>80550</xdr:rowOff>
    </xdr:from>
    <xdr:to>
      <xdr:col>31</xdr:col>
      <xdr:colOff>265051</xdr:colOff>
      <xdr:row>2</xdr:row>
      <xdr:rowOff>53101</xdr:rowOff>
    </xdr:to>
    <xdr:sp macro="" textlink="">
      <xdr:nvSpPr>
        <xdr:cNvPr id="325348" name=" 96">
          <a:extLst>
            <a:ext uri="{FF2B5EF4-FFF2-40B4-BE49-F238E27FC236}">
              <a16:creationId xmlns:a16="http://schemas.microsoft.com/office/drawing/2014/main" id="{3231C64E-1A4A-4163-BAD8-0A0C0EB95E92}"/>
            </a:ext>
          </a:extLst>
        </xdr:cNvPr>
        <xdr:cNvSpPr>
          <a:spLocks noChangeAspect="1"/>
        </xdr:cNvSpPr>
      </xdr:nvSpPr>
      <xdr:spPr>
        <a:xfrm>
          <a:off x="11512800" y="252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51300</xdr:colOff>
      <xdr:row>1</xdr:row>
      <xdr:rowOff>80550</xdr:rowOff>
    </xdr:from>
    <xdr:to>
      <xdr:col>33</xdr:col>
      <xdr:colOff>233551</xdr:colOff>
      <xdr:row>2</xdr:row>
      <xdr:rowOff>53101</xdr:rowOff>
    </xdr:to>
    <xdr:sp macro="" textlink="">
      <xdr:nvSpPr>
        <xdr:cNvPr id="325349" name=" 97">
          <a:extLst>
            <a:ext uri="{FF2B5EF4-FFF2-40B4-BE49-F238E27FC236}">
              <a16:creationId xmlns:a16="http://schemas.microsoft.com/office/drawing/2014/main" id="{11E12AED-905C-4874-BE9A-C5698F8F17B8}"/>
            </a:ext>
          </a:extLst>
        </xdr:cNvPr>
        <xdr:cNvSpPr>
          <a:spLocks noChangeAspect="1"/>
        </xdr:cNvSpPr>
      </xdr:nvSpPr>
      <xdr:spPr>
        <a:xfrm>
          <a:off x="12052800" y="252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17550</xdr:colOff>
      <xdr:row>1</xdr:row>
      <xdr:rowOff>152550</xdr:rowOff>
    </xdr:from>
    <xdr:to>
      <xdr:col>34</xdr:col>
      <xdr:colOff>19801</xdr:colOff>
      <xdr:row>7</xdr:row>
      <xdr:rowOff>59851</xdr:rowOff>
    </xdr:to>
    <xdr:sp macro="" textlink="">
      <xdr:nvSpPr>
        <xdr:cNvPr id="325350" name=" 98">
          <a:extLst>
            <a:ext uri="{FF2B5EF4-FFF2-40B4-BE49-F238E27FC236}">
              <a16:creationId xmlns:a16="http://schemas.microsoft.com/office/drawing/2014/main" id="{DB879209-79FF-4E2D-A437-A4452AE7BB78}"/>
            </a:ext>
          </a:extLst>
        </xdr:cNvPr>
        <xdr:cNvSpPr>
          <a:spLocks noChangeAspect="1"/>
        </xdr:cNvSpPr>
      </xdr:nvSpPr>
      <xdr:spPr>
        <a:xfrm>
          <a:off x="12304800" y="324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123300</xdr:colOff>
      <xdr:row>7</xdr:row>
      <xdr:rowOff>113850</xdr:rowOff>
    </xdr:from>
    <xdr:to>
      <xdr:col>33</xdr:col>
      <xdr:colOff>125551</xdr:colOff>
      <xdr:row>13</xdr:row>
      <xdr:rowOff>3151</xdr:rowOff>
    </xdr:to>
    <xdr:sp macro="" textlink="">
      <xdr:nvSpPr>
        <xdr:cNvPr id="325351" name=" 99">
          <a:extLst>
            <a:ext uri="{FF2B5EF4-FFF2-40B4-BE49-F238E27FC236}">
              <a16:creationId xmlns:a16="http://schemas.microsoft.com/office/drawing/2014/main" id="{15B4D6C5-1ECE-46D9-A09A-BDD30039AF71}"/>
            </a:ext>
          </a:extLst>
        </xdr:cNvPr>
        <xdr:cNvSpPr>
          <a:spLocks noChangeAspect="1"/>
        </xdr:cNvSpPr>
      </xdr:nvSpPr>
      <xdr:spPr>
        <a:xfrm>
          <a:off x="12124800" y="1314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26550</xdr:colOff>
      <xdr:row>12</xdr:row>
      <xdr:rowOff>102600</xdr:rowOff>
    </xdr:from>
    <xdr:to>
      <xdr:col>30</xdr:col>
      <xdr:colOff>226801</xdr:colOff>
      <xdr:row>13</xdr:row>
      <xdr:rowOff>75151</xdr:rowOff>
    </xdr:to>
    <xdr:sp macro="" textlink="">
      <xdr:nvSpPr>
        <xdr:cNvPr id="325352" name=" 100">
          <a:extLst>
            <a:ext uri="{FF2B5EF4-FFF2-40B4-BE49-F238E27FC236}">
              <a16:creationId xmlns:a16="http://schemas.microsoft.com/office/drawing/2014/main" id="{D77F4B69-9A9B-4643-B7D3-F84B8E3103DB}"/>
            </a:ext>
          </a:extLst>
        </xdr:cNvPr>
        <xdr:cNvSpPr>
          <a:spLocks noChangeAspect="1"/>
        </xdr:cNvSpPr>
      </xdr:nvSpPr>
      <xdr:spPr>
        <a:xfrm>
          <a:off x="11170800" y="2160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262800</xdr:colOff>
      <xdr:row>12</xdr:row>
      <xdr:rowOff>102600</xdr:rowOff>
    </xdr:from>
    <xdr:to>
      <xdr:col>32</xdr:col>
      <xdr:colOff>159301</xdr:colOff>
      <xdr:row>13</xdr:row>
      <xdr:rowOff>75151</xdr:rowOff>
    </xdr:to>
    <xdr:sp macro="" textlink="">
      <xdr:nvSpPr>
        <xdr:cNvPr id="325353" name=" 101">
          <a:extLst>
            <a:ext uri="{FF2B5EF4-FFF2-40B4-BE49-F238E27FC236}">
              <a16:creationId xmlns:a16="http://schemas.microsoft.com/office/drawing/2014/main" id="{332BB943-F2D6-4113-8BF4-806A3CE8EB91}"/>
            </a:ext>
          </a:extLst>
        </xdr:cNvPr>
        <xdr:cNvSpPr>
          <a:spLocks noChangeAspect="1"/>
        </xdr:cNvSpPr>
      </xdr:nvSpPr>
      <xdr:spPr>
        <a:xfrm>
          <a:off x="11692800" y="2160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258300</xdr:colOff>
      <xdr:row>7</xdr:row>
      <xdr:rowOff>113850</xdr:rowOff>
    </xdr:from>
    <xdr:to>
      <xdr:col>29</xdr:col>
      <xdr:colOff>260551</xdr:colOff>
      <xdr:row>13</xdr:row>
      <xdr:rowOff>3151</xdr:rowOff>
    </xdr:to>
    <xdr:sp macro="" textlink="">
      <xdr:nvSpPr>
        <xdr:cNvPr id="325354" name=" 102">
          <a:extLst>
            <a:ext uri="{FF2B5EF4-FFF2-40B4-BE49-F238E27FC236}">
              <a16:creationId xmlns:a16="http://schemas.microsoft.com/office/drawing/2014/main" id="{06264E0E-580A-446A-BBED-3C151FABDD13}"/>
            </a:ext>
          </a:extLst>
        </xdr:cNvPr>
        <xdr:cNvSpPr>
          <a:spLocks noChangeAspect="1"/>
        </xdr:cNvSpPr>
      </xdr:nvSpPr>
      <xdr:spPr>
        <a:xfrm>
          <a:off x="11116800" y="1314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152550</xdr:colOff>
      <xdr:row>1</xdr:row>
      <xdr:rowOff>152550</xdr:rowOff>
    </xdr:from>
    <xdr:to>
      <xdr:col>30</xdr:col>
      <xdr:colOff>118801</xdr:colOff>
      <xdr:row>7</xdr:row>
      <xdr:rowOff>59851</xdr:rowOff>
    </xdr:to>
    <xdr:sp macro="" textlink="">
      <xdr:nvSpPr>
        <xdr:cNvPr id="325355" name=" 103">
          <a:extLst>
            <a:ext uri="{FF2B5EF4-FFF2-40B4-BE49-F238E27FC236}">
              <a16:creationId xmlns:a16="http://schemas.microsoft.com/office/drawing/2014/main" id="{3F009F84-C7BC-4B9E-8CC4-26086C6BAE06}"/>
            </a:ext>
          </a:extLst>
        </xdr:cNvPr>
        <xdr:cNvSpPr>
          <a:spLocks noChangeAspect="1"/>
        </xdr:cNvSpPr>
      </xdr:nvSpPr>
      <xdr:spPr>
        <a:xfrm>
          <a:off x="11296800" y="324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224550</xdr:colOff>
      <xdr:row>7</xdr:row>
      <xdr:rowOff>5850</xdr:rowOff>
    </xdr:from>
    <xdr:to>
      <xdr:col>31</xdr:col>
      <xdr:colOff>103051</xdr:colOff>
      <xdr:row>7</xdr:row>
      <xdr:rowOff>149851</xdr:rowOff>
    </xdr:to>
    <xdr:sp macro="" textlink="">
      <xdr:nvSpPr>
        <xdr:cNvPr id="325356" name=" 104">
          <a:extLst>
            <a:ext uri="{FF2B5EF4-FFF2-40B4-BE49-F238E27FC236}">
              <a16:creationId xmlns:a16="http://schemas.microsoft.com/office/drawing/2014/main" id="{B730B223-7EE2-4C81-A2B6-C3E6FBBF09FC}"/>
            </a:ext>
          </a:extLst>
        </xdr:cNvPr>
        <xdr:cNvSpPr>
          <a:spLocks noChangeAspect="1"/>
        </xdr:cNvSpPr>
      </xdr:nvSpPr>
      <xdr:spPr>
        <a:xfrm>
          <a:off x="11368800" y="1206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157050</xdr:colOff>
      <xdr:row>7</xdr:row>
      <xdr:rowOff>5850</xdr:rowOff>
    </xdr:from>
    <xdr:to>
      <xdr:col>33</xdr:col>
      <xdr:colOff>35551</xdr:colOff>
      <xdr:row>7</xdr:row>
      <xdr:rowOff>149851</xdr:rowOff>
    </xdr:to>
    <xdr:sp macro="" textlink="">
      <xdr:nvSpPr>
        <xdr:cNvPr id="325357" name=" 105">
          <a:extLst>
            <a:ext uri="{FF2B5EF4-FFF2-40B4-BE49-F238E27FC236}">
              <a16:creationId xmlns:a16="http://schemas.microsoft.com/office/drawing/2014/main" id="{D3656AE2-1B56-4ADC-85D7-2633B2449863}"/>
            </a:ext>
          </a:extLst>
        </xdr:cNvPr>
        <xdr:cNvSpPr>
          <a:spLocks noChangeAspect="1"/>
        </xdr:cNvSpPr>
      </xdr:nvSpPr>
      <xdr:spPr>
        <a:xfrm>
          <a:off x="11872800" y="1206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136800</xdr:colOff>
      <xdr:row>2</xdr:row>
      <xdr:rowOff>89100</xdr:rowOff>
    </xdr:from>
    <xdr:to>
      <xdr:col>31</xdr:col>
      <xdr:colOff>121051</xdr:colOff>
      <xdr:row>7</xdr:row>
      <xdr:rowOff>41851</xdr:rowOff>
    </xdr:to>
    <xdr:sp macro="" textlink="">
      <xdr:nvSpPr>
        <xdr:cNvPr id="325358" name=" 106">
          <a:extLst>
            <a:ext uri="{FF2B5EF4-FFF2-40B4-BE49-F238E27FC236}">
              <a16:creationId xmlns:a16="http://schemas.microsoft.com/office/drawing/2014/main" id="{137F352D-FC87-49AA-BDE1-3379DFDE97F4}"/>
            </a:ext>
          </a:extLst>
        </xdr:cNvPr>
        <xdr:cNvSpPr>
          <a:spLocks noChangeAspect="1"/>
        </xdr:cNvSpPr>
      </xdr:nvSpPr>
      <xdr:spPr>
        <a:xfrm>
          <a:off x="11566800" y="432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121050</xdr:colOff>
      <xdr:row>1</xdr:row>
      <xdr:rowOff>152550</xdr:rowOff>
    </xdr:from>
    <xdr:to>
      <xdr:col>32</xdr:col>
      <xdr:colOff>87301</xdr:colOff>
      <xdr:row>7</xdr:row>
      <xdr:rowOff>23851</xdr:rowOff>
    </xdr:to>
    <xdr:sp macro="" textlink="">
      <xdr:nvSpPr>
        <xdr:cNvPr id="325359" name=" 107">
          <a:extLst>
            <a:ext uri="{FF2B5EF4-FFF2-40B4-BE49-F238E27FC236}">
              <a16:creationId xmlns:a16="http://schemas.microsoft.com/office/drawing/2014/main" id="{1D5CA779-31D8-4403-A53C-01819F539BD6}"/>
            </a:ext>
          </a:extLst>
        </xdr:cNvPr>
        <xdr:cNvSpPr>
          <a:spLocks noChangeAspect="1"/>
        </xdr:cNvSpPr>
      </xdr:nvSpPr>
      <xdr:spPr>
        <a:xfrm>
          <a:off x="118368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175050</xdr:colOff>
      <xdr:row>2</xdr:row>
      <xdr:rowOff>107100</xdr:rowOff>
    </xdr:from>
    <xdr:to>
      <xdr:col>33</xdr:col>
      <xdr:colOff>125551</xdr:colOff>
      <xdr:row>7</xdr:row>
      <xdr:rowOff>41851</xdr:rowOff>
    </xdr:to>
    <xdr:sp macro="" textlink="">
      <xdr:nvSpPr>
        <xdr:cNvPr id="325360" name=" 108">
          <a:extLst>
            <a:ext uri="{FF2B5EF4-FFF2-40B4-BE49-F238E27FC236}">
              <a16:creationId xmlns:a16="http://schemas.microsoft.com/office/drawing/2014/main" id="{ADDD3AA8-35F5-489A-8305-C5329F6EFA30}"/>
            </a:ext>
          </a:extLst>
        </xdr:cNvPr>
        <xdr:cNvSpPr>
          <a:spLocks noChangeAspect="1"/>
        </xdr:cNvSpPr>
      </xdr:nvSpPr>
      <xdr:spPr>
        <a:xfrm>
          <a:off x="118908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139050</xdr:colOff>
      <xdr:row>7</xdr:row>
      <xdr:rowOff>113850</xdr:rowOff>
    </xdr:from>
    <xdr:to>
      <xdr:col>32</xdr:col>
      <xdr:colOff>123301</xdr:colOff>
      <xdr:row>12</xdr:row>
      <xdr:rowOff>30601</xdr:rowOff>
    </xdr:to>
    <xdr:sp macro="" textlink="">
      <xdr:nvSpPr>
        <xdr:cNvPr id="325361" name=" 109">
          <a:extLst>
            <a:ext uri="{FF2B5EF4-FFF2-40B4-BE49-F238E27FC236}">
              <a16:creationId xmlns:a16="http://schemas.microsoft.com/office/drawing/2014/main" id="{410B1E02-8F1E-4BD2-9C28-E0048A40F8A2}"/>
            </a:ext>
          </a:extLst>
        </xdr:cNvPr>
        <xdr:cNvSpPr>
          <a:spLocks noChangeAspect="1"/>
        </xdr:cNvSpPr>
      </xdr:nvSpPr>
      <xdr:spPr>
        <a:xfrm>
          <a:off x="11854800" y="1314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190800</xdr:colOff>
      <xdr:row>7</xdr:row>
      <xdr:rowOff>131850</xdr:rowOff>
    </xdr:from>
    <xdr:to>
      <xdr:col>31</xdr:col>
      <xdr:colOff>139051</xdr:colOff>
      <xdr:row>12</xdr:row>
      <xdr:rowOff>156601</xdr:rowOff>
    </xdr:to>
    <xdr:sp macro="" textlink="">
      <xdr:nvSpPr>
        <xdr:cNvPr id="325362" name=" 110">
          <a:extLst>
            <a:ext uri="{FF2B5EF4-FFF2-40B4-BE49-F238E27FC236}">
              <a16:creationId xmlns:a16="http://schemas.microsoft.com/office/drawing/2014/main" id="{4A0E75CD-F633-4DBF-98C3-E681F418C30C}"/>
            </a:ext>
          </a:extLst>
        </xdr:cNvPr>
        <xdr:cNvSpPr>
          <a:spLocks noChangeAspect="1"/>
        </xdr:cNvSpPr>
      </xdr:nvSpPr>
      <xdr:spPr>
        <a:xfrm>
          <a:off x="11620800" y="1332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152550</xdr:colOff>
      <xdr:row>7</xdr:row>
      <xdr:rowOff>113850</xdr:rowOff>
    </xdr:from>
    <xdr:to>
      <xdr:col>31</xdr:col>
      <xdr:colOff>103051</xdr:colOff>
      <xdr:row>12</xdr:row>
      <xdr:rowOff>48601</xdr:rowOff>
    </xdr:to>
    <xdr:sp macro="" textlink="">
      <xdr:nvSpPr>
        <xdr:cNvPr id="325363" name=" 111">
          <a:extLst>
            <a:ext uri="{FF2B5EF4-FFF2-40B4-BE49-F238E27FC236}">
              <a16:creationId xmlns:a16="http://schemas.microsoft.com/office/drawing/2014/main" id="{A82161B4-315C-46EE-AAA5-A16F82D62534}"/>
            </a:ext>
          </a:extLst>
        </xdr:cNvPr>
        <xdr:cNvSpPr>
          <a:spLocks noChangeAspect="1"/>
        </xdr:cNvSpPr>
      </xdr:nvSpPr>
      <xdr:spPr>
        <a:xfrm>
          <a:off x="11296800" y="1314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197100</xdr:colOff>
      <xdr:row>1</xdr:row>
      <xdr:rowOff>80550</xdr:rowOff>
    </xdr:from>
    <xdr:to>
      <xdr:col>38</xdr:col>
      <xdr:colOff>93601</xdr:colOff>
      <xdr:row>2</xdr:row>
      <xdr:rowOff>53101</xdr:rowOff>
    </xdr:to>
    <xdr:sp macro="" textlink="">
      <xdr:nvSpPr>
        <xdr:cNvPr id="325364" name=" 112">
          <a:extLst>
            <a:ext uri="{FF2B5EF4-FFF2-40B4-BE49-F238E27FC236}">
              <a16:creationId xmlns:a16="http://schemas.microsoft.com/office/drawing/2014/main" id="{2DDF6597-BB3E-4C07-AE4B-9E74F673F164}"/>
            </a:ext>
          </a:extLst>
        </xdr:cNvPr>
        <xdr:cNvSpPr>
          <a:spLocks noChangeAspect="1"/>
        </xdr:cNvSpPr>
      </xdr:nvSpPr>
      <xdr:spPr>
        <a:xfrm>
          <a:off x="13341600" y="252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165601</xdr:colOff>
      <xdr:row>1</xdr:row>
      <xdr:rowOff>80550</xdr:rowOff>
    </xdr:from>
    <xdr:to>
      <xdr:col>40</xdr:col>
      <xdr:colOff>62101</xdr:colOff>
      <xdr:row>2</xdr:row>
      <xdr:rowOff>53101</xdr:rowOff>
    </xdr:to>
    <xdr:sp macro="" textlink="">
      <xdr:nvSpPr>
        <xdr:cNvPr id="325365" name=" 113">
          <a:extLst>
            <a:ext uri="{FF2B5EF4-FFF2-40B4-BE49-F238E27FC236}">
              <a16:creationId xmlns:a16="http://schemas.microsoft.com/office/drawing/2014/main" id="{C09064B1-9A7D-42B4-8D87-03BF04BC859F}"/>
            </a:ext>
          </a:extLst>
        </xdr:cNvPr>
        <xdr:cNvSpPr>
          <a:spLocks noChangeAspect="1"/>
        </xdr:cNvSpPr>
      </xdr:nvSpPr>
      <xdr:spPr>
        <a:xfrm>
          <a:off x="13881601" y="252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131849</xdr:colOff>
      <xdr:row>1</xdr:row>
      <xdr:rowOff>152550</xdr:rowOff>
    </xdr:from>
    <xdr:to>
      <xdr:col>40</xdr:col>
      <xdr:colOff>134101</xdr:colOff>
      <xdr:row>7</xdr:row>
      <xdr:rowOff>59851</xdr:rowOff>
    </xdr:to>
    <xdr:sp macro="" textlink="">
      <xdr:nvSpPr>
        <xdr:cNvPr id="325366" name=" 114">
          <a:extLst>
            <a:ext uri="{FF2B5EF4-FFF2-40B4-BE49-F238E27FC236}">
              <a16:creationId xmlns:a16="http://schemas.microsoft.com/office/drawing/2014/main" id="{ECCBD2A4-54FF-4AF0-AA82-5ABDF42E0363}"/>
            </a:ext>
          </a:extLst>
        </xdr:cNvPr>
        <xdr:cNvSpPr>
          <a:spLocks noChangeAspect="1"/>
        </xdr:cNvSpPr>
      </xdr:nvSpPr>
      <xdr:spPr>
        <a:xfrm>
          <a:off x="14133599" y="324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237599</xdr:colOff>
      <xdr:row>7</xdr:row>
      <xdr:rowOff>113850</xdr:rowOff>
    </xdr:from>
    <xdr:to>
      <xdr:col>39</xdr:col>
      <xdr:colOff>239851</xdr:colOff>
      <xdr:row>13</xdr:row>
      <xdr:rowOff>3151</xdr:rowOff>
    </xdr:to>
    <xdr:sp macro="" textlink="">
      <xdr:nvSpPr>
        <xdr:cNvPr id="325367" name=" 115">
          <a:extLst>
            <a:ext uri="{FF2B5EF4-FFF2-40B4-BE49-F238E27FC236}">
              <a16:creationId xmlns:a16="http://schemas.microsoft.com/office/drawing/2014/main" id="{DAB11064-5CC5-45D7-9862-2B5DC5F5BE6C}"/>
            </a:ext>
          </a:extLst>
        </xdr:cNvPr>
        <xdr:cNvSpPr>
          <a:spLocks noChangeAspect="1"/>
        </xdr:cNvSpPr>
      </xdr:nvSpPr>
      <xdr:spPr>
        <a:xfrm>
          <a:off x="13953599" y="1314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140850</xdr:colOff>
      <xdr:row>12</xdr:row>
      <xdr:rowOff>102600</xdr:rowOff>
    </xdr:from>
    <xdr:to>
      <xdr:col>37</xdr:col>
      <xdr:colOff>55351</xdr:colOff>
      <xdr:row>13</xdr:row>
      <xdr:rowOff>75151</xdr:rowOff>
    </xdr:to>
    <xdr:sp macro="" textlink="">
      <xdr:nvSpPr>
        <xdr:cNvPr id="325368" name=" 116">
          <a:extLst>
            <a:ext uri="{FF2B5EF4-FFF2-40B4-BE49-F238E27FC236}">
              <a16:creationId xmlns:a16="http://schemas.microsoft.com/office/drawing/2014/main" id="{4AD42007-7935-476A-9C9F-2341FB06C33F}"/>
            </a:ext>
          </a:extLst>
        </xdr:cNvPr>
        <xdr:cNvSpPr>
          <a:spLocks noChangeAspect="1"/>
        </xdr:cNvSpPr>
      </xdr:nvSpPr>
      <xdr:spPr>
        <a:xfrm>
          <a:off x="12999600" y="2160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91349</xdr:colOff>
      <xdr:row>12</xdr:row>
      <xdr:rowOff>102600</xdr:rowOff>
    </xdr:from>
    <xdr:to>
      <xdr:col>38</xdr:col>
      <xdr:colOff>273601</xdr:colOff>
      <xdr:row>13</xdr:row>
      <xdr:rowOff>75151</xdr:rowOff>
    </xdr:to>
    <xdr:sp macro="" textlink="">
      <xdr:nvSpPr>
        <xdr:cNvPr id="325369" name=" 117">
          <a:extLst>
            <a:ext uri="{FF2B5EF4-FFF2-40B4-BE49-F238E27FC236}">
              <a16:creationId xmlns:a16="http://schemas.microsoft.com/office/drawing/2014/main" id="{36946093-38D0-4530-BDB2-9F9BF6C0928D}"/>
            </a:ext>
          </a:extLst>
        </xdr:cNvPr>
        <xdr:cNvSpPr>
          <a:spLocks noChangeAspect="1"/>
        </xdr:cNvSpPr>
      </xdr:nvSpPr>
      <xdr:spPr>
        <a:xfrm>
          <a:off x="13521599" y="2160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86850</xdr:colOff>
      <xdr:row>7</xdr:row>
      <xdr:rowOff>113850</xdr:rowOff>
    </xdr:from>
    <xdr:to>
      <xdr:col>36</xdr:col>
      <xdr:colOff>89101</xdr:colOff>
      <xdr:row>13</xdr:row>
      <xdr:rowOff>3151</xdr:rowOff>
    </xdr:to>
    <xdr:sp macro="" textlink="">
      <xdr:nvSpPr>
        <xdr:cNvPr id="325370" name=" 118">
          <a:extLst>
            <a:ext uri="{FF2B5EF4-FFF2-40B4-BE49-F238E27FC236}">
              <a16:creationId xmlns:a16="http://schemas.microsoft.com/office/drawing/2014/main" id="{BC35C29D-F096-4739-86EF-FDF65951DB56}"/>
            </a:ext>
          </a:extLst>
        </xdr:cNvPr>
        <xdr:cNvSpPr>
          <a:spLocks noChangeAspect="1"/>
        </xdr:cNvSpPr>
      </xdr:nvSpPr>
      <xdr:spPr>
        <a:xfrm>
          <a:off x="12945600" y="1314000"/>
          <a:ext cx="288001" cy="918001"/>
        </a:xfrm>
        <a:custGeom>
          <a:avLst/>
          <a:gdLst/>
          <a:ahLst/>
          <a:cxnLst/>
          <a:rect l="0" t="0" r="0" b="0"/>
          <a:pathLst>
            <a:path w="288001" h="918001">
              <a:moveTo>
                <a:pt x="143999" y="54000"/>
              </a:moveTo>
              <a:lnTo>
                <a:pt x="216000" y="0"/>
              </a:lnTo>
              <a:lnTo>
                <a:pt x="288000" y="72000"/>
              </a:lnTo>
              <a:lnTo>
                <a:pt x="143999"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266850</xdr:colOff>
      <xdr:row>1</xdr:row>
      <xdr:rowOff>152550</xdr:rowOff>
    </xdr:from>
    <xdr:to>
      <xdr:col>36</xdr:col>
      <xdr:colOff>233102</xdr:colOff>
      <xdr:row>7</xdr:row>
      <xdr:rowOff>59851</xdr:rowOff>
    </xdr:to>
    <xdr:sp macro="" textlink="">
      <xdr:nvSpPr>
        <xdr:cNvPr id="325371" name=" 119">
          <a:extLst>
            <a:ext uri="{FF2B5EF4-FFF2-40B4-BE49-F238E27FC236}">
              <a16:creationId xmlns:a16="http://schemas.microsoft.com/office/drawing/2014/main" id="{3F229CC2-C1C1-4543-B3AF-632DFC416226}"/>
            </a:ext>
          </a:extLst>
        </xdr:cNvPr>
        <xdr:cNvSpPr>
          <a:spLocks noChangeAspect="1"/>
        </xdr:cNvSpPr>
      </xdr:nvSpPr>
      <xdr:spPr>
        <a:xfrm>
          <a:off x="13125600" y="324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53101</xdr:colOff>
      <xdr:row>7</xdr:row>
      <xdr:rowOff>5850</xdr:rowOff>
    </xdr:from>
    <xdr:to>
      <xdr:col>37</xdr:col>
      <xdr:colOff>217351</xdr:colOff>
      <xdr:row>7</xdr:row>
      <xdr:rowOff>149851</xdr:rowOff>
    </xdr:to>
    <xdr:sp macro="" textlink="">
      <xdr:nvSpPr>
        <xdr:cNvPr id="325372" name=" 120">
          <a:extLst>
            <a:ext uri="{FF2B5EF4-FFF2-40B4-BE49-F238E27FC236}">
              <a16:creationId xmlns:a16="http://schemas.microsoft.com/office/drawing/2014/main" id="{BCF27935-FF26-458F-9ACF-8D87CDBA1E33}"/>
            </a:ext>
          </a:extLst>
        </xdr:cNvPr>
        <xdr:cNvSpPr>
          <a:spLocks noChangeAspect="1"/>
        </xdr:cNvSpPr>
      </xdr:nvSpPr>
      <xdr:spPr>
        <a:xfrm>
          <a:off x="13197601" y="1206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271349</xdr:colOff>
      <xdr:row>7</xdr:row>
      <xdr:rowOff>5850</xdr:rowOff>
    </xdr:from>
    <xdr:to>
      <xdr:col>39</xdr:col>
      <xdr:colOff>149851</xdr:colOff>
      <xdr:row>7</xdr:row>
      <xdr:rowOff>149851</xdr:rowOff>
    </xdr:to>
    <xdr:sp macro="" textlink="">
      <xdr:nvSpPr>
        <xdr:cNvPr id="325373" name=" 121">
          <a:extLst>
            <a:ext uri="{FF2B5EF4-FFF2-40B4-BE49-F238E27FC236}">
              <a16:creationId xmlns:a16="http://schemas.microsoft.com/office/drawing/2014/main" id="{8760ECAF-0B90-4AB1-A684-078AE0FEDF4A}"/>
            </a:ext>
          </a:extLst>
        </xdr:cNvPr>
        <xdr:cNvSpPr>
          <a:spLocks noChangeAspect="1"/>
        </xdr:cNvSpPr>
      </xdr:nvSpPr>
      <xdr:spPr>
        <a:xfrm>
          <a:off x="13701599" y="1206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251099</xdr:colOff>
      <xdr:row>2</xdr:row>
      <xdr:rowOff>89100</xdr:rowOff>
    </xdr:from>
    <xdr:to>
      <xdr:col>37</xdr:col>
      <xdr:colOff>235351</xdr:colOff>
      <xdr:row>7</xdr:row>
      <xdr:rowOff>41851</xdr:rowOff>
    </xdr:to>
    <xdr:sp macro="" textlink="">
      <xdr:nvSpPr>
        <xdr:cNvPr id="325374" name=" 122">
          <a:extLst>
            <a:ext uri="{FF2B5EF4-FFF2-40B4-BE49-F238E27FC236}">
              <a16:creationId xmlns:a16="http://schemas.microsoft.com/office/drawing/2014/main" id="{396005BB-2D6D-4FA0-9190-4F01A34AE086}"/>
            </a:ext>
          </a:extLst>
        </xdr:cNvPr>
        <xdr:cNvSpPr>
          <a:spLocks noChangeAspect="1"/>
        </xdr:cNvSpPr>
      </xdr:nvSpPr>
      <xdr:spPr>
        <a:xfrm>
          <a:off x="13395599" y="432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235350</xdr:colOff>
      <xdr:row>1</xdr:row>
      <xdr:rowOff>152550</xdr:rowOff>
    </xdr:from>
    <xdr:to>
      <xdr:col>38</xdr:col>
      <xdr:colOff>201601</xdr:colOff>
      <xdr:row>7</xdr:row>
      <xdr:rowOff>23851</xdr:rowOff>
    </xdr:to>
    <xdr:sp macro="" textlink="">
      <xdr:nvSpPr>
        <xdr:cNvPr id="325375" name=" 123">
          <a:extLst>
            <a:ext uri="{FF2B5EF4-FFF2-40B4-BE49-F238E27FC236}">
              <a16:creationId xmlns:a16="http://schemas.microsoft.com/office/drawing/2014/main" id="{CFD6445E-D231-40EE-BE48-8E68EC25E661}"/>
            </a:ext>
          </a:extLst>
        </xdr:cNvPr>
        <xdr:cNvSpPr>
          <a:spLocks noChangeAspect="1"/>
        </xdr:cNvSpPr>
      </xdr:nvSpPr>
      <xdr:spPr>
        <a:xfrm>
          <a:off x="13665600" y="324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3600</xdr:colOff>
      <xdr:row>2</xdr:row>
      <xdr:rowOff>107100</xdr:rowOff>
    </xdr:from>
    <xdr:to>
      <xdr:col>39</xdr:col>
      <xdr:colOff>239851</xdr:colOff>
      <xdr:row>7</xdr:row>
      <xdr:rowOff>41851</xdr:rowOff>
    </xdr:to>
    <xdr:sp macro="" textlink="">
      <xdr:nvSpPr>
        <xdr:cNvPr id="325184" name=" 124">
          <a:extLst>
            <a:ext uri="{FF2B5EF4-FFF2-40B4-BE49-F238E27FC236}">
              <a16:creationId xmlns:a16="http://schemas.microsoft.com/office/drawing/2014/main" id="{DE47C057-BA3F-4EBE-8E8A-7CB5D4A59A91}"/>
            </a:ext>
          </a:extLst>
        </xdr:cNvPr>
        <xdr:cNvSpPr>
          <a:spLocks noChangeAspect="1"/>
        </xdr:cNvSpPr>
      </xdr:nvSpPr>
      <xdr:spPr>
        <a:xfrm>
          <a:off x="13719600" y="450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253350</xdr:colOff>
      <xdr:row>7</xdr:row>
      <xdr:rowOff>113850</xdr:rowOff>
    </xdr:from>
    <xdr:to>
      <xdr:col>38</xdr:col>
      <xdr:colOff>237600</xdr:colOff>
      <xdr:row>12</xdr:row>
      <xdr:rowOff>30601</xdr:rowOff>
    </xdr:to>
    <xdr:sp macro="" textlink="">
      <xdr:nvSpPr>
        <xdr:cNvPr id="325185" name=" 125">
          <a:extLst>
            <a:ext uri="{FF2B5EF4-FFF2-40B4-BE49-F238E27FC236}">
              <a16:creationId xmlns:a16="http://schemas.microsoft.com/office/drawing/2014/main" id="{C965BC17-4CBC-46FA-9C20-9CA955DE17B6}"/>
            </a:ext>
          </a:extLst>
        </xdr:cNvPr>
        <xdr:cNvSpPr>
          <a:spLocks noChangeAspect="1"/>
        </xdr:cNvSpPr>
      </xdr:nvSpPr>
      <xdr:spPr>
        <a:xfrm>
          <a:off x="13683600" y="1314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19351</xdr:colOff>
      <xdr:row>7</xdr:row>
      <xdr:rowOff>131850</xdr:rowOff>
    </xdr:from>
    <xdr:to>
      <xdr:col>37</xdr:col>
      <xdr:colOff>253351</xdr:colOff>
      <xdr:row>12</xdr:row>
      <xdr:rowOff>156601</xdr:rowOff>
    </xdr:to>
    <xdr:sp macro="" textlink="">
      <xdr:nvSpPr>
        <xdr:cNvPr id="325376" name=" 126">
          <a:extLst>
            <a:ext uri="{FF2B5EF4-FFF2-40B4-BE49-F238E27FC236}">
              <a16:creationId xmlns:a16="http://schemas.microsoft.com/office/drawing/2014/main" id="{AD1C8D9D-558B-47A7-A0DF-864604137E95}"/>
            </a:ext>
          </a:extLst>
        </xdr:cNvPr>
        <xdr:cNvSpPr>
          <a:spLocks noChangeAspect="1"/>
        </xdr:cNvSpPr>
      </xdr:nvSpPr>
      <xdr:spPr>
        <a:xfrm>
          <a:off x="13449601" y="1332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266850</xdr:colOff>
      <xdr:row>7</xdr:row>
      <xdr:rowOff>113850</xdr:rowOff>
    </xdr:from>
    <xdr:to>
      <xdr:col>37</xdr:col>
      <xdr:colOff>217351</xdr:colOff>
      <xdr:row>12</xdr:row>
      <xdr:rowOff>48601</xdr:rowOff>
    </xdr:to>
    <xdr:sp macro="" textlink="">
      <xdr:nvSpPr>
        <xdr:cNvPr id="325377" name=" 127">
          <a:extLst>
            <a:ext uri="{FF2B5EF4-FFF2-40B4-BE49-F238E27FC236}">
              <a16:creationId xmlns:a16="http://schemas.microsoft.com/office/drawing/2014/main" id="{C1BE30DE-6498-4A11-B1B3-549A3A8729AA}"/>
            </a:ext>
          </a:extLst>
        </xdr:cNvPr>
        <xdr:cNvSpPr>
          <a:spLocks noChangeAspect="1"/>
        </xdr:cNvSpPr>
      </xdr:nvSpPr>
      <xdr:spPr>
        <a:xfrm>
          <a:off x="13125600" y="1314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540000</xdr:colOff>
      <xdr:row>5</xdr:row>
      <xdr:rowOff>42450</xdr:rowOff>
    </xdr:from>
    <xdr:to>
      <xdr:col>1</xdr:col>
      <xdr:colOff>322201</xdr:colOff>
      <xdr:row>6</xdr:row>
      <xdr:rowOff>15001</xdr:rowOff>
    </xdr:to>
    <xdr:sp macro="" textlink="">
      <xdr:nvSpPr>
        <xdr:cNvPr id="244610" name="フリーフォーム: 図形 244609">
          <a:extLst>
            <a:ext uri="{FF2B5EF4-FFF2-40B4-BE49-F238E27FC236}">
              <a16:creationId xmlns:a16="http://schemas.microsoft.com/office/drawing/2014/main" id="{208D3A05-4258-437B-9452-67025CEBEA11}"/>
            </a:ext>
          </a:extLst>
        </xdr:cNvPr>
        <xdr:cNvSpPr>
          <a:spLocks noChangeAspect="1"/>
        </xdr:cNvSpPr>
      </xdr:nvSpPr>
      <xdr:spPr>
        <a:xfrm>
          <a:off x="5400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5</xdr:row>
      <xdr:rowOff>42450</xdr:rowOff>
    </xdr:from>
    <xdr:to>
      <xdr:col>2</xdr:col>
      <xdr:colOff>176401</xdr:colOff>
      <xdr:row>6</xdr:row>
      <xdr:rowOff>15001</xdr:rowOff>
    </xdr:to>
    <xdr:sp macro="" textlink="">
      <xdr:nvSpPr>
        <xdr:cNvPr id="244611" name="フリーフォーム: 図形 244610">
          <a:extLst>
            <a:ext uri="{FF2B5EF4-FFF2-40B4-BE49-F238E27FC236}">
              <a16:creationId xmlns:a16="http://schemas.microsoft.com/office/drawing/2014/main" id="{A2D852C9-43A2-4747-8936-AFE911251113}"/>
            </a:ext>
          </a:extLst>
        </xdr:cNvPr>
        <xdr:cNvSpPr>
          <a:spLocks noChangeAspect="1"/>
        </xdr:cNvSpPr>
      </xdr:nvSpPr>
      <xdr:spPr>
        <a:xfrm>
          <a:off x="10800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5</xdr:row>
      <xdr:rowOff>114450</xdr:rowOff>
    </xdr:from>
    <xdr:to>
      <xdr:col>2</xdr:col>
      <xdr:colOff>248401</xdr:colOff>
      <xdr:row>11</xdr:row>
      <xdr:rowOff>21751</xdr:rowOff>
    </xdr:to>
    <xdr:sp macro="" textlink="">
      <xdr:nvSpPr>
        <xdr:cNvPr id="244612" name="フリーフォーム: 図形 244611">
          <a:extLst>
            <a:ext uri="{FF2B5EF4-FFF2-40B4-BE49-F238E27FC236}">
              <a16:creationId xmlns:a16="http://schemas.microsoft.com/office/drawing/2014/main" id="{9EE42786-1D53-42A8-A29C-BB9768DA295A}"/>
            </a:ext>
          </a:extLst>
        </xdr:cNvPr>
        <xdr:cNvSpPr>
          <a:spLocks noChangeAspect="1"/>
        </xdr:cNvSpPr>
      </xdr:nvSpPr>
      <xdr:spPr>
        <a:xfrm>
          <a:off x="13320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11</xdr:row>
      <xdr:rowOff>75750</xdr:rowOff>
    </xdr:from>
    <xdr:to>
      <xdr:col>2</xdr:col>
      <xdr:colOff>68401</xdr:colOff>
      <xdr:row>16</xdr:row>
      <xdr:rowOff>136501</xdr:rowOff>
    </xdr:to>
    <xdr:sp macro="" textlink="">
      <xdr:nvSpPr>
        <xdr:cNvPr id="244613" name="フリーフォーム: 図形 244612">
          <a:extLst>
            <a:ext uri="{FF2B5EF4-FFF2-40B4-BE49-F238E27FC236}">
              <a16:creationId xmlns:a16="http://schemas.microsoft.com/office/drawing/2014/main" id="{077471D4-6A28-42DC-861D-603396177A56}"/>
            </a:ext>
          </a:extLst>
        </xdr:cNvPr>
        <xdr:cNvSpPr>
          <a:spLocks noChangeAspect="1"/>
        </xdr:cNvSpPr>
      </xdr:nvSpPr>
      <xdr:spPr>
        <a:xfrm>
          <a:off x="11520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16</xdr:row>
      <xdr:rowOff>64500</xdr:rowOff>
    </xdr:from>
    <xdr:to>
      <xdr:col>0</xdr:col>
      <xdr:colOff>684001</xdr:colOff>
      <xdr:row>17</xdr:row>
      <xdr:rowOff>37051</xdr:rowOff>
    </xdr:to>
    <xdr:sp macro="" textlink="">
      <xdr:nvSpPr>
        <xdr:cNvPr id="244614" name="フリーフォーム: 図形 244613">
          <a:extLst>
            <a:ext uri="{FF2B5EF4-FFF2-40B4-BE49-F238E27FC236}">
              <a16:creationId xmlns:a16="http://schemas.microsoft.com/office/drawing/2014/main" id="{0652AAEC-BCED-471B-8A98-8D023527F08E}"/>
            </a:ext>
          </a:extLst>
        </xdr:cNvPr>
        <xdr:cNvSpPr>
          <a:spLocks noChangeAspect="1"/>
        </xdr:cNvSpPr>
      </xdr:nvSpPr>
      <xdr:spPr>
        <a:xfrm>
          <a:off x="1980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16</xdr:row>
      <xdr:rowOff>64500</xdr:rowOff>
    </xdr:from>
    <xdr:to>
      <xdr:col>1</xdr:col>
      <xdr:colOff>502201</xdr:colOff>
      <xdr:row>17</xdr:row>
      <xdr:rowOff>37051</xdr:rowOff>
    </xdr:to>
    <xdr:sp macro="" textlink="">
      <xdr:nvSpPr>
        <xdr:cNvPr id="244615" name="フリーフォーム: 図形 244614">
          <a:extLst>
            <a:ext uri="{FF2B5EF4-FFF2-40B4-BE49-F238E27FC236}">
              <a16:creationId xmlns:a16="http://schemas.microsoft.com/office/drawing/2014/main" id="{E9E81603-22D5-40D9-94FC-8B2C9DA5A0E1}"/>
            </a:ext>
          </a:extLst>
        </xdr:cNvPr>
        <xdr:cNvSpPr>
          <a:spLocks noChangeAspect="1"/>
        </xdr:cNvSpPr>
      </xdr:nvSpPr>
      <xdr:spPr>
        <a:xfrm>
          <a:off x="7200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11</xdr:row>
      <xdr:rowOff>75750</xdr:rowOff>
    </xdr:from>
    <xdr:to>
      <xdr:col>0</xdr:col>
      <xdr:colOff>432001</xdr:colOff>
      <xdr:row>16</xdr:row>
      <xdr:rowOff>136501</xdr:rowOff>
    </xdr:to>
    <xdr:sp macro="" textlink="">
      <xdr:nvSpPr>
        <xdr:cNvPr id="244616" name="フリーフォーム: 図形 244615">
          <a:extLst>
            <a:ext uri="{FF2B5EF4-FFF2-40B4-BE49-F238E27FC236}">
              <a16:creationId xmlns:a16="http://schemas.microsoft.com/office/drawing/2014/main" id="{01785B46-86A6-4737-8410-E0378901FBCA}"/>
            </a:ext>
          </a:extLst>
        </xdr:cNvPr>
        <xdr:cNvSpPr>
          <a:spLocks noChangeAspect="1"/>
        </xdr:cNvSpPr>
      </xdr:nvSpPr>
      <xdr:spPr>
        <a:xfrm>
          <a:off x="1440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5</xdr:row>
      <xdr:rowOff>114450</xdr:rowOff>
    </xdr:from>
    <xdr:to>
      <xdr:col>0</xdr:col>
      <xdr:colOff>576001</xdr:colOff>
      <xdr:row>11</xdr:row>
      <xdr:rowOff>21751</xdr:rowOff>
    </xdr:to>
    <xdr:sp macro="" textlink="">
      <xdr:nvSpPr>
        <xdr:cNvPr id="244617" name="フリーフォーム: 図形 244616">
          <a:extLst>
            <a:ext uri="{FF2B5EF4-FFF2-40B4-BE49-F238E27FC236}">
              <a16:creationId xmlns:a16="http://schemas.microsoft.com/office/drawing/2014/main" id="{F5E9B747-F1B9-4AA1-BAAF-F0FE99DA67CB}"/>
            </a:ext>
          </a:extLst>
        </xdr:cNvPr>
        <xdr:cNvSpPr>
          <a:spLocks noChangeAspect="1"/>
        </xdr:cNvSpPr>
      </xdr:nvSpPr>
      <xdr:spPr>
        <a:xfrm>
          <a:off x="3240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10</xdr:row>
      <xdr:rowOff>139200</xdr:rowOff>
    </xdr:from>
    <xdr:to>
      <xdr:col>1</xdr:col>
      <xdr:colOff>160201</xdr:colOff>
      <xdr:row>11</xdr:row>
      <xdr:rowOff>111751</xdr:rowOff>
    </xdr:to>
    <xdr:sp macro="" textlink="">
      <xdr:nvSpPr>
        <xdr:cNvPr id="244618" name="フリーフォーム: 図形 244617">
          <a:extLst>
            <a:ext uri="{FF2B5EF4-FFF2-40B4-BE49-F238E27FC236}">
              <a16:creationId xmlns:a16="http://schemas.microsoft.com/office/drawing/2014/main" id="{D1FF743E-D406-4B61-948B-9C952AB366C4}"/>
            </a:ext>
          </a:extLst>
        </xdr:cNvPr>
        <xdr:cNvSpPr>
          <a:spLocks noChangeAspect="1"/>
        </xdr:cNvSpPr>
      </xdr:nvSpPr>
      <xdr:spPr>
        <a:xfrm>
          <a:off x="3960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10</xdr:row>
      <xdr:rowOff>139200</xdr:rowOff>
    </xdr:from>
    <xdr:to>
      <xdr:col>1</xdr:col>
      <xdr:colOff>664201</xdr:colOff>
      <xdr:row>11</xdr:row>
      <xdr:rowOff>111751</xdr:rowOff>
    </xdr:to>
    <xdr:sp macro="" textlink="">
      <xdr:nvSpPr>
        <xdr:cNvPr id="244619" name="フリーフォーム: 図形 244618">
          <a:extLst>
            <a:ext uri="{FF2B5EF4-FFF2-40B4-BE49-F238E27FC236}">
              <a16:creationId xmlns:a16="http://schemas.microsoft.com/office/drawing/2014/main" id="{0163827C-DF0D-4269-857C-72AA4FA4DF12}"/>
            </a:ext>
          </a:extLst>
        </xdr:cNvPr>
        <xdr:cNvSpPr>
          <a:spLocks noChangeAspect="1"/>
        </xdr:cNvSpPr>
      </xdr:nvSpPr>
      <xdr:spPr>
        <a:xfrm>
          <a:off x="9000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6</xdr:row>
      <xdr:rowOff>51000</xdr:rowOff>
    </xdr:from>
    <xdr:to>
      <xdr:col>1</xdr:col>
      <xdr:colOff>178201</xdr:colOff>
      <xdr:row>11</xdr:row>
      <xdr:rowOff>3751</xdr:rowOff>
    </xdr:to>
    <xdr:sp macro="" textlink="">
      <xdr:nvSpPr>
        <xdr:cNvPr id="244620" name="フリーフォーム: 図形 244619">
          <a:extLst>
            <a:ext uri="{FF2B5EF4-FFF2-40B4-BE49-F238E27FC236}">
              <a16:creationId xmlns:a16="http://schemas.microsoft.com/office/drawing/2014/main" id="{CF07C826-A9C1-422E-9511-9A6188B24EFD}"/>
            </a:ext>
          </a:extLst>
        </xdr:cNvPr>
        <xdr:cNvSpPr>
          <a:spLocks noChangeAspect="1"/>
        </xdr:cNvSpPr>
      </xdr:nvSpPr>
      <xdr:spPr>
        <a:xfrm>
          <a:off x="5940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5</xdr:row>
      <xdr:rowOff>114450</xdr:rowOff>
    </xdr:from>
    <xdr:to>
      <xdr:col>1</xdr:col>
      <xdr:colOff>430201</xdr:colOff>
      <xdr:row>10</xdr:row>
      <xdr:rowOff>157201</xdr:rowOff>
    </xdr:to>
    <xdr:sp macro="" textlink="">
      <xdr:nvSpPr>
        <xdr:cNvPr id="244621" name="フリーフォーム: 図形 244620">
          <a:extLst>
            <a:ext uri="{FF2B5EF4-FFF2-40B4-BE49-F238E27FC236}">
              <a16:creationId xmlns:a16="http://schemas.microsoft.com/office/drawing/2014/main" id="{0E1EAAC8-61F1-43A1-BF23-8DE8975E07FF}"/>
            </a:ext>
          </a:extLst>
        </xdr:cNvPr>
        <xdr:cNvSpPr>
          <a:spLocks noChangeAspect="1"/>
        </xdr:cNvSpPr>
      </xdr:nvSpPr>
      <xdr:spPr>
        <a:xfrm>
          <a:off x="8640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6</xdr:row>
      <xdr:rowOff>69000</xdr:rowOff>
    </xdr:from>
    <xdr:to>
      <xdr:col>2</xdr:col>
      <xdr:colOff>68401</xdr:colOff>
      <xdr:row>11</xdr:row>
      <xdr:rowOff>3751</xdr:rowOff>
    </xdr:to>
    <xdr:sp macro="" textlink="">
      <xdr:nvSpPr>
        <xdr:cNvPr id="244622" name="フリーフォーム: 図形 244621">
          <a:extLst>
            <a:ext uri="{FF2B5EF4-FFF2-40B4-BE49-F238E27FC236}">
              <a16:creationId xmlns:a16="http://schemas.microsoft.com/office/drawing/2014/main" id="{2AFEC1F5-87AE-4569-9FBD-C3EC6C8057DF}"/>
            </a:ext>
          </a:extLst>
        </xdr:cNvPr>
        <xdr:cNvSpPr>
          <a:spLocks noChangeAspect="1"/>
        </xdr:cNvSpPr>
      </xdr:nvSpPr>
      <xdr:spPr>
        <a:xfrm>
          <a:off x="9180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11</xdr:row>
      <xdr:rowOff>75750</xdr:rowOff>
    </xdr:from>
    <xdr:to>
      <xdr:col>1</xdr:col>
      <xdr:colOff>466201</xdr:colOff>
      <xdr:row>15</xdr:row>
      <xdr:rowOff>163951</xdr:rowOff>
    </xdr:to>
    <xdr:sp macro="" textlink="">
      <xdr:nvSpPr>
        <xdr:cNvPr id="244623" name="フリーフォーム: 図形 244622">
          <a:extLst>
            <a:ext uri="{FF2B5EF4-FFF2-40B4-BE49-F238E27FC236}">
              <a16:creationId xmlns:a16="http://schemas.microsoft.com/office/drawing/2014/main" id="{8901D129-043C-4B1D-B45A-DB66209A6C31}"/>
            </a:ext>
          </a:extLst>
        </xdr:cNvPr>
        <xdr:cNvSpPr>
          <a:spLocks noChangeAspect="1"/>
        </xdr:cNvSpPr>
      </xdr:nvSpPr>
      <xdr:spPr>
        <a:xfrm>
          <a:off x="8820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11</xdr:row>
      <xdr:rowOff>93750</xdr:rowOff>
    </xdr:from>
    <xdr:to>
      <xdr:col>1</xdr:col>
      <xdr:colOff>196201</xdr:colOff>
      <xdr:row>16</xdr:row>
      <xdr:rowOff>118501</xdr:rowOff>
    </xdr:to>
    <xdr:sp macro="" textlink="">
      <xdr:nvSpPr>
        <xdr:cNvPr id="244624" name="フリーフォーム: 図形 244623">
          <a:extLst>
            <a:ext uri="{FF2B5EF4-FFF2-40B4-BE49-F238E27FC236}">
              <a16:creationId xmlns:a16="http://schemas.microsoft.com/office/drawing/2014/main" id="{8DE5B02A-9718-4450-B84E-F4647C48779E}"/>
            </a:ext>
          </a:extLst>
        </xdr:cNvPr>
        <xdr:cNvSpPr>
          <a:spLocks noChangeAspect="1"/>
        </xdr:cNvSpPr>
      </xdr:nvSpPr>
      <xdr:spPr>
        <a:xfrm>
          <a:off x="6480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11</xdr:row>
      <xdr:rowOff>75750</xdr:rowOff>
    </xdr:from>
    <xdr:to>
      <xdr:col>1</xdr:col>
      <xdr:colOff>160201</xdr:colOff>
      <xdr:row>16</xdr:row>
      <xdr:rowOff>10501</xdr:rowOff>
    </xdr:to>
    <xdr:sp macro="" textlink="">
      <xdr:nvSpPr>
        <xdr:cNvPr id="244625" name="フリーフォーム: 図形 244624">
          <a:extLst>
            <a:ext uri="{FF2B5EF4-FFF2-40B4-BE49-F238E27FC236}">
              <a16:creationId xmlns:a16="http://schemas.microsoft.com/office/drawing/2014/main" id="{C033CC49-98F6-4C0E-8015-6FF566BEA4B4}"/>
            </a:ext>
          </a:extLst>
        </xdr:cNvPr>
        <xdr:cNvSpPr>
          <a:spLocks noChangeAspect="1"/>
        </xdr:cNvSpPr>
      </xdr:nvSpPr>
      <xdr:spPr>
        <a:xfrm>
          <a:off x="3240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5</xdr:row>
      <xdr:rowOff>42450</xdr:rowOff>
    </xdr:from>
    <xdr:to>
      <xdr:col>4</xdr:col>
      <xdr:colOff>93601</xdr:colOff>
      <xdr:row>6</xdr:row>
      <xdr:rowOff>15001</xdr:rowOff>
    </xdr:to>
    <xdr:sp macro="" textlink="">
      <xdr:nvSpPr>
        <xdr:cNvPr id="244626" name="フリーフォーム: 図形 244625">
          <a:extLst>
            <a:ext uri="{FF2B5EF4-FFF2-40B4-BE49-F238E27FC236}">
              <a16:creationId xmlns:a16="http://schemas.microsoft.com/office/drawing/2014/main" id="{526634E1-B811-487F-8708-4519921701BD}"/>
            </a:ext>
          </a:extLst>
        </xdr:cNvPr>
        <xdr:cNvSpPr>
          <a:spLocks noChangeAspect="1"/>
        </xdr:cNvSpPr>
      </xdr:nvSpPr>
      <xdr:spPr>
        <a:xfrm>
          <a:off x="23688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5</xdr:row>
      <xdr:rowOff>42450</xdr:rowOff>
    </xdr:from>
    <xdr:to>
      <xdr:col>4</xdr:col>
      <xdr:colOff>633601</xdr:colOff>
      <xdr:row>6</xdr:row>
      <xdr:rowOff>15001</xdr:rowOff>
    </xdr:to>
    <xdr:sp macro="" textlink="">
      <xdr:nvSpPr>
        <xdr:cNvPr id="244627" name="フリーフォーム: 図形 244626">
          <a:extLst>
            <a:ext uri="{FF2B5EF4-FFF2-40B4-BE49-F238E27FC236}">
              <a16:creationId xmlns:a16="http://schemas.microsoft.com/office/drawing/2014/main" id="{4910A293-E7D4-4E0C-92A3-C7AB6221E07F}"/>
            </a:ext>
          </a:extLst>
        </xdr:cNvPr>
        <xdr:cNvSpPr>
          <a:spLocks noChangeAspect="1"/>
        </xdr:cNvSpPr>
      </xdr:nvSpPr>
      <xdr:spPr>
        <a:xfrm>
          <a:off x="29088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5</xdr:row>
      <xdr:rowOff>114450</xdr:rowOff>
    </xdr:from>
    <xdr:to>
      <xdr:col>5</xdr:col>
      <xdr:colOff>19801</xdr:colOff>
      <xdr:row>11</xdr:row>
      <xdr:rowOff>21751</xdr:rowOff>
    </xdr:to>
    <xdr:sp macro="" textlink="">
      <xdr:nvSpPr>
        <xdr:cNvPr id="244628" name="フリーフォーム: 図形 244627">
          <a:extLst>
            <a:ext uri="{FF2B5EF4-FFF2-40B4-BE49-F238E27FC236}">
              <a16:creationId xmlns:a16="http://schemas.microsoft.com/office/drawing/2014/main" id="{F636FFA9-1DAF-4547-A3C4-9B3532851183}"/>
            </a:ext>
          </a:extLst>
        </xdr:cNvPr>
        <xdr:cNvSpPr>
          <a:spLocks noChangeAspect="1"/>
        </xdr:cNvSpPr>
      </xdr:nvSpPr>
      <xdr:spPr>
        <a:xfrm>
          <a:off x="31608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11</xdr:row>
      <xdr:rowOff>75750</xdr:rowOff>
    </xdr:from>
    <xdr:to>
      <xdr:col>4</xdr:col>
      <xdr:colOff>525601</xdr:colOff>
      <xdr:row>16</xdr:row>
      <xdr:rowOff>136501</xdr:rowOff>
    </xdr:to>
    <xdr:sp macro="" textlink="">
      <xdr:nvSpPr>
        <xdr:cNvPr id="244629" name="フリーフォーム: 図形 244628">
          <a:extLst>
            <a:ext uri="{FF2B5EF4-FFF2-40B4-BE49-F238E27FC236}">
              <a16:creationId xmlns:a16="http://schemas.microsoft.com/office/drawing/2014/main" id="{195CDF11-CE84-43AE-8110-D4B36616ED96}"/>
            </a:ext>
          </a:extLst>
        </xdr:cNvPr>
        <xdr:cNvSpPr>
          <a:spLocks noChangeAspect="1"/>
        </xdr:cNvSpPr>
      </xdr:nvSpPr>
      <xdr:spPr>
        <a:xfrm>
          <a:off x="29808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16</xdr:row>
      <xdr:rowOff>64500</xdr:rowOff>
    </xdr:from>
    <xdr:to>
      <xdr:col>3</xdr:col>
      <xdr:colOff>455401</xdr:colOff>
      <xdr:row>17</xdr:row>
      <xdr:rowOff>37051</xdr:rowOff>
    </xdr:to>
    <xdr:sp macro="" textlink="">
      <xdr:nvSpPr>
        <xdr:cNvPr id="244630" name="フリーフォーム: 図形 244629">
          <a:extLst>
            <a:ext uri="{FF2B5EF4-FFF2-40B4-BE49-F238E27FC236}">
              <a16:creationId xmlns:a16="http://schemas.microsoft.com/office/drawing/2014/main" id="{69F21DE0-50AB-46FA-AE88-F98E9C2277C3}"/>
            </a:ext>
          </a:extLst>
        </xdr:cNvPr>
        <xdr:cNvSpPr>
          <a:spLocks noChangeAspect="1"/>
        </xdr:cNvSpPr>
      </xdr:nvSpPr>
      <xdr:spPr>
        <a:xfrm>
          <a:off x="20268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16</xdr:row>
      <xdr:rowOff>64500</xdr:rowOff>
    </xdr:from>
    <xdr:to>
      <xdr:col>4</xdr:col>
      <xdr:colOff>273601</xdr:colOff>
      <xdr:row>17</xdr:row>
      <xdr:rowOff>37051</xdr:rowOff>
    </xdr:to>
    <xdr:sp macro="" textlink="">
      <xdr:nvSpPr>
        <xdr:cNvPr id="244631" name="フリーフォーム: 図形 244630">
          <a:extLst>
            <a:ext uri="{FF2B5EF4-FFF2-40B4-BE49-F238E27FC236}">
              <a16:creationId xmlns:a16="http://schemas.microsoft.com/office/drawing/2014/main" id="{B4E668F4-7E13-4DD4-BCA1-5C4A61EBE45E}"/>
            </a:ext>
          </a:extLst>
        </xdr:cNvPr>
        <xdr:cNvSpPr>
          <a:spLocks noChangeAspect="1"/>
        </xdr:cNvSpPr>
      </xdr:nvSpPr>
      <xdr:spPr>
        <a:xfrm>
          <a:off x="25488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11</xdr:row>
      <xdr:rowOff>75750</xdr:rowOff>
    </xdr:from>
    <xdr:to>
      <xdr:col>3</xdr:col>
      <xdr:colOff>203401</xdr:colOff>
      <xdr:row>16</xdr:row>
      <xdr:rowOff>136501</xdr:rowOff>
    </xdr:to>
    <xdr:sp macro="" textlink="">
      <xdr:nvSpPr>
        <xdr:cNvPr id="244632" name="フリーフォーム: 図形 244631">
          <a:extLst>
            <a:ext uri="{FF2B5EF4-FFF2-40B4-BE49-F238E27FC236}">
              <a16:creationId xmlns:a16="http://schemas.microsoft.com/office/drawing/2014/main" id="{C963DB19-DA44-447C-A693-AA63A6B304E3}"/>
            </a:ext>
          </a:extLst>
        </xdr:cNvPr>
        <xdr:cNvSpPr>
          <a:spLocks noChangeAspect="1"/>
        </xdr:cNvSpPr>
      </xdr:nvSpPr>
      <xdr:spPr>
        <a:xfrm>
          <a:off x="19728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5</xdr:row>
      <xdr:rowOff>114450</xdr:rowOff>
    </xdr:from>
    <xdr:to>
      <xdr:col>3</xdr:col>
      <xdr:colOff>347401</xdr:colOff>
      <xdr:row>11</xdr:row>
      <xdr:rowOff>21751</xdr:rowOff>
    </xdr:to>
    <xdr:sp macro="" textlink="">
      <xdr:nvSpPr>
        <xdr:cNvPr id="244633" name="フリーフォーム: 図形 244632">
          <a:extLst>
            <a:ext uri="{FF2B5EF4-FFF2-40B4-BE49-F238E27FC236}">
              <a16:creationId xmlns:a16="http://schemas.microsoft.com/office/drawing/2014/main" id="{3331681A-901D-4478-842E-24E946E000D2}"/>
            </a:ext>
          </a:extLst>
        </xdr:cNvPr>
        <xdr:cNvSpPr>
          <a:spLocks noChangeAspect="1"/>
        </xdr:cNvSpPr>
      </xdr:nvSpPr>
      <xdr:spPr>
        <a:xfrm>
          <a:off x="21528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10</xdr:row>
      <xdr:rowOff>139200</xdr:rowOff>
    </xdr:from>
    <xdr:to>
      <xdr:col>3</xdr:col>
      <xdr:colOff>617401</xdr:colOff>
      <xdr:row>11</xdr:row>
      <xdr:rowOff>111751</xdr:rowOff>
    </xdr:to>
    <xdr:sp macro="" textlink="">
      <xdr:nvSpPr>
        <xdr:cNvPr id="244634" name="フリーフォーム: 図形 244633">
          <a:extLst>
            <a:ext uri="{FF2B5EF4-FFF2-40B4-BE49-F238E27FC236}">
              <a16:creationId xmlns:a16="http://schemas.microsoft.com/office/drawing/2014/main" id="{134D1CB4-754B-476A-8187-4EC13FE611E9}"/>
            </a:ext>
          </a:extLst>
        </xdr:cNvPr>
        <xdr:cNvSpPr>
          <a:spLocks noChangeAspect="1"/>
        </xdr:cNvSpPr>
      </xdr:nvSpPr>
      <xdr:spPr>
        <a:xfrm>
          <a:off x="22248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10</xdr:row>
      <xdr:rowOff>139200</xdr:rowOff>
    </xdr:from>
    <xdr:to>
      <xdr:col>4</xdr:col>
      <xdr:colOff>435601</xdr:colOff>
      <xdr:row>11</xdr:row>
      <xdr:rowOff>111751</xdr:rowOff>
    </xdr:to>
    <xdr:sp macro="" textlink="">
      <xdr:nvSpPr>
        <xdr:cNvPr id="244635" name="フリーフォーム: 図形 244634">
          <a:extLst>
            <a:ext uri="{FF2B5EF4-FFF2-40B4-BE49-F238E27FC236}">
              <a16:creationId xmlns:a16="http://schemas.microsoft.com/office/drawing/2014/main" id="{90F8A071-D732-4A7C-B313-74D79458E2A1}"/>
            </a:ext>
          </a:extLst>
        </xdr:cNvPr>
        <xdr:cNvSpPr>
          <a:spLocks noChangeAspect="1"/>
        </xdr:cNvSpPr>
      </xdr:nvSpPr>
      <xdr:spPr>
        <a:xfrm>
          <a:off x="27288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6</xdr:row>
      <xdr:rowOff>51000</xdr:rowOff>
    </xdr:from>
    <xdr:to>
      <xdr:col>3</xdr:col>
      <xdr:colOff>635401</xdr:colOff>
      <xdr:row>11</xdr:row>
      <xdr:rowOff>3751</xdr:rowOff>
    </xdr:to>
    <xdr:sp macro="" textlink="">
      <xdr:nvSpPr>
        <xdr:cNvPr id="244636" name="フリーフォーム: 図形 244635">
          <a:extLst>
            <a:ext uri="{FF2B5EF4-FFF2-40B4-BE49-F238E27FC236}">
              <a16:creationId xmlns:a16="http://schemas.microsoft.com/office/drawing/2014/main" id="{CB387FBB-B41F-4C9E-8FF8-3A51D5531CEA}"/>
            </a:ext>
          </a:extLst>
        </xdr:cNvPr>
        <xdr:cNvSpPr>
          <a:spLocks noChangeAspect="1"/>
        </xdr:cNvSpPr>
      </xdr:nvSpPr>
      <xdr:spPr>
        <a:xfrm>
          <a:off x="24228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5</xdr:row>
      <xdr:rowOff>114450</xdr:rowOff>
    </xdr:from>
    <xdr:to>
      <xdr:col>4</xdr:col>
      <xdr:colOff>201601</xdr:colOff>
      <xdr:row>10</xdr:row>
      <xdr:rowOff>157201</xdr:rowOff>
    </xdr:to>
    <xdr:sp macro="" textlink="">
      <xdr:nvSpPr>
        <xdr:cNvPr id="244637" name="フリーフォーム: 図形 244636">
          <a:extLst>
            <a:ext uri="{FF2B5EF4-FFF2-40B4-BE49-F238E27FC236}">
              <a16:creationId xmlns:a16="http://schemas.microsoft.com/office/drawing/2014/main" id="{5F2E6EE1-99E5-4833-8BA3-7039B78CF5A1}"/>
            </a:ext>
          </a:extLst>
        </xdr:cNvPr>
        <xdr:cNvSpPr>
          <a:spLocks noChangeAspect="1"/>
        </xdr:cNvSpPr>
      </xdr:nvSpPr>
      <xdr:spPr>
        <a:xfrm>
          <a:off x="26928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6</xdr:row>
      <xdr:rowOff>69000</xdr:rowOff>
    </xdr:from>
    <xdr:to>
      <xdr:col>4</xdr:col>
      <xdr:colOff>525601</xdr:colOff>
      <xdr:row>11</xdr:row>
      <xdr:rowOff>3751</xdr:rowOff>
    </xdr:to>
    <xdr:sp macro="" textlink="">
      <xdr:nvSpPr>
        <xdr:cNvPr id="244638" name="フリーフォーム: 図形 244637">
          <a:extLst>
            <a:ext uri="{FF2B5EF4-FFF2-40B4-BE49-F238E27FC236}">
              <a16:creationId xmlns:a16="http://schemas.microsoft.com/office/drawing/2014/main" id="{9777A8B6-40CB-4527-B126-157E6D9E2E8C}"/>
            </a:ext>
          </a:extLst>
        </xdr:cNvPr>
        <xdr:cNvSpPr>
          <a:spLocks noChangeAspect="1"/>
        </xdr:cNvSpPr>
      </xdr:nvSpPr>
      <xdr:spPr>
        <a:xfrm>
          <a:off x="27468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11</xdr:row>
      <xdr:rowOff>75750</xdr:rowOff>
    </xdr:from>
    <xdr:to>
      <xdr:col>4</xdr:col>
      <xdr:colOff>237601</xdr:colOff>
      <xdr:row>15</xdr:row>
      <xdr:rowOff>163951</xdr:rowOff>
    </xdr:to>
    <xdr:sp macro="" textlink="">
      <xdr:nvSpPr>
        <xdr:cNvPr id="244639" name="フリーフォーム: 図形 244638">
          <a:extLst>
            <a:ext uri="{FF2B5EF4-FFF2-40B4-BE49-F238E27FC236}">
              <a16:creationId xmlns:a16="http://schemas.microsoft.com/office/drawing/2014/main" id="{FF82A23C-58ED-424E-8E4C-14646DD6FBC7}"/>
            </a:ext>
          </a:extLst>
        </xdr:cNvPr>
        <xdr:cNvSpPr>
          <a:spLocks noChangeAspect="1"/>
        </xdr:cNvSpPr>
      </xdr:nvSpPr>
      <xdr:spPr>
        <a:xfrm>
          <a:off x="27108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11</xdr:row>
      <xdr:rowOff>93750</xdr:rowOff>
    </xdr:from>
    <xdr:to>
      <xdr:col>3</xdr:col>
      <xdr:colOff>653401</xdr:colOff>
      <xdr:row>16</xdr:row>
      <xdr:rowOff>118501</xdr:rowOff>
    </xdr:to>
    <xdr:sp macro="" textlink="">
      <xdr:nvSpPr>
        <xdr:cNvPr id="244640" name="フリーフォーム: 図形 244639">
          <a:extLst>
            <a:ext uri="{FF2B5EF4-FFF2-40B4-BE49-F238E27FC236}">
              <a16:creationId xmlns:a16="http://schemas.microsoft.com/office/drawing/2014/main" id="{D70D1F0E-EA2F-4984-A680-28FC336BA7A3}"/>
            </a:ext>
          </a:extLst>
        </xdr:cNvPr>
        <xdr:cNvSpPr>
          <a:spLocks noChangeAspect="1"/>
        </xdr:cNvSpPr>
      </xdr:nvSpPr>
      <xdr:spPr>
        <a:xfrm>
          <a:off x="24768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11</xdr:row>
      <xdr:rowOff>75750</xdr:rowOff>
    </xdr:from>
    <xdr:to>
      <xdr:col>3</xdr:col>
      <xdr:colOff>617401</xdr:colOff>
      <xdr:row>16</xdr:row>
      <xdr:rowOff>10501</xdr:rowOff>
    </xdr:to>
    <xdr:sp macro="" textlink="">
      <xdr:nvSpPr>
        <xdr:cNvPr id="244641" name="フリーフォーム: 図形 244640">
          <a:extLst>
            <a:ext uri="{FF2B5EF4-FFF2-40B4-BE49-F238E27FC236}">
              <a16:creationId xmlns:a16="http://schemas.microsoft.com/office/drawing/2014/main" id="{65EA89F2-6EC5-4A42-A672-FE47A40F784B}"/>
            </a:ext>
          </a:extLst>
        </xdr:cNvPr>
        <xdr:cNvSpPr>
          <a:spLocks noChangeAspect="1"/>
        </xdr:cNvSpPr>
      </xdr:nvSpPr>
      <xdr:spPr>
        <a:xfrm>
          <a:off x="21528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5</xdr:row>
      <xdr:rowOff>42450</xdr:rowOff>
    </xdr:from>
    <xdr:to>
      <xdr:col>6</xdr:col>
      <xdr:colOff>550801</xdr:colOff>
      <xdr:row>6</xdr:row>
      <xdr:rowOff>15001</xdr:rowOff>
    </xdr:to>
    <xdr:sp macro="" textlink="">
      <xdr:nvSpPr>
        <xdr:cNvPr id="244642" name="フリーフォーム: 図形 244641">
          <a:extLst>
            <a:ext uri="{FF2B5EF4-FFF2-40B4-BE49-F238E27FC236}">
              <a16:creationId xmlns:a16="http://schemas.microsoft.com/office/drawing/2014/main" id="{35C4F68F-CD31-4862-8041-68C55F580A05}"/>
            </a:ext>
          </a:extLst>
        </xdr:cNvPr>
        <xdr:cNvSpPr>
          <a:spLocks noChangeAspect="1"/>
        </xdr:cNvSpPr>
      </xdr:nvSpPr>
      <xdr:spPr>
        <a:xfrm>
          <a:off x="41976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5</xdr:row>
      <xdr:rowOff>42450</xdr:rowOff>
    </xdr:from>
    <xdr:to>
      <xdr:col>7</xdr:col>
      <xdr:colOff>405001</xdr:colOff>
      <xdr:row>6</xdr:row>
      <xdr:rowOff>15001</xdr:rowOff>
    </xdr:to>
    <xdr:sp macro="" textlink="">
      <xdr:nvSpPr>
        <xdr:cNvPr id="244643" name="フリーフォーム: 図形 244642">
          <a:extLst>
            <a:ext uri="{FF2B5EF4-FFF2-40B4-BE49-F238E27FC236}">
              <a16:creationId xmlns:a16="http://schemas.microsoft.com/office/drawing/2014/main" id="{B3A64AB0-672D-4D57-8C16-F9436C3B3A73}"/>
            </a:ext>
          </a:extLst>
        </xdr:cNvPr>
        <xdr:cNvSpPr>
          <a:spLocks noChangeAspect="1"/>
        </xdr:cNvSpPr>
      </xdr:nvSpPr>
      <xdr:spPr>
        <a:xfrm>
          <a:off x="47376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5</xdr:row>
      <xdr:rowOff>114450</xdr:rowOff>
    </xdr:from>
    <xdr:to>
      <xdr:col>7</xdr:col>
      <xdr:colOff>477001</xdr:colOff>
      <xdr:row>11</xdr:row>
      <xdr:rowOff>21751</xdr:rowOff>
    </xdr:to>
    <xdr:sp macro="" textlink="">
      <xdr:nvSpPr>
        <xdr:cNvPr id="244644" name="フリーフォーム: 図形 244643">
          <a:extLst>
            <a:ext uri="{FF2B5EF4-FFF2-40B4-BE49-F238E27FC236}">
              <a16:creationId xmlns:a16="http://schemas.microsoft.com/office/drawing/2014/main" id="{D767E72D-2CAC-431C-8FF2-8674175ACCFB}"/>
            </a:ext>
          </a:extLst>
        </xdr:cNvPr>
        <xdr:cNvSpPr>
          <a:spLocks noChangeAspect="1"/>
        </xdr:cNvSpPr>
      </xdr:nvSpPr>
      <xdr:spPr>
        <a:xfrm>
          <a:off x="49896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11</xdr:row>
      <xdr:rowOff>75750</xdr:rowOff>
    </xdr:from>
    <xdr:to>
      <xdr:col>7</xdr:col>
      <xdr:colOff>297001</xdr:colOff>
      <xdr:row>16</xdr:row>
      <xdr:rowOff>136501</xdr:rowOff>
    </xdr:to>
    <xdr:sp macro="" textlink="">
      <xdr:nvSpPr>
        <xdr:cNvPr id="244645" name="フリーフォーム: 図形 244644">
          <a:extLst>
            <a:ext uri="{FF2B5EF4-FFF2-40B4-BE49-F238E27FC236}">
              <a16:creationId xmlns:a16="http://schemas.microsoft.com/office/drawing/2014/main" id="{E2FE6522-7410-44DD-AEAB-378CFDE0354D}"/>
            </a:ext>
          </a:extLst>
        </xdr:cNvPr>
        <xdr:cNvSpPr>
          <a:spLocks noChangeAspect="1"/>
        </xdr:cNvSpPr>
      </xdr:nvSpPr>
      <xdr:spPr>
        <a:xfrm>
          <a:off x="48096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16</xdr:row>
      <xdr:rowOff>64500</xdr:rowOff>
    </xdr:from>
    <xdr:to>
      <xdr:col>6</xdr:col>
      <xdr:colOff>226801</xdr:colOff>
      <xdr:row>17</xdr:row>
      <xdr:rowOff>37051</xdr:rowOff>
    </xdr:to>
    <xdr:sp macro="" textlink="">
      <xdr:nvSpPr>
        <xdr:cNvPr id="244646" name="フリーフォーム: 図形 244645">
          <a:extLst>
            <a:ext uri="{FF2B5EF4-FFF2-40B4-BE49-F238E27FC236}">
              <a16:creationId xmlns:a16="http://schemas.microsoft.com/office/drawing/2014/main" id="{A9B7F721-4747-4DD9-BFF0-ECC5C9CD7E07}"/>
            </a:ext>
          </a:extLst>
        </xdr:cNvPr>
        <xdr:cNvSpPr>
          <a:spLocks noChangeAspect="1"/>
        </xdr:cNvSpPr>
      </xdr:nvSpPr>
      <xdr:spPr>
        <a:xfrm>
          <a:off x="38556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16</xdr:row>
      <xdr:rowOff>64500</xdr:rowOff>
    </xdr:from>
    <xdr:to>
      <xdr:col>7</xdr:col>
      <xdr:colOff>45001</xdr:colOff>
      <xdr:row>17</xdr:row>
      <xdr:rowOff>37051</xdr:rowOff>
    </xdr:to>
    <xdr:sp macro="" textlink="">
      <xdr:nvSpPr>
        <xdr:cNvPr id="244647" name="フリーフォーム: 図形 244646">
          <a:extLst>
            <a:ext uri="{FF2B5EF4-FFF2-40B4-BE49-F238E27FC236}">
              <a16:creationId xmlns:a16="http://schemas.microsoft.com/office/drawing/2014/main" id="{FA072176-B8C0-435A-A8EB-4FEB20E69355}"/>
            </a:ext>
          </a:extLst>
        </xdr:cNvPr>
        <xdr:cNvSpPr>
          <a:spLocks noChangeAspect="1"/>
        </xdr:cNvSpPr>
      </xdr:nvSpPr>
      <xdr:spPr>
        <a:xfrm>
          <a:off x="43776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11</xdr:row>
      <xdr:rowOff>75750</xdr:rowOff>
    </xdr:from>
    <xdr:to>
      <xdr:col>5</xdr:col>
      <xdr:colOff>660601</xdr:colOff>
      <xdr:row>16</xdr:row>
      <xdr:rowOff>136501</xdr:rowOff>
    </xdr:to>
    <xdr:sp macro="" textlink="">
      <xdr:nvSpPr>
        <xdr:cNvPr id="244648" name="フリーフォーム: 図形 244647">
          <a:extLst>
            <a:ext uri="{FF2B5EF4-FFF2-40B4-BE49-F238E27FC236}">
              <a16:creationId xmlns:a16="http://schemas.microsoft.com/office/drawing/2014/main" id="{F189C499-7E98-4CA5-A4DB-882C62EFD92C}"/>
            </a:ext>
          </a:extLst>
        </xdr:cNvPr>
        <xdr:cNvSpPr>
          <a:spLocks noChangeAspect="1"/>
        </xdr:cNvSpPr>
      </xdr:nvSpPr>
      <xdr:spPr>
        <a:xfrm>
          <a:off x="38016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5</xdr:row>
      <xdr:rowOff>114450</xdr:rowOff>
    </xdr:from>
    <xdr:to>
      <xdr:col>6</xdr:col>
      <xdr:colOff>118801</xdr:colOff>
      <xdr:row>11</xdr:row>
      <xdr:rowOff>21751</xdr:rowOff>
    </xdr:to>
    <xdr:sp macro="" textlink="">
      <xdr:nvSpPr>
        <xdr:cNvPr id="244649" name="フリーフォーム: 図形 244648">
          <a:extLst>
            <a:ext uri="{FF2B5EF4-FFF2-40B4-BE49-F238E27FC236}">
              <a16:creationId xmlns:a16="http://schemas.microsoft.com/office/drawing/2014/main" id="{37151F5F-57AA-4CD8-AF20-F5D3BC0FFC4A}"/>
            </a:ext>
          </a:extLst>
        </xdr:cNvPr>
        <xdr:cNvSpPr>
          <a:spLocks noChangeAspect="1"/>
        </xdr:cNvSpPr>
      </xdr:nvSpPr>
      <xdr:spPr>
        <a:xfrm>
          <a:off x="39816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10</xdr:row>
      <xdr:rowOff>139200</xdr:rowOff>
    </xdr:from>
    <xdr:to>
      <xdr:col>6</xdr:col>
      <xdr:colOff>388801</xdr:colOff>
      <xdr:row>11</xdr:row>
      <xdr:rowOff>111751</xdr:rowOff>
    </xdr:to>
    <xdr:sp macro="" textlink="">
      <xdr:nvSpPr>
        <xdr:cNvPr id="244650" name="フリーフォーム: 図形 244649">
          <a:extLst>
            <a:ext uri="{FF2B5EF4-FFF2-40B4-BE49-F238E27FC236}">
              <a16:creationId xmlns:a16="http://schemas.microsoft.com/office/drawing/2014/main" id="{58896866-0418-4818-BE6D-069AD7CB9619}"/>
            </a:ext>
          </a:extLst>
        </xdr:cNvPr>
        <xdr:cNvSpPr>
          <a:spLocks noChangeAspect="1"/>
        </xdr:cNvSpPr>
      </xdr:nvSpPr>
      <xdr:spPr>
        <a:xfrm>
          <a:off x="40536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10</xdr:row>
      <xdr:rowOff>139200</xdr:rowOff>
    </xdr:from>
    <xdr:to>
      <xdr:col>7</xdr:col>
      <xdr:colOff>207001</xdr:colOff>
      <xdr:row>11</xdr:row>
      <xdr:rowOff>111751</xdr:rowOff>
    </xdr:to>
    <xdr:sp macro="" textlink="">
      <xdr:nvSpPr>
        <xdr:cNvPr id="244651" name="フリーフォーム: 図形 244650">
          <a:extLst>
            <a:ext uri="{FF2B5EF4-FFF2-40B4-BE49-F238E27FC236}">
              <a16:creationId xmlns:a16="http://schemas.microsoft.com/office/drawing/2014/main" id="{F7FABE11-6302-467E-997F-A0EC7346E632}"/>
            </a:ext>
          </a:extLst>
        </xdr:cNvPr>
        <xdr:cNvSpPr>
          <a:spLocks noChangeAspect="1"/>
        </xdr:cNvSpPr>
      </xdr:nvSpPr>
      <xdr:spPr>
        <a:xfrm>
          <a:off x="45576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6</xdr:row>
      <xdr:rowOff>51000</xdr:rowOff>
    </xdr:from>
    <xdr:to>
      <xdr:col>6</xdr:col>
      <xdr:colOff>406801</xdr:colOff>
      <xdr:row>11</xdr:row>
      <xdr:rowOff>3751</xdr:rowOff>
    </xdr:to>
    <xdr:sp macro="" textlink="">
      <xdr:nvSpPr>
        <xdr:cNvPr id="244652" name="フリーフォーム: 図形 244651">
          <a:extLst>
            <a:ext uri="{FF2B5EF4-FFF2-40B4-BE49-F238E27FC236}">
              <a16:creationId xmlns:a16="http://schemas.microsoft.com/office/drawing/2014/main" id="{E6EF77FA-6ED8-496E-AA21-2DFE7DE38092}"/>
            </a:ext>
          </a:extLst>
        </xdr:cNvPr>
        <xdr:cNvSpPr>
          <a:spLocks noChangeAspect="1"/>
        </xdr:cNvSpPr>
      </xdr:nvSpPr>
      <xdr:spPr>
        <a:xfrm>
          <a:off x="42516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5</xdr:row>
      <xdr:rowOff>114450</xdr:rowOff>
    </xdr:from>
    <xdr:to>
      <xdr:col>6</xdr:col>
      <xdr:colOff>658801</xdr:colOff>
      <xdr:row>10</xdr:row>
      <xdr:rowOff>157201</xdr:rowOff>
    </xdr:to>
    <xdr:sp macro="" textlink="">
      <xdr:nvSpPr>
        <xdr:cNvPr id="244653" name="フリーフォーム: 図形 244652">
          <a:extLst>
            <a:ext uri="{FF2B5EF4-FFF2-40B4-BE49-F238E27FC236}">
              <a16:creationId xmlns:a16="http://schemas.microsoft.com/office/drawing/2014/main" id="{C8D5B83B-75DA-4059-9157-BCE62548D31C}"/>
            </a:ext>
          </a:extLst>
        </xdr:cNvPr>
        <xdr:cNvSpPr>
          <a:spLocks noChangeAspect="1"/>
        </xdr:cNvSpPr>
      </xdr:nvSpPr>
      <xdr:spPr>
        <a:xfrm>
          <a:off x="45216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6</xdr:row>
      <xdr:rowOff>69000</xdr:rowOff>
    </xdr:from>
    <xdr:to>
      <xdr:col>7</xdr:col>
      <xdr:colOff>297001</xdr:colOff>
      <xdr:row>11</xdr:row>
      <xdr:rowOff>3751</xdr:rowOff>
    </xdr:to>
    <xdr:sp macro="" textlink="">
      <xdr:nvSpPr>
        <xdr:cNvPr id="244654" name="フリーフォーム: 図形 244653">
          <a:extLst>
            <a:ext uri="{FF2B5EF4-FFF2-40B4-BE49-F238E27FC236}">
              <a16:creationId xmlns:a16="http://schemas.microsoft.com/office/drawing/2014/main" id="{9EAEBDEA-0145-4986-BBA9-DF3C794FCE48}"/>
            </a:ext>
          </a:extLst>
        </xdr:cNvPr>
        <xdr:cNvSpPr>
          <a:spLocks noChangeAspect="1"/>
        </xdr:cNvSpPr>
      </xdr:nvSpPr>
      <xdr:spPr>
        <a:xfrm>
          <a:off x="45756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11</xdr:row>
      <xdr:rowOff>75750</xdr:rowOff>
    </xdr:from>
    <xdr:to>
      <xdr:col>7</xdr:col>
      <xdr:colOff>9001</xdr:colOff>
      <xdr:row>15</xdr:row>
      <xdr:rowOff>163951</xdr:rowOff>
    </xdr:to>
    <xdr:sp macro="" textlink="">
      <xdr:nvSpPr>
        <xdr:cNvPr id="244655" name="フリーフォーム: 図形 244654">
          <a:extLst>
            <a:ext uri="{FF2B5EF4-FFF2-40B4-BE49-F238E27FC236}">
              <a16:creationId xmlns:a16="http://schemas.microsoft.com/office/drawing/2014/main" id="{1388EC52-4D8B-4F17-AA6B-537DE7B47263}"/>
            </a:ext>
          </a:extLst>
        </xdr:cNvPr>
        <xdr:cNvSpPr>
          <a:spLocks noChangeAspect="1"/>
        </xdr:cNvSpPr>
      </xdr:nvSpPr>
      <xdr:spPr>
        <a:xfrm>
          <a:off x="45396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11</xdr:row>
      <xdr:rowOff>93750</xdr:rowOff>
    </xdr:from>
    <xdr:to>
      <xdr:col>6</xdr:col>
      <xdr:colOff>424801</xdr:colOff>
      <xdr:row>16</xdr:row>
      <xdr:rowOff>118501</xdr:rowOff>
    </xdr:to>
    <xdr:sp macro="" textlink="">
      <xdr:nvSpPr>
        <xdr:cNvPr id="244656" name="フリーフォーム: 図形 244655">
          <a:extLst>
            <a:ext uri="{FF2B5EF4-FFF2-40B4-BE49-F238E27FC236}">
              <a16:creationId xmlns:a16="http://schemas.microsoft.com/office/drawing/2014/main" id="{5873F0C5-27E4-40CE-97F8-D8FA21484EE1}"/>
            </a:ext>
          </a:extLst>
        </xdr:cNvPr>
        <xdr:cNvSpPr>
          <a:spLocks noChangeAspect="1"/>
        </xdr:cNvSpPr>
      </xdr:nvSpPr>
      <xdr:spPr>
        <a:xfrm>
          <a:off x="43056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11</xdr:row>
      <xdr:rowOff>75750</xdr:rowOff>
    </xdr:from>
    <xdr:to>
      <xdr:col>6</xdr:col>
      <xdr:colOff>388801</xdr:colOff>
      <xdr:row>16</xdr:row>
      <xdr:rowOff>10501</xdr:rowOff>
    </xdr:to>
    <xdr:sp macro="" textlink="">
      <xdr:nvSpPr>
        <xdr:cNvPr id="244657" name="フリーフォーム: 図形 244656">
          <a:extLst>
            <a:ext uri="{FF2B5EF4-FFF2-40B4-BE49-F238E27FC236}">
              <a16:creationId xmlns:a16="http://schemas.microsoft.com/office/drawing/2014/main" id="{7C57DB00-9FE5-4531-83C0-368CACF46C86}"/>
            </a:ext>
          </a:extLst>
        </xdr:cNvPr>
        <xdr:cNvSpPr>
          <a:spLocks noChangeAspect="1"/>
        </xdr:cNvSpPr>
      </xdr:nvSpPr>
      <xdr:spPr>
        <a:xfrm>
          <a:off x="39816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5</xdr:row>
      <xdr:rowOff>42450</xdr:rowOff>
    </xdr:from>
    <xdr:to>
      <xdr:col>9</xdr:col>
      <xdr:colOff>322201</xdr:colOff>
      <xdr:row>6</xdr:row>
      <xdr:rowOff>15001</xdr:rowOff>
    </xdr:to>
    <xdr:sp macro="" textlink="">
      <xdr:nvSpPr>
        <xdr:cNvPr id="244658" name="フリーフォーム: 図形 244657">
          <a:extLst>
            <a:ext uri="{FF2B5EF4-FFF2-40B4-BE49-F238E27FC236}">
              <a16:creationId xmlns:a16="http://schemas.microsoft.com/office/drawing/2014/main" id="{FD68ED59-9129-4CC2-96FC-9ADA9625A6C4}"/>
            </a:ext>
          </a:extLst>
        </xdr:cNvPr>
        <xdr:cNvSpPr>
          <a:spLocks noChangeAspect="1"/>
        </xdr:cNvSpPr>
      </xdr:nvSpPr>
      <xdr:spPr>
        <a:xfrm>
          <a:off x="60264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5</xdr:row>
      <xdr:rowOff>42450</xdr:rowOff>
    </xdr:from>
    <xdr:to>
      <xdr:col>10</xdr:col>
      <xdr:colOff>176401</xdr:colOff>
      <xdr:row>6</xdr:row>
      <xdr:rowOff>15001</xdr:rowOff>
    </xdr:to>
    <xdr:sp macro="" textlink="">
      <xdr:nvSpPr>
        <xdr:cNvPr id="244659" name="フリーフォーム: 図形 244658">
          <a:extLst>
            <a:ext uri="{FF2B5EF4-FFF2-40B4-BE49-F238E27FC236}">
              <a16:creationId xmlns:a16="http://schemas.microsoft.com/office/drawing/2014/main" id="{0C3B1989-25CD-4595-B47F-006EC68291BC}"/>
            </a:ext>
          </a:extLst>
        </xdr:cNvPr>
        <xdr:cNvSpPr>
          <a:spLocks noChangeAspect="1"/>
        </xdr:cNvSpPr>
      </xdr:nvSpPr>
      <xdr:spPr>
        <a:xfrm>
          <a:off x="65664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5</xdr:row>
      <xdr:rowOff>114450</xdr:rowOff>
    </xdr:from>
    <xdr:to>
      <xdr:col>10</xdr:col>
      <xdr:colOff>248401</xdr:colOff>
      <xdr:row>11</xdr:row>
      <xdr:rowOff>21751</xdr:rowOff>
    </xdr:to>
    <xdr:sp macro="" textlink="">
      <xdr:nvSpPr>
        <xdr:cNvPr id="244660" name="フリーフォーム: 図形 244659">
          <a:extLst>
            <a:ext uri="{FF2B5EF4-FFF2-40B4-BE49-F238E27FC236}">
              <a16:creationId xmlns:a16="http://schemas.microsoft.com/office/drawing/2014/main" id="{91C24710-5D2A-4933-8CB7-8CC5E0A2C14B}"/>
            </a:ext>
          </a:extLst>
        </xdr:cNvPr>
        <xdr:cNvSpPr>
          <a:spLocks noChangeAspect="1"/>
        </xdr:cNvSpPr>
      </xdr:nvSpPr>
      <xdr:spPr>
        <a:xfrm>
          <a:off x="68184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11</xdr:row>
      <xdr:rowOff>75750</xdr:rowOff>
    </xdr:from>
    <xdr:to>
      <xdr:col>10</xdr:col>
      <xdr:colOff>68401</xdr:colOff>
      <xdr:row>16</xdr:row>
      <xdr:rowOff>136501</xdr:rowOff>
    </xdr:to>
    <xdr:sp macro="" textlink="">
      <xdr:nvSpPr>
        <xdr:cNvPr id="244661" name="フリーフォーム: 図形 244660">
          <a:extLst>
            <a:ext uri="{FF2B5EF4-FFF2-40B4-BE49-F238E27FC236}">
              <a16:creationId xmlns:a16="http://schemas.microsoft.com/office/drawing/2014/main" id="{10ED1CE2-692C-4010-A07E-A23361BBAEA2}"/>
            </a:ext>
          </a:extLst>
        </xdr:cNvPr>
        <xdr:cNvSpPr>
          <a:spLocks noChangeAspect="1"/>
        </xdr:cNvSpPr>
      </xdr:nvSpPr>
      <xdr:spPr>
        <a:xfrm>
          <a:off x="66384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16</xdr:row>
      <xdr:rowOff>64500</xdr:rowOff>
    </xdr:from>
    <xdr:to>
      <xdr:col>8</xdr:col>
      <xdr:colOff>684001</xdr:colOff>
      <xdr:row>17</xdr:row>
      <xdr:rowOff>37051</xdr:rowOff>
    </xdr:to>
    <xdr:sp macro="" textlink="">
      <xdr:nvSpPr>
        <xdr:cNvPr id="244662" name="フリーフォーム: 図形 244661">
          <a:extLst>
            <a:ext uri="{FF2B5EF4-FFF2-40B4-BE49-F238E27FC236}">
              <a16:creationId xmlns:a16="http://schemas.microsoft.com/office/drawing/2014/main" id="{E14BB239-0091-4F39-A156-3AD5776DD315}"/>
            </a:ext>
          </a:extLst>
        </xdr:cNvPr>
        <xdr:cNvSpPr>
          <a:spLocks noChangeAspect="1"/>
        </xdr:cNvSpPr>
      </xdr:nvSpPr>
      <xdr:spPr>
        <a:xfrm>
          <a:off x="56844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16</xdr:row>
      <xdr:rowOff>64500</xdr:rowOff>
    </xdr:from>
    <xdr:to>
      <xdr:col>9</xdr:col>
      <xdr:colOff>502201</xdr:colOff>
      <xdr:row>17</xdr:row>
      <xdr:rowOff>37051</xdr:rowOff>
    </xdr:to>
    <xdr:sp macro="" textlink="">
      <xdr:nvSpPr>
        <xdr:cNvPr id="244663" name="フリーフォーム: 図形 244662">
          <a:extLst>
            <a:ext uri="{FF2B5EF4-FFF2-40B4-BE49-F238E27FC236}">
              <a16:creationId xmlns:a16="http://schemas.microsoft.com/office/drawing/2014/main" id="{46A63B00-1D5B-450F-B396-CB2F1DF98EEB}"/>
            </a:ext>
          </a:extLst>
        </xdr:cNvPr>
        <xdr:cNvSpPr>
          <a:spLocks noChangeAspect="1"/>
        </xdr:cNvSpPr>
      </xdr:nvSpPr>
      <xdr:spPr>
        <a:xfrm>
          <a:off x="62064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11</xdr:row>
      <xdr:rowOff>75750</xdr:rowOff>
    </xdr:from>
    <xdr:to>
      <xdr:col>8</xdr:col>
      <xdr:colOff>432001</xdr:colOff>
      <xdr:row>16</xdr:row>
      <xdr:rowOff>136501</xdr:rowOff>
    </xdr:to>
    <xdr:sp macro="" textlink="">
      <xdr:nvSpPr>
        <xdr:cNvPr id="244664" name="フリーフォーム: 図形 244663">
          <a:extLst>
            <a:ext uri="{FF2B5EF4-FFF2-40B4-BE49-F238E27FC236}">
              <a16:creationId xmlns:a16="http://schemas.microsoft.com/office/drawing/2014/main" id="{0431CCC1-6170-4BF3-B1B0-ADB90AAD2883}"/>
            </a:ext>
          </a:extLst>
        </xdr:cNvPr>
        <xdr:cNvSpPr>
          <a:spLocks noChangeAspect="1"/>
        </xdr:cNvSpPr>
      </xdr:nvSpPr>
      <xdr:spPr>
        <a:xfrm>
          <a:off x="56304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5</xdr:row>
      <xdr:rowOff>114450</xdr:rowOff>
    </xdr:from>
    <xdr:to>
      <xdr:col>8</xdr:col>
      <xdr:colOff>576001</xdr:colOff>
      <xdr:row>11</xdr:row>
      <xdr:rowOff>21751</xdr:rowOff>
    </xdr:to>
    <xdr:sp macro="" textlink="">
      <xdr:nvSpPr>
        <xdr:cNvPr id="244665" name="フリーフォーム: 図形 244664">
          <a:extLst>
            <a:ext uri="{FF2B5EF4-FFF2-40B4-BE49-F238E27FC236}">
              <a16:creationId xmlns:a16="http://schemas.microsoft.com/office/drawing/2014/main" id="{5F1972E0-1820-46A0-AB83-17D0E24220BF}"/>
            </a:ext>
          </a:extLst>
        </xdr:cNvPr>
        <xdr:cNvSpPr>
          <a:spLocks noChangeAspect="1"/>
        </xdr:cNvSpPr>
      </xdr:nvSpPr>
      <xdr:spPr>
        <a:xfrm>
          <a:off x="58104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10</xdr:row>
      <xdr:rowOff>139200</xdr:rowOff>
    </xdr:from>
    <xdr:to>
      <xdr:col>9</xdr:col>
      <xdr:colOff>160201</xdr:colOff>
      <xdr:row>11</xdr:row>
      <xdr:rowOff>111751</xdr:rowOff>
    </xdr:to>
    <xdr:sp macro="" textlink="">
      <xdr:nvSpPr>
        <xdr:cNvPr id="244666" name="フリーフォーム: 図形 244665">
          <a:extLst>
            <a:ext uri="{FF2B5EF4-FFF2-40B4-BE49-F238E27FC236}">
              <a16:creationId xmlns:a16="http://schemas.microsoft.com/office/drawing/2014/main" id="{64AFE5F3-2660-40FD-8C15-F11E3440C30D}"/>
            </a:ext>
          </a:extLst>
        </xdr:cNvPr>
        <xdr:cNvSpPr>
          <a:spLocks noChangeAspect="1"/>
        </xdr:cNvSpPr>
      </xdr:nvSpPr>
      <xdr:spPr>
        <a:xfrm>
          <a:off x="58824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10</xdr:row>
      <xdr:rowOff>139200</xdr:rowOff>
    </xdr:from>
    <xdr:to>
      <xdr:col>9</xdr:col>
      <xdr:colOff>664201</xdr:colOff>
      <xdr:row>11</xdr:row>
      <xdr:rowOff>111751</xdr:rowOff>
    </xdr:to>
    <xdr:sp macro="" textlink="">
      <xdr:nvSpPr>
        <xdr:cNvPr id="244667" name="フリーフォーム: 図形 244666">
          <a:extLst>
            <a:ext uri="{FF2B5EF4-FFF2-40B4-BE49-F238E27FC236}">
              <a16:creationId xmlns:a16="http://schemas.microsoft.com/office/drawing/2014/main" id="{5DE73A05-380B-4D09-86E6-604707353EB6}"/>
            </a:ext>
          </a:extLst>
        </xdr:cNvPr>
        <xdr:cNvSpPr>
          <a:spLocks noChangeAspect="1"/>
        </xdr:cNvSpPr>
      </xdr:nvSpPr>
      <xdr:spPr>
        <a:xfrm>
          <a:off x="63864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6</xdr:row>
      <xdr:rowOff>51000</xdr:rowOff>
    </xdr:from>
    <xdr:to>
      <xdr:col>9</xdr:col>
      <xdr:colOff>178201</xdr:colOff>
      <xdr:row>11</xdr:row>
      <xdr:rowOff>3751</xdr:rowOff>
    </xdr:to>
    <xdr:sp macro="" textlink="">
      <xdr:nvSpPr>
        <xdr:cNvPr id="244668" name="フリーフォーム: 図形 244667">
          <a:extLst>
            <a:ext uri="{FF2B5EF4-FFF2-40B4-BE49-F238E27FC236}">
              <a16:creationId xmlns:a16="http://schemas.microsoft.com/office/drawing/2014/main" id="{94F4D28C-6B1A-445E-BCA4-25540A4A9713}"/>
            </a:ext>
          </a:extLst>
        </xdr:cNvPr>
        <xdr:cNvSpPr>
          <a:spLocks noChangeAspect="1"/>
        </xdr:cNvSpPr>
      </xdr:nvSpPr>
      <xdr:spPr>
        <a:xfrm>
          <a:off x="60804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5</xdr:row>
      <xdr:rowOff>114450</xdr:rowOff>
    </xdr:from>
    <xdr:to>
      <xdr:col>9</xdr:col>
      <xdr:colOff>430201</xdr:colOff>
      <xdr:row>10</xdr:row>
      <xdr:rowOff>157201</xdr:rowOff>
    </xdr:to>
    <xdr:sp macro="" textlink="">
      <xdr:nvSpPr>
        <xdr:cNvPr id="244669" name="フリーフォーム: 図形 244668">
          <a:extLst>
            <a:ext uri="{FF2B5EF4-FFF2-40B4-BE49-F238E27FC236}">
              <a16:creationId xmlns:a16="http://schemas.microsoft.com/office/drawing/2014/main" id="{B91CD339-F635-4283-BC1E-28B096DF60C4}"/>
            </a:ext>
          </a:extLst>
        </xdr:cNvPr>
        <xdr:cNvSpPr>
          <a:spLocks noChangeAspect="1"/>
        </xdr:cNvSpPr>
      </xdr:nvSpPr>
      <xdr:spPr>
        <a:xfrm>
          <a:off x="63504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6</xdr:row>
      <xdr:rowOff>69000</xdr:rowOff>
    </xdr:from>
    <xdr:to>
      <xdr:col>10</xdr:col>
      <xdr:colOff>68401</xdr:colOff>
      <xdr:row>11</xdr:row>
      <xdr:rowOff>3751</xdr:rowOff>
    </xdr:to>
    <xdr:sp macro="" textlink="">
      <xdr:nvSpPr>
        <xdr:cNvPr id="244670" name="フリーフォーム: 図形 244669">
          <a:extLst>
            <a:ext uri="{FF2B5EF4-FFF2-40B4-BE49-F238E27FC236}">
              <a16:creationId xmlns:a16="http://schemas.microsoft.com/office/drawing/2014/main" id="{7E774688-CF73-4346-AFF4-858D9474764A}"/>
            </a:ext>
          </a:extLst>
        </xdr:cNvPr>
        <xdr:cNvSpPr>
          <a:spLocks noChangeAspect="1"/>
        </xdr:cNvSpPr>
      </xdr:nvSpPr>
      <xdr:spPr>
        <a:xfrm>
          <a:off x="64044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11</xdr:row>
      <xdr:rowOff>75750</xdr:rowOff>
    </xdr:from>
    <xdr:to>
      <xdr:col>9</xdr:col>
      <xdr:colOff>466201</xdr:colOff>
      <xdr:row>15</xdr:row>
      <xdr:rowOff>163951</xdr:rowOff>
    </xdr:to>
    <xdr:sp macro="" textlink="">
      <xdr:nvSpPr>
        <xdr:cNvPr id="244671" name="フリーフォーム: 図形 244670">
          <a:extLst>
            <a:ext uri="{FF2B5EF4-FFF2-40B4-BE49-F238E27FC236}">
              <a16:creationId xmlns:a16="http://schemas.microsoft.com/office/drawing/2014/main" id="{C87AFAA5-9CAA-47DE-A84E-1F4A0D238DDC}"/>
            </a:ext>
          </a:extLst>
        </xdr:cNvPr>
        <xdr:cNvSpPr>
          <a:spLocks noChangeAspect="1"/>
        </xdr:cNvSpPr>
      </xdr:nvSpPr>
      <xdr:spPr>
        <a:xfrm>
          <a:off x="63684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11</xdr:row>
      <xdr:rowOff>93750</xdr:rowOff>
    </xdr:from>
    <xdr:to>
      <xdr:col>9</xdr:col>
      <xdr:colOff>196201</xdr:colOff>
      <xdr:row>16</xdr:row>
      <xdr:rowOff>118501</xdr:rowOff>
    </xdr:to>
    <xdr:sp macro="" textlink="">
      <xdr:nvSpPr>
        <xdr:cNvPr id="244672" name="フリーフォーム: 図形 244671">
          <a:extLst>
            <a:ext uri="{FF2B5EF4-FFF2-40B4-BE49-F238E27FC236}">
              <a16:creationId xmlns:a16="http://schemas.microsoft.com/office/drawing/2014/main" id="{7B072B31-5E04-4CC1-8562-824838E3001F}"/>
            </a:ext>
          </a:extLst>
        </xdr:cNvPr>
        <xdr:cNvSpPr>
          <a:spLocks noChangeAspect="1"/>
        </xdr:cNvSpPr>
      </xdr:nvSpPr>
      <xdr:spPr>
        <a:xfrm>
          <a:off x="61344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11</xdr:row>
      <xdr:rowOff>75750</xdr:rowOff>
    </xdr:from>
    <xdr:to>
      <xdr:col>9</xdr:col>
      <xdr:colOff>160201</xdr:colOff>
      <xdr:row>16</xdr:row>
      <xdr:rowOff>10501</xdr:rowOff>
    </xdr:to>
    <xdr:sp macro="" textlink="">
      <xdr:nvSpPr>
        <xdr:cNvPr id="244673" name="フリーフォーム: 図形 244672">
          <a:extLst>
            <a:ext uri="{FF2B5EF4-FFF2-40B4-BE49-F238E27FC236}">
              <a16:creationId xmlns:a16="http://schemas.microsoft.com/office/drawing/2014/main" id="{36C22F82-8FD2-4CA5-869C-110BEEE6F8EA}"/>
            </a:ext>
          </a:extLst>
        </xdr:cNvPr>
        <xdr:cNvSpPr>
          <a:spLocks noChangeAspect="1"/>
        </xdr:cNvSpPr>
      </xdr:nvSpPr>
      <xdr:spPr>
        <a:xfrm>
          <a:off x="58104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5</xdr:row>
      <xdr:rowOff>42450</xdr:rowOff>
    </xdr:from>
    <xdr:to>
      <xdr:col>12</xdr:col>
      <xdr:colOff>93601</xdr:colOff>
      <xdr:row>6</xdr:row>
      <xdr:rowOff>15001</xdr:rowOff>
    </xdr:to>
    <xdr:sp macro="" textlink="">
      <xdr:nvSpPr>
        <xdr:cNvPr id="244674" name="フリーフォーム: 図形 244673">
          <a:extLst>
            <a:ext uri="{FF2B5EF4-FFF2-40B4-BE49-F238E27FC236}">
              <a16:creationId xmlns:a16="http://schemas.microsoft.com/office/drawing/2014/main" id="{FD86A1AF-E369-4F4F-AFE7-A43725D29555}"/>
            </a:ext>
          </a:extLst>
        </xdr:cNvPr>
        <xdr:cNvSpPr>
          <a:spLocks noChangeAspect="1"/>
        </xdr:cNvSpPr>
      </xdr:nvSpPr>
      <xdr:spPr>
        <a:xfrm>
          <a:off x="78552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5</xdr:row>
      <xdr:rowOff>42450</xdr:rowOff>
    </xdr:from>
    <xdr:to>
      <xdr:col>12</xdr:col>
      <xdr:colOff>633601</xdr:colOff>
      <xdr:row>6</xdr:row>
      <xdr:rowOff>15001</xdr:rowOff>
    </xdr:to>
    <xdr:sp macro="" textlink="">
      <xdr:nvSpPr>
        <xdr:cNvPr id="244675" name="フリーフォーム: 図形 244674">
          <a:extLst>
            <a:ext uri="{FF2B5EF4-FFF2-40B4-BE49-F238E27FC236}">
              <a16:creationId xmlns:a16="http://schemas.microsoft.com/office/drawing/2014/main" id="{230B3717-CB33-4B2D-B948-F6917DDB6020}"/>
            </a:ext>
          </a:extLst>
        </xdr:cNvPr>
        <xdr:cNvSpPr>
          <a:spLocks noChangeAspect="1"/>
        </xdr:cNvSpPr>
      </xdr:nvSpPr>
      <xdr:spPr>
        <a:xfrm>
          <a:off x="83952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5</xdr:row>
      <xdr:rowOff>114450</xdr:rowOff>
    </xdr:from>
    <xdr:to>
      <xdr:col>13</xdr:col>
      <xdr:colOff>19801</xdr:colOff>
      <xdr:row>11</xdr:row>
      <xdr:rowOff>21751</xdr:rowOff>
    </xdr:to>
    <xdr:sp macro="" textlink="">
      <xdr:nvSpPr>
        <xdr:cNvPr id="244676" name="フリーフォーム: 図形 244675">
          <a:extLst>
            <a:ext uri="{FF2B5EF4-FFF2-40B4-BE49-F238E27FC236}">
              <a16:creationId xmlns:a16="http://schemas.microsoft.com/office/drawing/2014/main" id="{F90007E8-6884-46BD-834C-4CAA078F0C25}"/>
            </a:ext>
          </a:extLst>
        </xdr:cNvPr>
        <xdr:cNvSpPr>
          <a:spLocks noChangeAspect="1"/>
        </xdr:cNvSpPr>
      </xdr:nvSpPr>
      <xdr:spPr>
        <a:xfrm>
          <a:off x="86472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11</xdr:row>
      <xdr:rowOff>75750</xdr:rowOff>
    </xdr:from>
    <xdr:to>
      <xdr:col>12</xdr:col>
      <xdr:colOff>525601</xdr:colOff>
      <xdr:row>16</xdr:row>
      <xdr:rowOff>136501</xdr:rowOff>
    </xdr:to>
    <xdr:sp macro="" textlink="">
      <xdr:nvSpPr>
        <xdr:cNvPr id="244677" name="フリーフォーム: 図形 244676">
          <a:extLst>
            <a:ext uri="{FF2B5EF4-FFF2-40B4-BE49-F238E27FC236}">
              <a16:creationId xmlns:a16="http://schemas.microsoft.com/office/drawing/2014/main" id="{6D1AC4D9-E54C-4962-8800-8BE1D75F5CFD}"/>
            </a:ext>
          </a:extLst>
        </xdr:cNvPr>
        <xdr:cNvSpPr>
          <a:spLocks noChangeAspect="1"/>
        </xdr:cNvSpPr>
      </xdr:nvSpPr>
      <xdr:spPr>
        <a:xfrm>
          <a:off x="84672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16</xdr:row>
      <xdr:rowOff>64500</xdr:rowOff>
    </xdr:from>
    <xdr:to>
      <xdr:col>11</xdr:col>
      <xdr:colOff>455401</xdr:colOff>
      <xdr:row>17</xdr:row>
      <xdr:rowOff>37051</xdr:rowOff>
    </xdr:to>
    <xdr:sp macro="" textlink="">
      <xdr:nvSpPr>
        <xdr:cNvPr id="244678" name="フリーフォーム: 図形 244677">
          <a:extLst>
            <a:ext uri="{FF2B5EF4-FFF2-40B4-BE49-F238E27FC236}">
              <a16:creationId xmlns:a16="http://schemas.microsoft.com/office/drawing/2014/main" id="{3AF58D60-9CA7-433C-BFC3-936704579CD5}"/>
            </a:ext>
          </a:extLst>
        </xdr:cNvPr>
        <xdr:cNvSpPr>
          <a:spLocks noChangeAspect="1"/>
        </xdr:cNvSpPr>
      </xdr:nvSpPr>
      <xdr:spPr>
        <a:xfrm>
          <a:off x="75132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16</xdr:row>
      <xdr:rowOff>64500</xdr:rowOff>
    </xdr:from>
    <xdr:to>
      <xdr:col>12</xdr:col>
      <xdr:colOff>273601</xdr:colOff>
      <xdr:row>17</xdr:row>
      <xdr:rowOff>37051</xdr:rowOff>
    </xdr:to>
    <xdr:sp macro="" textlink="">
      <xdr:nvSpPr>
        <xdr:cNvPr id="244679" name="フリーフォーム: 図形 244678">
          <a:extLst>
            <a:ext uri="{FF2B5EF4-FFF2-40B4-BE49-F238E27FC236}">
              <a16:creationId xmlns:a16="http://schemas.microsoft.com/office/drawing/2014/main" id="{E927301E-876A-4650-BB5A-5F58D9C61B68}"/>
            </a:ext>
          </a:extLst>
        </xdr:cNvPr>
        <xdr:cNvSpPr>
          <a:spLocks noChangeAspect="1"/>
        </xdr:cNvSpPr>
      </xdr:nvSpPr>
      <xdr:spPr>
        <a:xfrm>
          <a:off x="80352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11</xdr:row>
      <xdr:rowOff>75750</xdr:rowOff>
    </xdr:from>
    <xdr:to>
      <xdr:col>11</xdr:col>
      <xdr:colOff>203401</xdr:colOff>
      <xdr:row>16</xdr:row>
      <xdr:rowOff>136501</xdr:rowOff>
    </xdr:to>
    <xdr:sp macro="" textlink="">
      <xdr:nvSpPr>
        <xdr:cNvPr id="244680" name="フリーフォーム: 図形 244679">
          <a:extLst>
            <a:ext uri="{FF2B5EF4-FFF2-40B4-BE49-F238E27FC236}">
              <a16:creationId xmlns:a16="http://schemas.microsoft.com/office/drawing/2014/main" id="{D28DADAE-D8A7-4BD0-B582-675463AB3EDF}"/>
            </a:ext>
          </a:extLst>
        </xdr:cNvPr>
        <xdr:cNvSpPr>
          <a:spLocks noChangeAspect="1"/>
        </xdr:cNvSpPr>
      </xdr:nvSpPr>
      <xdr:spPr>
        <a:xfrm>
          <a:off x="74592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5</xdr:row>
      <xdr:rowOff>114450</xdr:rowOff>
    </xdr:from>
    <xdr:to>
      <xdr:col>11</xdr:col>
      <xdr:colOff>347401</xdr:colOff>
      <xdr:row>11</xdr:row>
      <xdr:rowOff>21751</xdr:rowOff>
    </xdr:to>
    <xdr:sp macro="" textlink="">
      <xdr:nvSpPr>
        <xdr:cNvPr id="244681" name="フリーフォーム: 図形 244680">
          <a:extLst>
            <a:ext uri="{FF2B5EF4-FFF2-40B4-BE49-F238E27FC236}">
              <a16:creationId xmlns:a16="http://schemas.microsoft.com/office/drawing/2014/main" id="{C0407BF0-3321-4754-976A-C056A15302F3}"/>
            </a:ext>
          </a:extLst>
        </xdr:cNvPr>
        <xdr:cNvSpPr>
          <a:spLocks noChangeAspect="1"/>
        </xdr:cNvSpPr>
      </xdr:nvSpPr>
      <xdr:spPr>
        <a:xfrm>
          <a:off x="76392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10</xdr:row>
      <xdr:rowOff>139200</xdr:rowOff>
    </xdr:from>
    <xdr:to>
      <xdr:col>11</xdr:col>
      <xdr:colOff>617401</xdr:colOff>
      <xdr:row>11</xdr:row>
      <xdr:rowOff>111751</xdr:rowOff>
    </xdr:to>
    <xdr:sp macro="" textlink="">
      <xdr:nvSpPr>
        <xdr:cNvPr id="244682" name="フリーフォーム: 図形 244681">
          <a:extLst>
            <a:ext uri="{FF2B5EF4-FFF2-40B4-BE49-F238E27FC236}">
              <a16:creationId xmlns:a16="http://schemas.microsoft.com/office/drawing/2014/main" id="{D83711F1-6AF1-4431-8546-A0A15A330A7C}"/>
            </a:ext>
          </a:extLst>
        </xdr:cNvPr>
        <xdr:cNvSpPr>
          <a:spLocks noChangeAspect="1"/>
        </xdr:cNvSpPr>
      </xdr:nvSpPr>
      <xdr:spPr>
        <a:xfrm>
          <a:off x="77112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10</xdr:row>
      <xdr:rowOff>139200</xdr:rowOff>
    </xdr:from>
    <xdr:to>
      <xdr:col>12</xdr:col>
      <xdr:colOff>435601</xdr:colOff>
      <xdr:row>11</xdr:row>
      <xdr:rowOff>111751</xdr:rowOff>
    </xdr:to>
    <xdr:sp macro="" textlink="">
      <xdr:nvSpPr>
        <xdr:cNvPr id="244683" name="フリーフォーム: 図形 244682">
          <a:extLst>
            <a:ext uri="{FF2B5EF4-FFF2-40B4-BE49-F238E27FC236}">
              <a16:creationId xmlns:a16="http://schemas.microsoft.com/office/drawing/2014/main" id="{60368B65-A2DD-42A8-BAC1-4C7159B9BE9E}"/>
            </a:ext>
          </a:extLst>
        </xdr:cNvPr>
        <xdr:cNvSpPr>
          <a:spLocks noChangeAspect="1"/>
        </xdr:cNvSpPr>
      </xdr:nvSpPr>
      <xdr:spPr>
        <a:xfrm>
          <a:off x="82152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6</xdr:row>
      <xdr:rowOff>51000</xdr:rowOff>
    </xdr:from>
    <xdr:to>
      <xdr:col>11</xdr:col>
      <xdr:colOff>635401</xdr:colOff>
      <xdr:row>11</xdr:row>
      <xdr:rowOff>3751</xdr:rowOff>
    </xdr:to>
    <xdr:sp macro="" textlink="">
      <xdr:nvSpPr>
        <xdr:cNvPr id="244684" name="フリーフォーム: 図形 244683">
          <a:extLst>
            <a:ext uri="{FF2B5EF4-FFF2-40B4-BE49-F238E27FC236}">
              <a16:creationId xmlns:a16="http://schemas.microsoft.com/office/drawing/2014/main" id="{2966D3D8-E128-4E55-80E5-B8BE622F483A}"/>
            </a:ext>
          </a:extLst>
        </xdr:cNvPr>
        <xdr:cNvSpPr>
          <a:spLocks noChangeAspect="1"/>
        </xdr:cNvSpPr>
      </xdr:nvSpPr>
      <xdr:spPr>
        <a:xfrm>
          <a:off x="79092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5</xdr:row>
      <xdr:rowOff>114450</xdr:rowOff>
    </xdr:from>
    <xdr:to>
      <xdr:col>12</xdr:col>
      <xdr:colOff>201601</xdr:colOff>
      <xdr:row>10</xdr:row>
      <xdr:rowOff>157201</xdr:rowOff>
    </xdr:to>
    <xdr:sp macro="" textlink="">
      <xdr:nvSpPr>
        <xdr:cNvPr id="244685" name="フリーフォーム: 図形 244684">
          <a:extLst>
            <a:ext uri="{FF2B5EF4-FFF2-40B4-BE49-F238E27FC236}">
              <a16:creationId xmlns:a16="http://schemas.microsoft.com/office/drawing/2014/main" id="{936FB604-7ECD-469A-803F-3C89392CA8E5}"/>
            </a:ext>
          </a:extLst>
        </xdr:cNvPr>
        <xdr:cNvSpPr>
          <a:spLocks noChangeAspect="1"/>
        </xdr:cNvSpPr>
      </xdr:nvSpPr>
      <xdr:spPr>
        <a:xfrm>
          <a:off x="81792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6</xdr:row>
      <xdr:rowOff>69000</xdr:rowOff>
    </xdr:from>
    <xdr:to>
      <xdr:col>12</xdr:col>
      <xdr:colOff>525601</xdr:colOff>
      <xdr:row>11</xdr:row>
      <xdr:rowOff>3751</xdr:rowOff>
    </xdr:to>
    <xdr:sp macro="" textlink="">
      <xdr:nvSpPr>
        <xdr:cNvPr id="244686" name="フリーフォーム: 図形 244685">
          <a:extLst>
            <a:ext uri="{FF2B5EF4-FFF2-40B4-BE49-F238E27FC236}">
              <a16:creationId xmlns:a16="http://schemas.microsoft.com/office/drawing/2014/main" id="{A8D42776-E6C8-4411-9F2F-12F978209FE9}"/>
            </a:ext>
          </a:extLst>
        </xdr:cNvPr>
        <xdr:cNvSpPr>
          <a:spLocks noChangeAspect="1"/>
        </xdr:cNvSpPr>
      </xdr:nvSpPr>
      <xdr:spPr>
        <a:xfrm>
          <a:off x="82332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11</xdr:row>
      <xdr:rowOff>75750</xdr:rowOff>
    </xdr:from>
    <xdr:to>
      <xdr:col>12</xdr:col>
      <xdr:colOff>237601</xdr:colOff>
      <xdr:row>15</xdr:row>
      <xdr:rowOff>163951</xdr:rowOff>
    </xdr:to>
    <xdr:sp macro="" textlink="">
      <xdr:nvSpPr>
        <xdr:cNvPr id="244687" name="フリーフォーム: 図形 244686">
          <a:extLst>
            <a:ext uri="{FF2B5EF4-FFF2-40B4-BE49-F238E27FC236}">
              <a16:creationId xmlns:a16="http://schemas.microsoft.com/office/drawing/2014/main" id="{17232EDC-C4A2-4959-A10D-A86B1E064F90}"/>
            </a:ext>
          </a:extLst>
        </xdr:cNvPr>
        <xdr:cNvSpPr>
          <a:spLocks noChangeAspect="1"/>
        </xdr:cNvSpPr>
      </xdr:nvSpPr>
      <xdr:spPr>
        <a:xfrm>
          <a:off x="81972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11</xdr:row>
      <xdr:rowOff>93750</xdr:rowOff>
    </xdr:from>
    <xdr:to>
      <xdr:col>11</xdr:col>
      <xdr:colOff>653401</xdr:colOff>
      <xdr:row>16</xdr:row>
      <xdr:rowOff>118501</xdr:rowOff>
    </xdr:to>
    <xdr:sp macro="" textlink="">
      <xdr:nvSpPr>
        <xdr:cNvPr id="244688" name="フリーフォーム: 図形 244687">
          <a:extLst>
            <a:ext uri="{FF2B5EF4-FFF2-40B4-BE49-F238E27FC236}">
              <a16:creationId xmlns:a16="http://schemas.microsoft.com/office/drawing/2014/main" id="{9822459B-1D52-4C41-961F-C4E882812450}"/>
            </a:ext>
          </a:extLst>
        </xdr:cNvPr>
        <xdr:cNvSpPr>
          <a:spLocks noChangeAspect="1"/>
        </xdr:cNvSpPr>
      </xdr:nvSpPr>
      <xdr:spPr>
        <a:xfrm>
          <a:off x="79632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11</xdr:row>
      <xdr:rowOff>75750</xdr:rowOff>
    </xdr:from>
    <xdr:to>
      <xdr:col>11</xdr:col>
      <xdr:colOff>617401</xdr:colOff>
      <xdr:row>16</xdr:row>
      <xdr:rowOff>10501</xdr:rowOff>
    </xdr:to>
    <xdr:sp macro="" textlink="">
      <xdr:nvSpPr>
        <xdr:cNvPr id="244689" name="フリーフォーム: 図形 244688">
          <a:extLst>
            <a:ext uri="{FF2B5EF4-FFF2-40B4-BE49-F238E27FC236}">
              <a16:creationId xmlns:a16="http://schemas.microsoft.com/office/drawing/2014/main" id="{970B5149-84CC-46C8-9913-C4AD9156130B}"/>
            </a:ext>
          </a:extLst>
        </xdr:cNvPr>
        <xdr:cNvSpPr>
          <a:spLocks noChangeAspect="1"/>
        </xdr:cNvSpPr>
      </xdr:nvSpPr>
      <xdr:spPr>
        <a:xfrm>
          <a:off x="76392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5</xdr:row>
      <xdr:rowOff>42450</xdr:rowOff>
    </xdr:from>
    <xdr:to>
      <xdr:col>14</xdr:col>
      <xdr:colOff>550801</xdr:colOff>
      <xdr:row>6</xdr:row>
      <xdr:rowOff>15001</xdr:rowOff>
    </xdr:to>
    <xdr:sp macro="" textlink="">
      <xdr:nvSpPr>
        <xdr:cNvPr id="244690" name="フリーフォーム: 図形 244689">
          <a:extLst>
            <a:ext uri="{FF2B5EF4-FFF2-40B4-BE49-F238E27FC236}">
              <a16:creationId xmlns:a16="http://schemas.microsoft.com/office/drawing/2014/main" id="{590874CB-BBE7-49C9-A93C-59464C7B77EF}"/>
            </a:ext>
          </a:extLst>
        </xdr:cNvPr>
        <xdr:cNvSpPr>
          <a:spLocks noChangeAspect="1"/>
        </xdr:cNvSpPr>
      </xdr:nvSpPr>
      <xdr:spPr>
        <a:xfrm>
          <a:off x="96840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5</xdr:row>
      <xdr:rowOff>42450</xdr:rowOff>
    </xdr:from>
    <xdr:to>
      <xdr:col>15</xdr:col>
      <xdr:colOff>405001</xdr:colOff>
      <xdr:row>6</xdr:row>
      <xdr:rowOff>15001</xdr:rowOff>
    </xdr:to>
    <xdr:sp macro="" textlink="">
      <xdr:nvSpPr>
        <xdr:cNvPr id="244691" name="フリーフォーム: 図形 244690">
          <a:extLst>
            <a:ext uri="{FF2B5EF4-FFF2-40B4-BE49-F238E27FC236}">
              <a16:creationId xmlns:a16="http://schemas.microsoft.com/office/drawing/2014/main" id="{680C4AA2-C32C-45DE-8077-E645E0450036}"/>
            </a:ext>
          </a:extLst>
        </xdr:cNvPr>
        <xdr:cNvSpPr>
          <a:spLocks noChangeAspect="1"/>
        </xdr:cNvSpPr>
      </xdr:nvSpPr>
      <xdr:spPr>
        <a:xfrm>
          <a:off x="102240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5</xdr:row>
      <xdr:rowOff>114450</xdr:rowOff>
    </xdr:from>
    <xdr:to>
      <xdr:col>15</xdr:col>
      <xdr:colOff>477001</xdr:colOff>
      <xdr:row>11</xdr:row>
      <xdr:rowOff>21751</xdr:rowOff>
    </xdr:to>
    <xdr:sp macro="" textlink="">
      <xdr:nvSpPr>
        <xdr:cNvPr id="244692" name="フリーフォーム: 図形 244691">
          <a:extLst>
            <a:ext uri="{FF2B5EF4-FFF2-40B4-BE49-F238E27FC236}">
              <a16:creationId xmlns:a16="http://schemas.microsoft.com/office/drawing/2014/main" id="{A4866882-28E7-4F2A-AD56-D52E8931A462}"/>
            </a:ext>
          </a:extLst>
        </xdr:cNvPr>
        <xdr:cNvSpPr>
          <a:spLocks noChangeAspect="1"/>
        </xdr:cNvSpPr>
      </xdr:nvSpPr>
      <xdr:spPr>
        <a:xfrm>
          <a:off x="104760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11</xdr:row>
      <xdr:rowOff>75750</xdr:rowOff>
    </xdr:from>
    <xdr:to>
      <xdr:col>15</xdr:col>
      <xdr:colOff>297001</xdr:colOff>
      <xdr:row>16</xdr:row>
      <xdr:rowOff>136501</xdr:rowOff>
    </xdr:to>
    <xdr:sp macro="" textlink="">
      <xdr:nvSpPr>
        <xdr:cNvPr id="244693" name="フリーフォーム: 図形 244692">
          <a:extLst>
            <a:ext uri="{FF2B5EF4-FFF2-40B4-BE49-F238E27FC236}">
              <a16:creationId xmlns:a16="http://schemas.microsoft.com/office/drawing/2014/main" id="{33CA18E7-94E2-451E-A697-941740B329BF}"/>
            </a:ext>
          </a:extLst>
        </xdr:cNvPr>
        <xdr:cNvSpPr>
          <a:spLocks noChangeAspect="1"/>
        </xdr:cNvSpPr>
      </xdr:nvSpPr>
      <xdr:spPr>
        <a:xfrm>
          <a:off x="102960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16</xdr:row>
      <xdr:rowOff>64500</xdr:rowOff>
    </xdr:from>
    <xdr:to>
      <xdr:col>14</xdr:col>
      <xdr:colOff>226801</xdr:colOff>
      <xdr:row>17</xdr:row>
      <xdr:rowOff>37051</xdr:rowOff>
    </xdr:to>
    <xdr:sp macro="" textlink="">
      <xdr:nvSpPr>
        <xdr:cNvPr id="244694" name="フリーフォーム: 図形 244693">
          <a:extLst>
            <a:ext uri="{FF2B5EF4-FFF2-40B4-BE49-F238E27FC236}">
              <a16:creationId xmlns:a16="http://schemas.microsoft.com/office/drawing/2014/main" id="{D7892988-D088-48F4-B009-37761B528D8A}"/>
            </a:ext>
          </a:extLst>
        </xdr:cNvPr>
        <xdr:cNvSpPr>
          <a:spLocks noChangeAspect="1"/>
        </xdr:cNvSpPr>
      </xdr:nvSpPr>
      <xdr:spPr>
        <a:xfrm>
          <a:off x="93420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16</xdr:row>
      <xdr:rowOff>64500</xdr:rowOff>
    </xdr:from>
    <xdr:to>
      <xdr:col>15</xdr:col>
      <xdr:colOff>45001</xdr:colOff>
      <xdr:row>17</xdr:row>
      <xdr:rowOff>37051</xdr:rowOff>
    </xdr:to>
    <xdr:sp macro="" textlink="">
      <xdr:nvSpPr>
        <xdr:cNvPr id="244695" name="フリーフォーム: 図形 244694">
          <a:extLst>
            <a:ext uri="{FF2B5EF4-FFF2-40B4-BE49-F238E27FC236}">
              <a16:creationId xmlns:a16="http://schemas.microsoft.com/office/drawing/2014/main" id="{F8D0FD04-96EF-4418-B9A3-2697B589BD20}"/>
            </a:ext>
          </a:extLst>
        </xdr:cNvPr>
        <xdr:cNvSpPr>
          <a:spLocks noChangeAspect="1"/>
        </xdr:cNvSpPr>
      </xdr:nvSpPr>
      <xdr:spPr>
        <a:xfrm>
          <a:off x="98640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11</xdr:row>
      <xdr:rowOff>75750</xdr:rowOff>
    </xdr:from>
    <xdr:to>
      <xdr:col>13</xdr:col>
      <xdr:colOff>660601</xdr:colOff>
      <xdr:row>16</xdr:row>
      <xdr:rowOff>136501</xdr:rowOff>
    </xdr:to>
    <xdr:sp macro="" textlink="">
      <xdr:nvSpPr>
        <xdr:cNvPr id="244696" name="フリーフォーム: 図形 244695">
          <a:extLst>
            <a:ext uri="{FF2B5EF4-FFF2-40B4-BE49-F238E27FC236}">
              <a16:creationId xmlns:a16="http://schemas.microsoft.com/office/drawing/2014/main" id="{67DEC17E-1546-464E-A257-1716EA47C745}"/>
            </a:ext>
          </a:extLst>
        </xdr:cNvPr>
        <xdr:cNvSpPr>
          <a:spLocks noChangeAspect="1"/>
        </xdr:cNvSpPr>
      </xdr:nvSpPr>
      <xdr:spPr>
        <a:xfrm>
          <a:off x="92880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5</xdr:row>
      <xdr:rowOff>114450</xdr:rowOff>
    </xdr:from>
    <xdr:to>
      <xdr:col>14</xdr:col>
      <xdr:colOff>118801</xdr:colOff>
      <xdr:row>11</xdr:row>
      <xdr:rowOff>21751</xdr:rowOff>
    </xdr:to>
    <xdr:sp macro="" textlink="">
      <xdr:nvSpPr>
        <xdr:cNvPr id="244697" name="フリーフォーム: 図形 244696">
          <a:extLst>
            <a:ext uri="{FF2B5EF4-FFF2-40B4-BE49-F238E27FC236}">
              <a16:creationId xmlns:a16="http://schemas.microsoft.com/office/drawing/2014/main" id="{A5D21DE2-807C-4323-B498-7FE72F07560C}"/>
            </a:ext>
          </a:extLst>
        </xdr:cNvPr>
        <xdr:cNvSpPr>
          <a:spLocks noChangeAspect="1"/>
        </xdr:cNvSpPr>
      </xdr:nvSpPr>
      <xdr:spPr>
        <a:xfrm>
          <a:off x="94680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10</xdr:row>
      <xdr:rowOff>139200</xdr:rowOff>
    </xdr:from>
    <xdr:to>
      <xdr:col>14</xdr:col>
      <xdr:colOff>388801</xdr:colOff>
      <xdr:row>11</xdr:row>
      <xdr:rowOff>111751</xdr:rowOff>
    </xdr:to>
    <xdr:sp macro="" textlink="">
      <xdr:nvSpPr>
        <xdr:cNvPr id="244698" name="フリーフォーム: 図形 244697">
          <a:extLst>
            <a:ext uri="{FF2B5EF4-FFF2-40B4-BE49-F238E27FC236}">
              <a16:creationId xmlns:a16="http://schemas.microsoft.com/office/drawing/2014/main" id="{FABEAD54-B133-4121-B47A-2D9C9C361B8A}"/>
            </a:ext>
          </a:extLst>
        </xdr:cNvPr>
        <xdr:cNvSpPr>
          <a:spLocks noChangeAspect="1"/>
        </xdr:cNvSpPr>
      </xdr:nvSpPr>
      <xdr:spPr>
        <a:xfrm>
          <a:off x="95400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10</xdr:row>
      <xdr:rowOff>139200</xdr:rowOff>
    </xdr:from>
    <xdr:to>
      <xdr:col>15</xdr:col>
      <xdr:colOff>207001</xdr:colOff>
      <xdr:row>11</xdr:row>
      <xdr:rowOff>111751</xdr:rowOff>
    </xdr:to>
    <xdr:sp macro="" textlink="">
      <xdr:nvSpPr>
        <xdr:cNvPr id="244699" name="フリーフォーム: 図形 244698">
          <a:extLst>
            <a:ext uri="{FF2B5EF4-FFF2-40B4-BE49-F238E27FC236}">
              <a16:creationId xmlns:a16="http://schemas.microsoft.com/office/drawing/2014/main" id="{13FAEF32-86E3-4628-A032-8EE136145097}"/>
            </a:ext>
          </a:extLst>
        </xdr:cNvPr>
        <xdr:cNvSpPr>
          <a:spLocks noChangeAspect="1"/>
        </xdr:cNvSpPr>
      </xdr:nvSpPr>
      <xdr:spPr>
        <a:xfrm>
          <a:off x="100440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6</xdr:row>
      <xdr:rowOff>51000</xdr:rowOff>
    </xdr:from>
    <xdr:to>
      <xdr:col>14</xdr:col>
      <xdr:colOff>406801</xdr:colOff>
      <xdr:row>11</xdr:row>
      <xdr:rowOff>3751</xdr:rowOff>
    </xdr:to>
    <xdr:sp macro="" textlink="">
      <xdr:nvSpPr>
        <xdr:cNvPr id="244700" name="フリーフォーム: 図形 244699">
          <a:extLst>
            <a:ext uri="{FF2B5EF4-FFF2-40B4-BE49-F238E27FC236}">
              <a16:creationId xmlns:a16="http://schemas.microsoft.com/office/drawing/2014/main" id="{6F06A848-703D-4F79-96C9-1B3D241AF335}"/>
            </a:ext>
          </a:extLst>
        </xdr:cNvPr>
        <xdr:cNvSpPr>
          <a:spLocks noChangeAspect="1"/>
        </xdr:cNvSpPr>
      </xdr:nvSpPr>
      <xdr:spPr>
        <a:xfrm>
          <a:off x="97380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5</xdr:row>
      <xdr:rowOff>114450</xdr:rowOff>
    </xdr:from>
    <xdr:to>
      <xdr:col>14</xdr:col>
      <xdr:colOff>658801</xdr:colOff>
      <xdr:row>10</xdr:row>
      <xdr:rowOff>157201</xdr:rowOff>
    </xdr:to>
    <xdr:sp macro="" textlink="">
      <xdr:nvSpPr>
        <xdr:cNvPr id="244701" name="フリーフォーム: 図形 244700">
          <a:extLst>
            <a:ext uri="{FF2B5EF4-FFF2-40B4-BE49-F238E27FC236}">
              <a16:creationId xmlns:a16="http://schemas.microsoft.com/office/drawing/2014/main" id="{695E615C-8BA5-4D7A-BA4C-8BFE23514DEC}"/>
            </a:ext>
          </a:extLst>
        </xdr:cNvPr>
        <xdr:cNvSpPr>
          <a:spLocks noChangeAspect="1"/>
        </xdr:cNvSpPr>
      </xdr:nvSpPr>
      <xdr:spPr>
        <a:xfrm>
          <a:off x="100080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6</xdr:row>
      <xdr:rowOff>69000</xdr:rowOff>
    </xdr:from>
    <xdr:to>
      <xdr:col>15</xdr:col>
      <xdr:colOff>297001</xdr:colOff>
      <xdr:row>11</xdr:row>
      <xdr:rowOff>3751</xdr:rowOff>
    </xdr:to>
    <xdr:sp macro="" textlink="">
      <xdr:nvSpPr>
        <xdr:cNvPr id="244702" name="フリーフォーム: 図形 244701">
          <a:extLst>
            <a:ext uri="{FF2B5EF4-FFF2-40B4-BE49-F238E27FC236}">
              <a16:creationId xmlns:a16="http://schemas.microsoft.com/office/drawing/2014/main" id="{B23D1A67-C2C6-4FDC-A6E3-EFD8CECC8902}"/>
            </a:ext>
          </a:extLst>
        </xdr:cNvPr>
        <xdr:cNvSpPr>
          <a:spLocks noChangeAspect="1"/>
        </xdr:cNvSpPr>
      </xdr:nvSpPr>
      <xdr:spPr>
        <a:xfrm>
          <a:off x="100620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11</xdr:row>
      <xdr:rowOff>75750</xdr:rowOff>
    </xdr:from>
    <xdr:to>
      <xdr:col>15</xdr:col>
      <xdr:colOff>9001</xdr:colOff>
      <xdr:row>15</xdr:row>
      <xdr:rowOff>163951</xdr:rowOff>
    </xdr:to>
    <xdr:sp macro="" textlink="">
      <xdr:nvSpPr>
        <xdr:cNvPr id="244703" name="フリーフォーム: 図形 244702">
          <a:extLst>
            <a:ext uri="{FF2B5EF4-FFF2-40B4-BE49-F238E27FC236}">
              <a16:creationId xmlns:a16="http://schemas.microsoft.com/office/drawing/2014/main" id="{5F44FD83-C272-4E58-826D-715B57084C87}"/>
            </a:ext>
          </a:extLst>
        </xdr:cNvPr>
        <xdr:cNvSpPr>
          <a:spLocks noChangeAspect="1"/>
        </xdr:cNvSpPr>
      </xdr:nvSpPr>
      <xdr:spPr>
        <a:xfrm>
          <a:off x="100260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11</xdr:row>
      <xdr:rowOff>93750</xdr:rowOff>
    </xdr:from>
    <xdr:to>
      <xdr:col>14</xdr:col>
      <xdr:colOff>424801</xdr:colOff>
      <xdr:row>16</xdr:row>
      <xdr:rowOff>118501</xdr:rowOff>
    </xdr:to>
    <xdr:sp macro="" textlink="">
      <xdr:nvSpPr>
        <xdr:cNvPr id="244704" name="フリーフォーム: 図形 244703">
          <a:extLst>
            <a:ext uri="{FF2B5EF4-FFF2-40B4-BE49-F238E27FC236}">
              <a16:creationId xmlns:a16="http://schemas.microsoft.com/office/drawing/2014/main" id="{8363E6D8-CAB7-4530-9223-48E793B07A83}"/>
            </a:ext>
          </a:extLst>
        </xdr:cNvPr>
        <xdr:cNvSpPr>
          <a:spLocks noChangeAspect="1"/>
        </xdr:cNvSpPr>
      </xdr:nvSpPr>
      <xdr:spPr>
        <a:xfrm>
          <a:off x="97920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11</xdr:row>
      <xdr:rowOff>75750</xdr:rowOff>
    </xdr:from>
    <xdr:to>
      <xdr:col>14</xdr:col>
      <xdr:colOff>388801</xdr:colOff>
      <xdr:row>16</xdr:row>
      <xdr:rowOff>10501</xdr:rowOff>
    </xdr:to>
    <xdr:sp macro="" textlink="">
      <xdr:nvSpPr>
        <xdr:cNvPr id="244705" name="フリーフォーム: 図形 244704">
          <a:extLst>
            <a:ext uri="{FF2B5EF4-FFF2-40B4-BE49-F238E27FC236}">
              <a16:creationId xmlns:a16="http://schemas.microsoft.com/office/drawing/2014/main" id="{8304C8AC-151D-4578-8E19-300EF78779A9}"/>
            </a:ext>
          </a:extLst>
        </xdr:cNvPr>
        <xdr:cNvSpPr>
          <a:spLocks noChangeAspect="1"/>
        </xdr:cNvSpPr>
      </xdr:nvSpPr>
      <xdr:spPr>
        <a:xfrm>
          <a:off x="94680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5</xdr:row>
      <xdr:rowOff>42450</xdr:rowOff>
    </xdr:from>
    <xdr:to>
      <xdr:col>17</xdr:col>
      <xdr:colOff>322201</xdr:colOff>
      <xdr:row>6</xdr:row>
      <xdr:rowOff>15001</xdr:rowOff>
    </xdr:to>
    <xdr:sp macro="" textlink="">
      <xdr:nvSpPr>
        <xdr:cNvPr id="244706" name="フリーフォーム: 図形 244705">
          <a:extLst>
            <a:ext uri="{FF2B5EF4-FFF2-40B4-BE49-F238E27FC236}">
              <a16:creationId xmlns:a16="http://schemas.microsoft.com/office/drawing/2014/main" id="{60FD2610-3835-455B-832C-CFFDBA1DACC2}"/>
            </a:ext>
          </a:extLst>
        </xdr:cNvPr>
        <xdr:cNvSpPr>
          <a:spLocks noChangeAspect="1"/>
        </xdr:cNvSpPr>
      </xdr:nvSpPr>
      <xdr:spPr>
        <a:xfrm>
          <a:off x="11512800" y="11664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5</xdr:row>
      <xdr:rowOff>42450</xdr:rowOff>
    </xdr:from>
    <xdr:to>
      <xdr:col>18</xdr:col>
      <xdr:colOff>176401</xdr:colOff>
      <xdr:row>6</xdr:row>
      <xdr:rowOff>15001</xdr:rowOff>
    </xdr:to>
    <xdr:sp macro="" textlink="">
      <xdr:nvSpPr>
        <xdr:cNvPr id="244707" name="フリーフォーム: 図形 244706">
          <a:extLst>
            <a:ext uri="{FF2B5EF4-FFF2-40B4-BE49-F238E27FC236}">
              <a16:creationId xmlns:a16="http://schemas.microsoft.com/office/drawing/2014/main" id="{7A0A6C84-1876-426C-97B9-D56F147FD538}"/>
            </a:ext>
          </a:extLst>
        </xdr:cNvPr>
        <xdr:cNvSpPr>
          <a:spLocks noChangeAspect="1"/>
        </xdr:cNvSpPr>
      </xdr:nvSpPr>
      <xdr:spPr>
        <a:xfrm>
          <a:off x="12052800" y="11664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5</xdr:row>
      <xdr:rowOff>114450</xdr:rowOff>
    </xdr:from>
    <xdr:to>
      <xdr:col>18</xdr:col>
      <xdr:colOff>248401</xdr:colOff>
      <xdr:row>11</xdr:row>
      <xdr:rowOff>21751</xdr:rowOff>
    </xdr:to>
    <xdr:sp macro="" textlink="">
      <xdr:nvSpPr>
        <xdr:cNvPr id="244708" name="フリーフォーム: 図形 244707">
          <a:extLst>
            <a:ext uri="{FF2B5EF4-FFF2-40B4-BE49-F238E27FC236}">
              <a16:creationId xmlns:a16="http://schemas.microsoft.com/office/drawing/2014/main" id="{D618F15F-FFCE-4B1B-A799-FD567D6C0AB4}"/>
            </a:ext>
          </a:extLst>
        </xdr:cNvPr>
        <xdr:cNvSpPr>
          <a:spLocks noChangeAspect="1"/>
        </xdr:cNvSpPr>
      </xdr:nvSpPr>
      <xdr:spPr>
        <a:xfrm>
          <a:off x="12304800" y="12384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11</xdr:row>
      <xdr:rowOff>75750</xdr:rowOff>
    </xdr:from>
    <xdr:to>
      <xdr:col>18</xdr:col>
      <xdr:colOff>68401</xdr:colOff>
      <xdr:row>16</xdr:row>
      <xdr:rowOff>136501</xdr:rowOff>
    </xdr:to>
    <xdr:sp macro="" textlink="">
      <xdr:nvSpPr>
        <xdr:cNvPr id="244709" name="フリーフォーム: 図形 244708">
          <a:extLst>
            <a:ext uri="{FF2B5EF4-FFF2-40B4-BE49-F238E27FC236}">
              <a16:creationId xmlns:a16="http://schemas.microsoft.com/office/drawing/2014/main" id="{61A4DB77-DE9A-449C-B86B-1912E51F422E}"/>
            </a:ext>
          </a:extLst>
        </xdr:cNvPr>
        <xdr:cNvSpPr>
          <a:spLocks noChangeAspect="1"/>
        </xdr:cNvSpPr>
      </xdr:nvSpPr>
      <xdr:spPr>
        <a:xfrm>
          <a:off x="12124800" y="22284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16</xdr:row>
      <xdr:rowOff>64500</xdr:rowOff>
    </xdr:from>
    <xdr:to>
      <xdr:col>16</xdr:col>
      <xdr:colOff>684001</xdr:colOff>
      <xdr:row>17</xdr:row>
      <xdr:rowOff>37051</xdr:rowOff>
    </xdr:to>
    <xdr:sp macro="" textlink="">
      <xdr:nvSpPr>
        <xdr:cNvPr id="244710" name="フリーフォーム: 図形 244709">
          <a:extLst>
            <a:ext uri="{FF2B5EF4-FFF2-40B4-BE49-F238E27FC236}">
              <a16:creationId xmlns:a16="http://schemas.microsoft.com/office/drawing/2014/main" id="{4BB2F4C7-33AD-499D-A7C1-4833B21AD287}"/>
            </a:ext>
          </a:extLst>
        </xdr:cNvPr>
        <xdr:cNvSpPr>
          <a:spLocks noChangeAspect="1"/>
        </xdr:cNvSpPr>
      </xdr:nvSpPr>
      <xdr:spPr>
        <a:xfrm>
          <a:off x="11170800" y="3074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16</xdr:row>
      <xdr:rowOff>64500</xdr:rowOff>
    </xdr:from>
    <xdr:to>
      <xdr:col>17</xdr:col>
      <xdr:colOff>502201</xdr:colOff>
      <xdr:row>17</xdr:row>
      <xdr:rowOff>37051</xdr:rowOff>
    </xdr:to>
    <xdr:sp macro="" textlink="">
      <xdr:nvSpPr>
        <xdr:cNvPr id="244711" name="フリーフォーム: 図形 244710">
          <a:extLst>
            <a:ext uri="{FF2B5EF4-FFF2-40B4-BE49-F238E27FC236}">
              <a16:creationId xmlns:a16="http://schemas.microsoft.com/office/drawing/2014/main" id="{28D17AFD-A2A9-4B02-9B3C-49AD8BFCE840}"/>
            </a:ext>
          </a:extLst>
        </xdr:cNvPr>
        <xdr:cNvSpPr>
          <a:spLocks noChangeAspect="1"/>
        </xdr:cNvSpPr>
      </xdr:nvSpPr>
      <xdr:spPr>
        <a:xfrm>
          <a:off x="11692800" y="3074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11</xdr:row>
      <xdr:rowOff>75750</xdr:rowOff>
    </xdr:from>
    <xdr:to>
      <xdr:col>16</xdr:col>
      <xdr:colOff>432001</xdr:colOff>
      <xdr:row>16</xdr:row>
      <xdr:rowOff>136501</xdr:rowOff>
    </xdr:to>
    <xdr:sp macro="" textlink="">
      <xdr:nvSpPr>
        <xdr:cNvPr id="244712" name="フリーフォーム: 図形 244711">
          <a:extLst>
            <a:ext uri="{FF2B5EF4-FFF2-40B4-BE49-F238E27FC236}">
              <a16:creationId xmlns:a16="http://schemas.microsoft.com/office/drawing/2014/main" id="{9CDBAB35-6C04-4279-A9F8-B55DF11C0C67}"/>
            </a:ext>
          </a:extLst>
        </xdr:cNvPr>
        <xdr:cNvSpPr>
          <a:spLocks noChangeAspect="1"/>
        </xdr:cNvSpPr>
      </xdr:nvSpPr>
      <xdr:spPr>
        <a:xfrm>
          <a:off x="11116800" y="22284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5</xdr:row>
      <xdr:rowOff>114450</xdr:rowOff>
    </xdr:from>
    <xdr:to>
      <xdr:col>16</xdr:col>
      <xdr:colOff>576001</xdr:colOff>
      <xdr:row>11</xdr:row>
      <xdr:rowOff>21751</xdr:rowOff>
    </xdr:to>
    <xdr:sp macro="" textlink="">
      <xdr:nvSpPr>
        <xdr:cNvPr id="244713" name="フリーフォーム: 図形 244712">
          <a:extLst>
            <a:ext uri="{FF2B5EF4-FFF2-40B4-BE49-F238E27FC236}">
              <a16:creationId xmlns:a16="http://schemas.microsoft.com/office/drawing/2014/main" id="{F794D952-4B4A-4096-A1F6-538DDE56C9A4}"/>
            </a:ext>
          </a:extLst>
        </xdr:cNvPr>
        <xdr:cNvSpPr>
          <a:spLocks noChangeAspect="1"/>
        </xdr:cNvSpPr>
      </xdr:nvSpPr>
      <xdr:spPr>
        <a:xfrm>
          <a:off x="11296800" y="12384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10</xdr:row>
      <xdr:rowOff>139200</xdr:rowOff>
    </xdr:from>
    <xdr:to>
      <xdr:col>17</xdr:col>
      <xdr:colOff>160201</xdr:colOff>
      <xdr:row>11</xdr:row>
      <xdr:rowOff>111751</xdr:rowOff>
    </xdr:to>
    <xdr:sp macro="" textlink="">
      <xdr:nvSpPr>
        <xdr:cNvPr id="244714" name="フリーフォーム: 図形 244713">
          <a:extLst>
            <a:ext uri="{FF2B5EF4-FFF2-40B4-BE49-F238E27FC236}">
              <a16:creationId xmlns:a16="http://schemas.microsoft.com/office/drawing/2014/main" id="{8536D9CD-005C-4FBF-AF33-99771359D6B0}"/>
            </a:ext>
          </a:extLst>
        </xdr:cNvPr>
        <xdr:cNvSpPr>
          <a:spLocks noChangeAspect="1"/>
        </xdr:cNvSpPr>
      </xdr:nvSpPr>
      <xdr:spPr>
        <a:xfrm>
          <a:off x="11368800" y="21204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10</xdr:row>
      <xdr:rowOff>139200</xdr:rowOff>
    </xdr:from>
    <xdr:to>
      <xdr:col>17</xdr:col>
      <xdr:colOff>664201</xdr:colOff>
      <xdr:row>11</xdr:row>
      <xdr:rowOff>111751</xdr:rowOff>
    </xdr:to>
    <xdr:sp macro="" textlink="">
      <xdr:nvSpPr>
        <xdr:cNvPr id="244715" name="フリーフォーム: 図形 244714">
          <a:extLst>
            <a:ext uri="{FF2B5EF4-FFF2-40B4-BE49-F238E27FC236}">
              <a16:creationId xmlns:a16="http://schemas.microsoft.com/office/drawing/2014/main" id="{09565238-5820-4777-BB36-44CD6CF0D21A}"/>
            </a:ext>
          </a:extLst>
        </xdr:cNvPr>
        <xdr:cNvSpPr>
          <a:spLocks noChangeAspect="1"/>
        </xdr:cNvSpPr>
      </xdr:nvSpPr>
      <xdr:spPr>
        <a:xfrm>
          <a:off x="11872800" y="21204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6</xdr:row>
      <xdr:rowOff>51000</xdr:rowOff>
    </xdr:from>
    <xdr:to>
      <xdr:col>17</xdr:col>
      <xdr:colOff>178201</xdr:colOff>
      <xdr:row>11</xdr:row>
      <xdr:rowOff>3751</xdr:rowOff>
    </xdr:to>
    <xdr:sp macro="" textlink="">
      <xdr:nvSpPr>
        <xdr:cNvPr id="244716" name="フリーフォーム: 図形 244715">
          <a:extLst>
            <a:ext uri="{FF2B5EF4-FFF2-40B4-BE49-F238E27FC236}">
              <a16:creationId xmlns:a16="http://schemas.microsoft.com/office/drawing/2014/main" id="{3803A315-1BE3-47F2-8C07-A586A77115BF}"/>
            </a:ext>
          </a:extLst>
        </xdr:cNvPr>
        <xdr:cNvSpPr>
          <a:spLocks noChangeAspect="1"/>
        </xdr:cNvSpPr>
      </xdr:nvSpPr>
      <xdr:spPr>
        <a:xfrm>
          <a:off x="11566800" y="13464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5</xdr:row>
      <xdr:rowOff>114450</xdr:rowOff>
    </xdr:from>
    <xdr:to>
      <xdr:col>17</xdr:col>
      <xdr:colOff>430201</xdr:colOff>
      <xdr:row>10</xdr:row>
      <xdr:rowOff>157201</xdr:rowOff>
    </xdr:to>
    <xdr:sp macro="" textlink="">
      <xdr:nvSpPr>
        <xdr:cNvPr id="244717" name="フリーフォーム: 図形 244716">
          <a:extLst>
            <a:ext uri="{FF2B5EF4-FFF2-40B4-BE49-F238E27FC236}">
              <a16:creationId xmlns:a16="http://schemas.microsoft.com/office/drawing/2014/main" id="{B2F14B13-909E-4FDD-B3C9-9BB84E6D5435}"/>
            </a:ext>
          </a:extLst>
        </xdr:cNvPr>
        <xdr:cNvSpPr>
          <a:spLocks noChangeAspect="1"/>
        </xdr:cNvSpPr>
      </xdr:nvSpPr>
      <xdr:spPr>
        <a:xfrm>
          <a:off x="118368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6</xdr:row>
      <xdr:rowOff>69000</xdr:rowOff>
    </xdr:from>
    <xdr:to>
      <xdr:col>18</xdr:col>
      <xdr:colOff>68401</xdr:colOff>
      <xdr:row>11</xdr:row>
      <xdr:rowOff>3751</xdr:rowOff>
    </xdr:to>
    <xdr:sp macro="" textlink="">
      <xdr:nvSpPr>
        <xdr:cNvPr id="244718" name="フリーフォーム: 図形 244717">
          <a:extLst>
            <a:ext uri="{FF2B5EF4-FFF2-40B4-BE49-F238E27FC236}">
              <a16:creationId xmlns:a16="http://schemas.microsoft.com/office/drawing/2014/main" id="{5EE3C5E0-3353-4355-84FD-4B6B212D415B}"/>
            </a:ext>
          </a:extLst>
        </xdr:cNvPr>
        <xdr:cNvSpPr>
          <a:spLocks noChangeAspect="1"/>
        </xdr:cNvSpPr>
      </xdr:nvSpPr>
      <xdr:spPr>
        <a:xfrm>
          <a:off x="118908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11</xdr:row>
      <xdr:rowOff>75750</xdr:rowOff>
    </xdr:from>
    <xdr:to>
      <xdr:col>17</xdr:col>
      <xdr:colOff>466201</xdr:colOff>
      <xdr:row>15</xdr:row>
      <xdr:rowOff>163951</xdr:rowOff>
    </xdr:to>
    <xdr:sp macro="" textlink="">
      <xdr:nvSpPr>
        <xdr:cNvPr id="244719" name="フリーフォーム: 図形 244718">
          <a:extLst>
            <a:ext uri="{FF2B5EF4-FFF2-40B4-BE49-F238E27FC236}">
              <a16:creationId xmlns:a16="http://schemas.microsoft.com/office/drawing/2014/main" id="{40A81A28-06A3-4A95-A5F0-A4C20DF3FA11}"/>
            </a:ext>
          </a:extLst>
        </xdr:cNvPr>
        <xdr:cNvSpPr>
          <a:spLocks noChangeAspect="1"/>
        </xdr:cNvSpPr>
      </xdr:nvSpPr>
      <xdr:spPr>
        <a:xfrm>
          <a:off x="11854800" y="22284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11</xdr:row>
      <xdr:rowOff>93750</xdr:rowOff>
    </xdr:from>
    <xdr:to>
      <xdr:col>17</xdr:col>
      <xdr:colOff>196201</xdr:colOff>
      <xdr:row>16</xdr:row>
      <xdr:rowOff>118501</xdr:rowOff>
    </xdr:to>
    <xdr:sp macro="" textlink="">
      <xdr:nvSpPr>
        <xdr:cNvPr id="244720" name="フリーフォーム: 図形 244719">
          <a:extLst>
            <a:ext uri="{FF2B5EF4-FFF2-40B4-BE49-F238E27FC236}">
              <a16:creationId xmlns:a16="http://schemas.microsoft.com/office/drawing/2014/main" id="{BA56CD58-0DBE-441A-BB85-78EBFD0174CA}"/>
            </a:ext>
          </a:extLst>
        </xdr:cNvPr>
        <xdr:cNvSpPr>
          <a:spLocks noChangeAspect="1"/>
        </xdr:cNvSpPr>
      </xdr:nvSpPr>
      <xdr:spPr>
        <a:xfrm>
          <a:off x="11620800" y="22464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11</xdr:row>
      <xdr:rowOff>75750</xdr:rowOff>
    </xdr:from>
    <xdr:to>
      <xdr:col>17</xdr:col>
      <xdr:colOff>160201</xdr:colOff>
      <xdr:row>16</xdr:row>
      <xdr:rowOff>10501</xdr:rowOff>
    </xdr:to>
    <xdr:sp macro="" textlink="">
      <xdr:nvSpPr>
        <xdr:cNvPr id="244721" name="フリーフォーム: 図形 244720">
          <a:extLst>
            <a:ext uri="{FF2B5EF4-FFF2-40B4-BE49-F238E27FC236}">
              <a16:creationId xmlns:a16="http://schemas.microsoft.com/office/drawing/2014/main" id="{A343091D-61D1-4DE3-A46A-B6E53D906A4A}"/>
            </a:ext>
          </a:extLst>
        </xdr:cNvPr>
        <xdr:cNvSpPr>
          <a:spLocks noChangeAspect="1"/>
        </xdr:cNvSpPr>
      </xdr:nvSpPr>
      <xdr:spPr>
        <a:xfrm>
          <a:off x="11296800" y="22284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5</xdr:row>
      <xdr:rowOff>42450</xdr:rowOff>
    </xdr:from>
    <xdr:to>
      <xdr:col>20</xdr:col>
      <xdr:colOff>93601</xdr:colOff>
      <xdr:row>6</xdr:row>
      <xdr:rowOff>15001</xdr:rowOff>
    </xdr:to>
    <xdr:sp macro="" textlink="">
      <xdr:nvSpPr>
        <xdr:cNvPr id="244722" name="フリーフォーム: 図形 244721">
          <a:extLst>
            <a:ext uri="{FF2B5EF4-FFF2-40B4-BE49-F238E27FC236}">
              <a16:creationId xmlns:a16="http://schemas.microsoft.com/office/drawing/2014/main" id="{8365AE79-5C3D-4BEC-9E1B-11BD569D2C40}"/>
            </a:ext>
          </a:extLst>
        </xdr:cNvPr>
        <xdr:cNvSpPr>
          <a:spLocks noChangeAspect="1"/>
        </xdr:cNvSpPr>
      </xdr:nvSpPr>
      <xdr:spPr>
        <a:xfrm>
          <a:off x="133416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5</xdr:row>
      <xdr:rowOff>42450</xdr:rowOff>
    </xdr:from>
    <xdr:to>
      <xdr:col>20</xdr:col>
      <xdr:colOff>633601</xdr:colOff>
      <xdr:row>6</xdr:row>
      <xdr:rowOff>15001</xdr:rowOff>
    </xdr:to>
    <xdr:sp macro="" textlink="">
      <xdr:nvSpPr>
        <xdr:cNvPr id="244723" name="フリーフォーム: 図形 244722">
          <a:extLst>
            <a:ext uri="{FF2B5EF4-FFF2-40B4-BE49-F238E27FC236}">
              <a16:creationId xmlns:a16="http://schemas.microsoft.com/office/drawing/2014/main" id="{54BFAD73-20CA-4E3B-B7C3-D5C64BE20D47}"/>
            </a:ext>
          </a:extLst>
        </xdr:cNvPr>
        <xdr:cNvSpPr>
          <a:spLocks noChangeAspect="1"/>
        </xdr:cNvSpPr>
      </xdr:nvSpPr>
      <xdr:spPr>
        <a:xfrm>
          <a:off x="138816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5</xdr:row>
      <xdr:rowOff>114450</xdr:rowOff>
    </xdr:from>
    <xdr:to>
      <xdr:col>21</xdr:col>
      <xdr:colOff>19801</xdr:colOff>
      <xdr:row>11</xdr:row>
      <xdr:rowOff>21751</xdr:rowOff>
    </xdr:to>
    <xdr:sp macro="" textlink="">
      <xdr:nvSpPr>
        <xdr:cNvPr id="244724" name="フリーフォーム: 図形 244723">
          <a:extLst>
            <a:ext uri="{FF2B5EF4-FFF2-40B4-BE49-F238E27FC236}">
              <a16:creationId xmlns:a16="http://schemas.microsoft.com/office/drawing/2014/main" id="{E2957CE0-34E4-4959-BD78-303E7CD10712}"/>
            </a:ext>
          </a:extLst>
        </xdr:cNvPr>
        <xdr:cNvSpPr>
          <a:spLocks noChangeAspect="1"/>
        </xdr:cNvSpPr>
      </xdr:nvSpPr>
      <xdr:spPr>
        <a:xfrm>
          <a:off x="141335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11</xdr:row>
      <xdr:rowOff>75750</xdr:rowOff>
    </xdr:from>
    <xdr:to>
      <xdr:col>20</xdr:col>
      <xdr:colOff>525601</xdr:colOff>
      <xdr:row>16</xdr:row>
      <xdr:rowOff>136501</xdr:rowOff>
    </xdr:to>
    <xdr:sp macro="" textlink="">
      <xdr:nvSpPr>
        <xdr:cNvPr id="244725" name="フリーフォーム: 図形 244724">
          <a:extLst>
            <a:ext uri="{FF2B5EF4-FFF2-40B4-BE49-F238E27FC236}">
              <a16:creationId xmlns:a16="http://schemas.microsoft.com/office/drawing/2014/main" id="{F7CEB5C0-B49D-4CF2-9701-0251DAF09451}"/>
            </a:ext>
          </a:extLst>
        </xdr:cNvPr>
        <xdr:cNvSpPr>
          <a:spLocks noChangeAspect="1"/>
        </xdr:cNvSpPr>
      </xdr:nvSpPr>
      <xdr:spPr>
        <a:xfrm>
          <a:off x="139535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16</xdr:row>
      <xdr:rowOff>64500</xdr:rowOff>
    </xdr:from>
    <xdr:to>
      <xdr:col>19</xdr:col>
      <xdr:colOff>455401</xdr:colOff>
      <xdr:row>17</xdr:row>
      <xdr:rowOff>37051</xdr:rowOff>
    </xdr:to>
    <xdr:sp macro="" textlink="">
      <xdr:nvSpPr>
        <xdr:cNvPr id="244726" name="フリーフォーム: 図形 244725">
          <a:extLst>
            <a:ext uri="{FF2B5EF4-FFF2-40B4-BE49-F238E27FC236}">
              <a16:creationId xmlns:a16="http://schemas.microsoft.com/office/drawing/2014/main" id="{D0809668-A707-49E9-9737-0869A1DDEF47}"/>
            </a:ext>
          </a:extLst>
        </xdr:cNvPr>
        <xdr:cNvSpPr>
          <a:spLocks noChangeAspect="1"/>
        </xdr:cNvSpPr>
      </xdr:nvSpPr>
      <xdr:spPr>
        <a:xfrm>
          <a:off x="129996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16</xdr:row>
      <xdr:rowOff>64500</xdr:rowOff>
    </xdr:from>
    <xdr:to>
      <xdr:col>20</xdr:col>
      <xdr:colOff>273601</xdr:colOff>
      <xdr:row>17</xdr:row>
      <xdr:rowOff>37051</xdr:rowOff>
    </xdr:to>
    <xdr:sp macro="" textlink="">
      <xdr:nvSpPr>
        <xdr:cNvPr id="244727" name="フリーフォーム: 図形 244726">
          <a:extLst>
            <a:ext uri="{FF2B5EF4-FFF2-40B4-BE49-F238E27FC236}">
              <a16:creationId xmlns:a16="http://schemas.microsoft.com/office/drawing/2014/main" id="{0C0A2F33-0FB3-4262-BB9A-3FC959EBD9AF}"/>
            </a:ext>
          </a:extLst>
        </xdr:cNvPr>
        <xdr:cNvSpPr>
          <a:spLocks noChangeAspect="1"/>
        </xdr:cNvSpPr>
      </xdr:nvSpPr>
      <xdr:spPr>
        <a:xfrm>
          <a:off x="135215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11</xdr:row>
      <xdr:rowOff>75750</xdr:rowOff>
    </xdr:from>
    <xdr:to>
      <xdr:col>19</xdr:col>
      <xdr:colOff>203401</xdr:colOff>
      <xdr:row>16</xdr:row>
      <xdr:rowOff>136501</xdr:rowOff>
    </xdr:to>
    <xdr:sp macro="" textlink="">
      <xdr:nvSpPr>
        <xdr:cNvPr id="244728" name="フリーフォーム: 図形 244727">
          <a:extLst>
            <a:ext uri="{FF2B5EF4-FFF2-40B4-BE49-F238E27FC236}">
              <a16:creationId xmlns:a16="http://schemas.microsoft.com/office/drawing/2014/main" id="{1C52D3AF-3FC0-4931-9FB6-F8BE4C1BED64}"/>
            </a:ext>
          </a:extLst>
        </xdr:cNvPr>
        <xdr:cNvSpPr>
          <a:spLocks noChangeAspect="1"/>
        </xdr:cNvSpPr>
      </xdr:nvSpPr>
      <xdr:spPr>
        <a:xfrm>
          <a:off x="12945600" y="2228400"/>
          <a:ext cx="288001" cy="918001"/>
        </a:xfrm>
        <a:custGeom>
          <a:avLst/>
          <a:gdLst/>
          <a:ahLst/>
          <a:cxnLst/>
          <a:rect l="0" t="0" r="0" b="0"/>
          <a:pathLst>
            <a:path w="288001" h="918001">
              <a:moveTo>
                <a:pt x="143999" y="54000"/>
              </a:moveTo>
              <a:lnTo>
                <a:pt x="216000" y="0"/>
              </a:lnTo>
              <a:lnTo>
                <a:pt x="288000" y="72000"/>
              </a:lnTo>
              <a:lnTo>
                <a:pt x="143999"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5</xdr:row>
      <xdr:rowOff>114450</xdr:rowOff>
    </xdr:from>
    <xdr:to>
      <xdr:col>19</xdr:col>
      <xdr:colOff>347402</xdr:colOff>
      <xdr:row>11</xdr:row>
      <xdr:rowOff>21751</xdr:rowOff>
    </xdr:to>
    <xdr:sp macro="" textlink="">
      <xdr:nvSpPr>
        <xdr:cNvPr id="244729" name="フリーフォーム: 図形 244728">
          <a:extLst>
            <a:ext uri="{FF2B5EF4-FFF2-40B4-BE49-F238E27FC236}">
              <a16:creationId xmlns:a16="http://schemas.microsoft.com/office/drawing/2014/main" id="{5A117DCA-945F-4FDD-A869-128EBDA44AD2}"/>
            </a:ext>
          </a:extLst>
        </xdr:cNvPr>
        <xdr:cNvSpPr>
          <a:spLocks noChangeAspect="1"/>
        </xdr:cNvSpPr>
      </xdr:nvSpPr>
      <xdr:spPr>
        <a:xfrm>
          <a:off x="131256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10</xdr:row>
      <xdr:rowOff>139200</xdr:rowOff>
    </xdr:from>
    <xdr:to>
      <xdr:col>19</xdr:col>
      <xdr:colOff>617401</xdr:colOff>
      <xdr:row>11</xdr:row>
      <xdr:rowOff>111751</xdr:rowOff>
    </xdr:to>
    <xdr:sp macro="" textlink="">
      <xdr:nvSpPr>
        <xdr:cNvPr id="244730" name="フリーフォーム: 図形 244729">
          <a:extLst>
            <a:ext uri="{FF2B5EF4-FFF2-40B4-BE49-F238E27FC236}">
              <a16:creationId xmlns:a16="http://schemas.microsoft.com/office/drawing/2014/main" id="{E368989B-8CE6-4BC8-BE45-96C8A328E0F2}"/>
            </a:ext>
          </a:extLst>
        </xdr:cNvPr>
        <xdr:cNvSpPr>
          <a:spLocks noChangeAspect="1"/>
        </xdr:cNvSpPr>
      </xdr:nvSpPr>
      <xdr:spPr>
        <a:xfrm>
          <a:off x="131976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10</xdr:row>
      <xdr:rowOff>139200</xdr:rowOff>
    </xdr:from>
    <xdr:to>
      <xdr:col>20</xdr:col>
      <xdr:colOff>435601</xdr:colOff>
      <xdr:row>11</xdr:row>
      <xdr:rowOff>111751</xdr:rowOff>
    </xdr:to>
    <xdr:sp macro="" textlink="">
      <xdr:nvSpPr>
        <xdr:cNvPr id="244731" name="フリーフォーム: 図形 244730">
          <a:extLst>
            <a:ext uri="{FF2B5EF4-FFF2-40B4-BE49-F238E27FC236}">
              <a16:creationId xmlns:a16="http://schemas.microsoft.com/office/drawing/2014/main" id="{482C2CBB-BD4D-49F0-9F9B-D42E83C6EAE8}"/>
            </a:ext>
          </a:extLst>
        </xdr:cNvPr>
        <xdr:cNvSpPr>
          <a:spLocks noChangeAspect="1"/>
        </xdr:cNvSpPr>
      </xdr:nvSpPr>
      <xdr:spPr>
        <a:xfrm>
          <a:off x="137015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6</xdr:row>
      <xdr:rowOff>51000</xdr:rowOff>
    </xdr:from>
    <xdr:to>
      <xdr:col>19</xdr:col>
      <xdr:colOff>635401</xdr:colOff>
      <xdr:row>11</xdr:row>
      <xdr:rowOff>3751</xdr:rowOff>
    </xdr:to>
    <xdr:sp macro="" textlink="">
      <xdr:nvSpPr>
        <xdr:cNvPr id="244732" name="フリーフォーム: 図形 244731">
          <a:extLst>
            <a:ext uri="{FF2B5EF4-FFF2-40B4-BE49-F238E27FC236}">
              <a16:creationId xmlns:a16="http://schemas.microsoft.com/office/drawing/2014/main" id="{8A44AFC4-30BF-4011-9596-C7F9DF06DA12}"/>
            </a:ext>
          </a:extLst>
        </xdr:cNvPr>
        <xdr:cNvSpPr>
          <a:spLocks noChangeAspect="1"/>
        </xdr:cNvSpPr>
      </xdr:nvSpPr>
      <xdr:spPr>
        <a:xfrm>
          <a:off x="133955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5</xdr:row>
      <xdr:rowOff>114450</xdr:rowOff>
    </xdr:from>
    <xdr:to>
      <xdr:col>20</xdr:col>
      <xdr:colOff>201601</xdr:colOff>
      <xdr:row>10</xdr:row>
      <xdr:rowOff>157201</xdr:rowOff>
    </xdr:to>
    <xdr:sp macro="" textlink="">
      <xdr:nvSpPr>
        <xdr:cNvPr id="244733" name="フリーフォーム: 図形 244732">
          <a:extLst>
            <a:ext uri="{FF2B5EF4-FFF2-40B4-BE49-F238E27FC236}">
              <a16:creationId xmlns:a16="http://schemas.microsoft.com/office/drawing/2014/main" id="{1FE2E116-68AF-4BC4-B6AC-3733471D73DC}"/>
            </a:ext>
          </a:extLst>
        </xdr:cNvPr>
        <xdr:cNvSpPr>
          <a:spLocks noChangeAspect="1"/>
        </xdr:cNvSpPr>
      </xdr:nvSpPr>
      <xdr:spPr>
        <a:xfrm>
          <a:off x="136656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6</xdr:row>
      <xdr:rowOff>69000</xdr:rowOff>
    </xdr:from>
    <xdr:to>
      <xdr:col>20</xdr:col>
      <xdr:colOff>525601</xdr:colOff>
      <xdr:row>11</xdr:row>
      <xdr:rowOff>3751</xdr:rowOff>
    </xdr:to>
    <xdr:sp macro="" textlink="">
      <xdr:nvSpPr>
        <xdr:cNvPr id="244734" name="フリーフォーム: 図形 244733">
          <a:extLst>
            <a:ext uri="{FF2B5EF4-FFF2-40B4-BE49-F238E27FC236}">
              <a16:creationId xmlns:a16="http://schemas.microsoft.com/office/drawing/2014/main" id="{9E612F08-F3B0-4691-B571-E0E3BB5CE012}"/>
            </a:ext>
          </a:extLst>
        </xdr:cNvPr>
        <xdr:cNvSpPr>
          <a:spLocks noChangeAspect="1"/>
        </xdr:cNvSpPr>
      </xdr:nvSpPr>
      <xdr:spPr>
        <a:xfrm>
          <a:off x="137196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11</xdr:row>
      <xdr:rowOff>75750</xdr:rowOff>
    </xdr:from>
    <xdr:to>
      <xdr:col>20</xdr:col>
      <xdr:colOff>237600</xdr:colOff>
      <xdr:row>15</xdr:row>
      <xdr:rowOff>163951</xdr:rowOff>
    </xdr:to>
    <xdr:sp macro="" textlink="">
      <xdr:nvSpPr>
        <xdr:cNvPr id="244735" name="フリーフォーム: 図形 244734">
          <a:extLst>
            <a:ext uri="{FF2B5EF4-FFF2-40B4-BE49-F238E27FC236}">
              <a16:creationId xmlns:a16="http://schemas.microsoft.com/office/drawing/2014/main" id="{1CCB414C-1A4D-4722-9AC4-F3BB479168AF}"/>
            </a:ext>
          </a:extLst>
        </xdr:cNvPr>
        <xdr:cNvSpPr>
          <a:spLocks noChangeAspect="1"/>
        </xdr:cNvSpPr>
      </xdr:nvSpPr>
      <xdr:spPr>
        <a:xfrm>
          <a:off x="136836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11</xdr:row>
      <xdr:rowOff>93750</xdr:rowOff>
    </xdr:from>
    <xdr:to>
      <xdr:col>19</xdr:col>
      <xdr:colOff>653401</xdr:colOff>
      <xdr:row>16</xdr:row>
      <xdr:rowOff>118501</xdr:rowOff>
    </xdr:to>
    <xdr:sp macro="" textlink="">
      <xdr:nvSpPr>
        <xdr:cNvPr id="244736" name="フリーフォーム: 図形 244735">
          <a:extLst>
            <a:ext uri="{FF2B5EF4-FFF2-40B4-BE49-F238E27FC236}">
              <a16:creationId xmlns:a16="http://schemas.microsoft.com/office/drawing/2014/main" id="{70FE5373-C62F-4413-B4AA-2EF35C6C5166}"/>
            </a:ext>
          </a:extLst>
        </xdr:cNvPr>
        <xdr:cNvSpPr>
          <a:spLocks noChangeAspect="1"/>
        </xdr:cNvSpPr>
      </xdr:nvSpPr>
      <xdr:spPr>
        <a:xfrm>
          <a:off x="134496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11</xdr:row>
      <xdr:rowOff>75750</xdr:rowOff>
    </xdr:from>
    <xdr:to>
      <xdr:col>19</xdr:col>
      <xdr:colOff>617401</xdr:colOff>
      <xdr:row>16</xdr:row>
      <xdr:rowOff>10501</xdr:rowOff>
    </xdr:to>
    <xdr:sp macro="" textlink="">
      <xdr:nvSpPr>
        <xdr:cNvPr id="244737" name="フリーフォーム: 図形 244736">
          <a:extLst>
            <a:ext uri="{FF2B5EF4-FFF2-40B4-BE49-F238E27FC236}">
              <a16:creationId xmlns:a16="http://schemas.microsoft.com/office/drawing/2014/main" id="{EE5B1A8A-8AE9-4292-9B7E-ADD58B7B4F15}"/>
            </a:ext>
          </a:extLst>
        </xdr:cNvPr>
        <xdr:cNvSpPr>
          <a:spLocks noChangeAspect="1"/>
        </xdr:cNvSpPr>
      </xdr:nvSpPr>
      <xdr:spPr>
        <a:xfrm>
          <a:off x="131256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5</xdr:row>
      <xdr:rowOff>42450</xdr:rowOff>
    </xdr:from>
    <xdr:to>
      <xdr:col>22</xdr:col>
      <xdr:colOff>550801</xdr:colOff>
      <xdr:row>6</xdr:row>
      <xdr:rowOff>15001</xdr:rowOff>
    </xdr:to>
    <xdr:sp macro="" textlink="">
      <xdr:nvSpPr>
        <xdr:cNvPr id="244738" name="フリーフォーム: 図形 244737">
          <a:extLst>
            <a:ext uri="{FF2B5EF4-FFF2-40B4-BE49-F238E27FC236}">
              <a16:creationId xmlns:a16="http://schemas.microsoft.com/office/drawing/2014/main" id="{E51343CD-8025-43D4-9710-212F321B71FF}"/>
            </a:ext>
          </a:extLst>
        </xdr:cNvPr>
        <xdr:cNvSpPr>
          <a:spLocks noChangeAspect="1"/>
        </xdr:cNvSpPr>
      </xdr:nvSpPr>
      <xdr:spPr>
        <a:xfrm>
          <a:off x="151704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5</xdr:row>
      <xdr:rowOff>42450</xdr:rowOff>
    </xdr:from>
    <xdr:to>
      <xdr:col>23</xdr:col>
      <xdr:colOff>405001</xdr:colOff>
      <xdr:row>6</xdr:row>
      <xdr:rowOff>15001</xdr:rowOff>
    </xdr:to>
    <xdr:sp macro="" textlink="">
      <xdr:nvSpPr>
        <xdr:cNvPr id="244739" name="フリーフォーム: 図形 244738">
          <a:extLst>
            <a:ext uri="{FF2B5EF4-FFF2-40B4-BE49-F238E27FC236}">
              <a16:creationId xmlns:a16="http://schemas.microsoft.com/office/drawing/2014/main" id="{C8E76FA9-3800-4E56-9443-1D5806D012B5}"/>
            </a:ext>
          </a:extLst>
        </xdr:cNvPr>
        <xdr:cNvSpPr>
          <a:spLocks noChangeAspect="1"/>
        </xdr:cNvSpPr>
      </xdr:nvSpPr>
      <xdr:spPr>
        <a:xfrm>
          <a:off x="157104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5</xdr:row>
      <xdr:rowOff>114450</xdr:rowOff>
    </xdr:from>
    <xdr:to>
      <xdr:col>23</xdr:col>
      <xdr:colOff>477001</xdr:colOff>
      <xdr:row>11</xdr:row>
      <xdr:rowOff>21751</xdr:rowOff>
    </xdr:to>
    <xdr:sp macro="" textlink="">
      <xdr:nvSpPr>
        <xdr:cNvPr id="244740" name="フリーフォーム: 図形 244739">
          <a:extLst>
            <a:ext uri="{FF2B5EF4-FFF2-40B4-BE49-F238E27FC236}">
              <a16:creationId xmlns:a16="http://schemas.microsoft.com/office/drawing/2014/main" id="{45948B23-9146-4A5D-9619-BE3902D48ECF}"/>
            </a:ext>
          </a:extLst>
        </xdr:cNvPr>
        <xdr:cNvSpPr>
          <a:spLocks noChangeAspect="1"/>
        </xdr:cNvSpPr>
      </xdr:nvSpPr>
      <xdr:spPr>
        <a:xfrm>
          <a:off x="159623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11</xdr:row>
      <xdr:rowOff>75750</xdr:rowOff>
    </xdr:from>
    <xdr:to>
      <xdr:col>23</xdr:col>
      <xdr:colOff>297001</xdr:colOff>
      <xdr:row>16</xdr:row>
      <xdr:rowOff>136501</xdr:rowOff>
    </xdr:to>
    <xdr:sp macro="" textlink="">
      <xdr:nvSpPr>
        <xdr:cNvPr id="244741" name="フリーフォーム: 図形 244740">
          <a:extLst>
            <a:ext uri="{FF2B5EF4-FFF2-40B4-BE49-F238E27FC236}">
              <a16:creationId xmlns:a16="http://schemas.microsoft.com/office/drawing/2014/main" id="{51BCA55F-E31F-400C-9CD8-125CA3FD9A55}"/>
            </a:ext>
          </a:extLst>
        </xdr:cNvPr>
        <xdr:cNvSpPr>
          <a:spLocks noChangeAspect="1"/>
        </xdr:cNvSpPr>
      </xdr:nvSpPr>
      <xdr:spPr>
        <a:xfrm>
          <a:off x="157823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16</xdr:row>
      <xdr:rowOff>64500</xdr:rowOff>
    </xdr:from>
    <xdr:to>
      <xdr:col>22</xdr:col>
      <xdr:colOff>226801</xdr:colOff>
      <xdr:row>17</xdr:row>
      <xdr:rowOff>37051</xdr:rowOff>
    </xdr:to>
    <xdr:sp macro="" textlink="">
      <xdr:nvSpPr>
        <xdr:cNvPr id="244742" name="フリーフォーム: 図形 244741">
          <a:extLst>
            <a:ext uri="{FF2B5EF4-FFF2-40B4-BE49-F238E27FC236}">
              <a16:creationId xmlns:a16="http://schemas.microsoft.com/office/drawing/2014/main" id="{F7AB8848-E236-47EB-9097-9B869D02EAD2}"/>
            </a:ext>
          </a:extLst>
        </xdr:cNvPr>
        <xdr:cNvSpPr>
          <a:spLocks noChangeAspect="1"/>
        </xdr:cNvSpPr>
      </xdr:nvSpPr>
      <xdr:spPr>
        <a:xfrm>
          <a:off x="148284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16</xdr:row>
      <xdr:rowOff>64500</xdr:rowOff>
    </xdr:from>
    <xdr:to>
      <xdr:col>23</xdr:col>
      <xdr:colOff>45001</xdr:colOff>
      <xdr:row>17</xdr:row>
      <xdr:rowOff>37051</xdr:rowOff>
    </xdr:to>
    <xdr:sp macro="" textlink="">
      <xdr:nvSpPr>
        <xdr:cNvPr id="244743" name="フリーフォーム: 図形 244742">
          <a:extLst>
            <a:ext uri="{FF2B5EF4-FFF2-40B4-BE49-F238E27FC236}">
              <a16:creationId xmlns:a16="http://schemas.microsoft.com/office/drawing/2014/main" id="{61B05969-5E9F-472B-8EA7-F7B99FC3B9DA}"/>
            </a:ext>
          </a:extLst>
        </xdr:cNvPr>
        <xdr:cNvSpPr>
          <a:spLocks noChangeAspect="1"/>
        </xdr:cNvSpPr>
      </xdr:nvSpPr>
      <xdr:spPr>
        <a:xfrm>
          <a:off x="153503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11</xdr:row>
      <xdr:rowOff>75750</xdr:rowOff>
    </xdr:from>
    <xdr:to>
      <xdr:col>21</xdr:col>
      <xdr:colOff>660601</xdr:colOff>
      <xdr:row>16</xdr:row>
      <xdr:rowOff>136501</xdr:rowOff>
    </xdr:to>
    <xdr:sp macro="" textlink="">
      <xdr:nvSpPr>
        <xdr:cNvPr id="244744" name="フリーフォーム: 図形 244743">
          <a:extLst>
            <a:ext uri="{FF2B5EF4-FFF2-40B4-BE49-F238E27FC236}">
              <a16:creationId xmlns:a16="http://schemas.microsoft.com/office/drawing/2014/main" id="{69BB8FD6-128B-4FED-A83C-7CAF0C7AB821}"/>
            </a:ext>
          </a:extLst>
        </xdr:cNvPr>
        <xdr:cNvSpPr>
          <a:spLocks noChangeAspect="1"/>
        </xdr:cNvSpPr>
      </xdr:nvSpPr>
      <xdr:spPr>
        <a:xfrm>
          <a:off x="14774401" y="22284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5</xdr:row>
      <xdr:rowOff>114450</xdr:rowOff>
    </xdr:from>
    <xdr:to>
      <xdr:col>22</xdr:col>
      <xdr:colOff>118802</xdr:colOff>
      <xdr:row>11</xdr:row>
      <xdr:rowOff>21751</xdr:rowOff>
    </xdr:to>
    <xdr:sp macro="" textlink="">
      <xdr:nvSpPr>
        <xdr:cNvPr id="244745" name="フリーフォーム: 図形 244744">
          <a:extLst>
            <a:ext uri="{FF2B5EF4-FFF2-40B4-BE49-F238E27FC236}">
              <a16:creationId xmlns:a16="http://schemas.microsoft.com/office/drawing/2014/main" id="{2D16F147-5F80-42F2-8ABE-4B5BB853FD90}"/>
            </a:ext>
          </a:extLst>
        </xdr:cNvPr>
        <xdr:cNvSpPr>
          <a:spLocks noChangeAspect="1"/>
        </xdr:cNvSpPr>
      </xdr:nvSpPr>
      <xdr:spPr>
        <a:xfrm>
          <a:off x="149544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10</xdr:row>
      <xdr:rowOff>139200</xdr:rowOff>
    </xdr:from>
    <xdr:to>
      <xdr:col>22</xdr:col>
      <xdr:colOff>388801</xdr:colOff>
      <xdr:row>11</xdr:row>
      <xdr:rowOff>111751</xdr:rowOff>
    </xdr:to>
    <xdr:sp macro="" textlink="">
      <xdr:nvSpPr>
        <xdr:cNvPr id="244746" name="フリーフォーム: 図形 244745">
          <a:extLst>
            <a:ext uri="{FF2B5EF4-FFF2-40B4-BE49-F238E27FC236}">
              <a16:creationId xmlns:a16="http://schemas.microsoft.com/office/drawing/2014/main" id="{0486CF09-C492-444B-A65F-7960D2F4D8A1}"/>
            </a:ext>
          </a:extLst>
        </xdr:cNvPr>
        <xdr:cNvSpPr>
          <a:spLocks noChangeAspect="1"/>
        </xdr:cNvSpPr>
      </xdr:nvSpPr>
      <xdr:spPr>
        <a:xfrm>
          <a:off x="150264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10</xdr:row>
      <xdr:rowOff>139200</xdr:rowOff>
    </xdr:from>
    <xdr:to>
      <xdr:col>23</xdr:col>
      <xdr:colOff>207001</xdr:colOff>
      <xdr:row>11</xdr:row>
      <xdr:rowOff>111751</xdr:rowOff>
    </xdr:to>
    <xdr:sp macro="" textlink="">
      <xdr:nvSpPr>
        <xdr:cNvPr id="244747" name="フリーフォーム: 図形 244746">
          <a:extLst>
            <a:ext uri="{FF2B5EF4-FFF2-40B4-BE49-F238E27FC236}">
              <a16:creationId xmlns:a16="http://schemas.microsoft.com/office/drawing/2014/main" id="{17D9A840-A386-4752-B932-98882FED535F}"/>
            </a:ext>
          </a:extLst>
        </xdr:cNvPr>
        <xdr:cNvSpPr>
          <a:spLocks noChangeAspect="1"/>
        </xdr:cNvSpPr>
      </xdr:nvSpPr>
      <xdr:spPr>
        <a:xfrm>
          <a:off x="155303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6</xdr:row>
      <xdr:rowOff>51000</xdr:rowOff>
    </xdr:from>
    <xdr:to>
      <xdr:col>22</xdr:col>
      <xdr:colOff>406801</xdr:colOff>
      <xdr:row>11</xdr:row>
      <xdr:rowOff>3751</xdr:rowOff>
    </xdr:to>
    <xdr:sp macro="" textlink="">
      <xdr:nvSpPr>
        <xdr:cNvPr id="244748" name="フリーフォーム: 図形 244747">
          <a:extLst>
            <a:ext uri="{FF2B5EF4-FFF2-40B4-BE49-F238E27FC236}">
              <a16:creationId xmlns:a16="http://schemas.microsoft.com/office/drawing/2014/main" id="{18C0500F-82F0-4DCC-B11E-BB8433A98442}"/>
            </a:ext>
          </a:extLst>
        </xdr:cNvPr>
        <xdr:cNvSpPr>
          <a:spLocks noChangeAspect="1"/>
        </xdr:cNvSpPr>
      </xdr:nvSpPr>
      <xdr:spPr>
        <a:xfrm>
          <a:off x="152243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5</xdr:row>
      <xdr:rowOff>114450</xdr:rowOff>
    </xdr:from>
    <xdr:to>
      <xdr:col>22</xdr:col>
      <xdr:colOff>658801</xdr:colOff>
      <xdr:row>10</xdr:row>
      <xdr:rowOff>157201</xdr:rowOff>
    </xdr:to>
    <xdr:sp macro="" textlink="">
      <xdr:nvSpPr>
        <xdr:cNvPr id="244749" name="フリーフォーム: 図形 244748">
          <a:extLst>
            <a:ext uri="{FF2B5EF4-FFF2-40B4-BE49-F238E27FC236}">
              <a16:creationId xmlns:a16="http://schemas.microsoft.com/office/drawing/2014/main" id="{BBA66F15-D2C7-4AED-AA88-7B7E16C40B70}"/>
            </a:ext>
          </a:extLst>
        </xdr:cNvPr>
        <xdr:cNvSpPr>
          <a:spLocks noChangeAspect="1"/>
        </xdr:cNvSpPr>
      </xdr:nvSpPr>
      <xdr:spPr>
        <a:xfrm>
          <a:off x="154944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6</xdr:row>
      <xdr:rowOff>69000</xdr:rowOff>
    </xdr:from>
    <xdr:to>
      <xdr:col>23</xdr:col>
      <xdr:colOff>297001</xdr:colOff>
      <xdr:row>11</xdr:row>
      <xdr:rowOff>3751</xdr:rowOff>
    </xdr:to>
    <xdr:sp macro="" textlink="">
      <xdr:nvSpPr>
        <xdr:cNvPr id="244750" name="フリーフォーム: 図形 244749">
          <a:extLst>
            <a:ext uri="{FF2B5EF4-FFF2-40B4-BE49-F238E27FC236}">
              <a16:creationId xmlns:a16="http://schemas.microsoft.com/office/drawing/2014/main" id="{911090AA-1EDF-44B2-835B-674EC892B2C4}"/>
            </a:ext>
          </a:extLst>
        </xdr:cNvPr>
        <xdr:cNvSpPr>
          <a:spLocks noChangeAspect="1"/>
        </xdr:cNvSpPr>
      </xdr:nvSpPr>
      <xdr:spPr>
        <a:xfrm>
          <a:off x="155484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11</xdr:row>
      <xdr:rowOff>75750</xdr:rowOff>
    </xdr:from>
    <xdr:to>
      <xdr:col>23</xdr:col>
      <xdr:colOff>9000</xdr:colOff>
      <xdr:row>15</xdr:row>
      <xdr:rowOff>163951</xdr:rowOff>
    </xdr:to>
    <xdr:sp macro="" textlink="">
      <xdr:nvSpPr>
        <xdr:cNvPr id="244751" name="フリーフォーム: 図形 244750">
          <a:extLst>
            <a:ext uri="{FF2B5EF4-FFF2-40B4-BE49-F238E27FC236}">
              <a16:creationId xmlns:a16="http://schemas.microsoft.com/office/drawing/2014/main" id="{6D33E51E-3E77-4772-A0D0-716A5DF3DE9B}"/>
            </a:ext>
          </a:extLst>
        </xdr:cNvPr>
        <xdr:cNvSpPr>
          <a:spLocks noChangeAspect="1"/>
        </xdr:cNvSpPr>
      </xdr:nvSpPr>
      <xdr:spPr>
        <a:xfrm>
          <a:off x="155124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11</xdr:row>
      <xdr:rowOff>93750</xdr:rowOff>
    </xdr:from>
    <xdr:to>
      <xdr:col>22</xdr:col>
      <xdr:colOff>424801</xdr:colOff>
      <xdr:row>16</xdr:row>
      <xdr:rowOff>118501</xdr:rowOff>
    </xdr:to>
    <xdr:sp macro="" textlink="">
      <xdr:nvSpPr>
        <xdr:cNvPr id="244752" name="フリーフォーム: 図形 244751">
          <a:extLst>
            <a:ext uri="{FF2B5EF4-FFF2-40B4-BE49-F238E27FC236}">
              <a16:creationId xmlns:a16="http://schemas.microsoft.com/office/drawing/2014/main" id="{16476905-DF2D-46F7-8A0A-805495834729}"/>
            </a:ext>
          </a:extLst>
        </xdr:cNvPr>
        <xdr:cNvSpPr>
          <a:spLocks noChangeAspect="1"/>
        </xdr:cNvSpPr>
      </xdr:nvSpPr>
      <xdr:spPr>
        <a:xfrm>
          <a:off x="152784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11</xdr:row>
      <xdr:rowOff>75750</xdr:rowOff>
    </xdr:from>
    <xdr:to>
      <xdr:col>22</xdr:col>
      <xdr:colOff>388801</xdr:colOff>
      <xdr:row>16</xdr:row>
      <xdr:rowOff>10501</xdr:rowOff>
    </xdr:to>
    <xdr:sp macro="" textlink="">
      <xdr:nvSpPr>
        <xdr:cNvPr id="244753" name="フリーフォーム: 図形 244752">
          <a:extLst>
            <a:ext uri="{FF2B5EF4-FFF2-40B4-BE49-F238E27FC236}">
              <a16:creationId xmlns:a16="http://schemas.microsoft.com/office/drawing/2014/main" id="{C9AFC609-4300-4317-8F3E-ED742FF508A3}"/>
            </a:ext>
          </a:extLst>
        </xdr:cNvPr>
        <xdr:cNvSpPr>
          <a:spLocks noChangeAspect="1"/>
        </xdr:cNvSpPr>
      </xdr:nvSpPr>
      <xdr:spPr>
        <a:xfrm>
          <a:off x="149544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5</xdr:row>
      <xdr:rowOff>42450</xdr:rowOff>
    </xdr:from>
    <xdr:to>
      <xdr:col>25</xdr:col>
      <xdr:colOff>322201</xdr:colOff>
      <xdr:row>6</xdr:row>
      <xdr:rowOff>15001</xdr:rowOff>
    </xdr:to>
    <xdr:sp macro="" textlink="">
      <xdr:nvSpPr>
        <xdr:cNvPr id="244754" name="フリーフォーム: 図形 244753">
          <a:extLst>
            <a:ext uri="{FF2B5EF4-FFF2-40B4-BE49-F238E27FC236}">
              <a16:creationId xmlns:a16="http://schemas.microsoft.com/office/drawing/2014/main" id="{7F0FB79A-CA36-4604-A804-68287A914B33}"/>
            </a:ext>
          </a:extLst>
        </xdr:cNvPr>
        <xdr:cNvSpPr>
          <a:spLocks noChangeAspect="1"/>
        </xdr:cNvSpPr>
      </xdr:nvSpPr>
      <xdr:spPr>
        <a:xfrm>
          <a:off x="169992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5</xdr:row>
      <xdr:rowOff>42450</xdr:rowOff>
    </xdr:from>
    <xdr:to>
      <xdr:col>26</xdr:col>
      <xdr:colOff>176401</xdr:colOff>
      <xdr:row>6</xdr:row>
      <xdr:rowOff>15001</xdr:rowOff>
    </xdr:to>
    <xdr:sp macro="" textlink="">
      <xdr:nvSpPr>
        <xdr:cNvPr id="244755" name="フリーフォーム: 図形 244754">
          <a:extLst>
            <a:ext uri="{FF2B5EF4-FFF2-40B4-BE49-F238E27FC236}">
              <a16:creationId xmlns:a16="http://schemas.microsoft.com/office/drawing/2014/main" id="{EB8E308C-7EEC-40E5-BDD4-5ACAA0F728B1}"/>
            </a:ext>
          </a:extLst>
        </xdr:cNvPr>
        <xdr:cNvSpPr>
          <a:spLocks noChangeAspect="1"/>
        </xdr:cNvSpPr>
      </xdr:nvSpPr>
      <xdr:spPr>
        <a:xfrm>
          <a:off x="175392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5</xdr:row>
      <xdr:rowOff>114450</xdr:rowOff>
    </xdr:from>
    <xdr:to>
      <xdr:col>26</xdr:col>
      <xdr:colOff>248401</xdr:colOff>
      <xdr:row>11</xdr:row>
      <xdr:rowOff>21751</xdr:rowOff>
    </xdr:to>
    <xdr:sp macro="" textlink="">
      <xdr:nvSpPr>
        <xdr:cNvPr id="244756" name="フリーフォーム: 図形 244755">
          <a:extLst>
            <a:ext uri="{FF2B5EF4-FFF2-40B4-BE49-F238E27FC236}">
              <a16:creationId xmlns:a16="http://schemas.microsoft.com/office/drawing/2014/main" id="{C68B779F-D7FA-4DD3-869B-04A66577EE3D}"/>
            </a:ext>
          </a:extLst>
        </xdr:cNvPr>
        <xdr:cNvSpPr>
          <a:spLocks noChangeAspect="1"/>
        </xdr:cNvSpPr>
      </xdr:nvSpPr>
      <xdr:spPr>
        <a:xfrm>
          <a:off x="177911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11</xdr:row>
      <xdr:rowOff>75750</xdr:rowOff>
    </xdr:from>
    <xdr:to>
      <xdr:col>26</xdr:col>
      <xdr:colOff>68401</xdr:colOff>
      <xdr:row>16</xdr:row>
      <xdr:rowOff>136501</xdr:rowOff>
    </xdr:to>
    <xdr:sp macro="" textlink="">
      <xdr:nvSpPr>
        <xdr:cNvPr id="244757" name="フリーフォーム: 図形 244756">
          <a:extLst>
            <a:ext uri="{FF2B5EF4-FFF2-40B4-BE49-F238E27FC236}">
              <a16:creationId xmlns:a16="http://schemas.microsoft.com/office/drawing/2014/main" id="{600972C3-0E04-4519-A5B8-971565246557}"/>
            </a:ext>
          </a:extLst>
        </xdr:cNvPr>
        <xdr:cNvSpPr>
          <a:spLocks noChangeAspect="1"/>
        </xdr:cNvSpPr>
      </xdr:nvSpPr>
      <xdr:spPr>
        <a:xfrm>
          <a:off x="176111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16</xdr:row>
      <xdr:rowOff>64500</xdr:rowOff>
    </xdr:from>
    <xdr:to>
      <xdr:col>24</xdr:col>
      <xdr:colOff>684001</xdr:colOff>
      <xdr:row>17</xdr:row>
      <xdr:rowOff>37051</xdr:rowOff>
    </xdr:to>
    <xdr:sp macro="" textlink="">
      <xdr:nvSpPr>
        <xdr:cNvPr id="244758" name="フリーフォーム: 図形 244757">
          <a:extLst>
            <a:ext uri="{FF2B5EF4-FFF2-40B4-BE49-F238E27FC236}">
              <a16:creationId xmlns:a16="http://schemas.microsoft.com/office/drawing/2014/main" id="{CA20D7BE-7601-49A7-8659-3DB25CAE229C}"/>
            </a:ext>
          </a:extLst>
        </xdr:cNvPr>
        <xdr:cNvSpPr>
          <a:spLocks noChangeAspect="1"/>
        </xdr:cNvSpPr>
      </xdr:nvSpPr>
      <xdr:spPr>
        <a:xfrm>
          <a:off x="166572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16</xdr:row>
      <xdr:rowOff>64500</xdr:rowOff>
    </xdr:from>
    <xdr:to>
      <xdr:col>25</xdr:col>
      <xdr:colOff>502201</xdr:colOff>
      <xdr:row>17</xdr:row>
      <xdr:rowOff>37051</xdr:rowOff>
    </xdr:to>
    <xdr:sp macro="" textlink="">
      <xdr:nvSpPr>
        <xdr:cNvPr id="244759" name="フリーフォーム: 図形 244758">
          <a:extLst>
            <a:ext uri="{FF2B5EF4-FFF2-40B4-BE49-F238E27FC236}">
              <a16:creationId xmlns:a16="http://schemas.microsoft.com/office/drawing/2014/main" id="{7C1961F2-C37D-4555-9917-417B49ED792A}"/>
            </a:ext>
          </a:extLst>
        </xdr:cNvPr>
        <xdr:cNvSpPr>
          <a:spLocks noChangeAspect="1"/>
        </xdr:cNvSpPr>
      </xdr:nvSpPr>
      <xdr:spPr>
        <a:xfrm>
          <a:off x="171791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11</xdr:row>
      <xdr:rowOff>75750</xdr:rowOff>
    </xdr:from>
    <xdr:to>
      <xdr:col>24</xdr:col>
      <xdr:colOff>432001</xdr:colOff>
      <xdr:row>16</xdr:row>
      <xdr:rowOff>136501</xdr:rowOff>
    </xdr:to>
    <xdr:sp macro="" textlink="">
      <xdr:nvSpPr>
        <xdr:cNvPr id="244760" name="フリーフォーム: 図形 244759">
          <a:extLst>
            <a:ext uri="{FF2B5EF4-FFF2-40B4-BE49-F238E27FC236}">
              <a16:creationId xmlns:a16="http://schemas.microsoft.com/office/drawing/2014/main" id="{4B0A4ACD-5F9C-4A3B-AEE0-7A808C052B57}"/>
            </a:ext>
          </a:extLst>
        </xdr:cNvPr>
        <xdr:cNvSpPr>
          <a:spLocks noChangeAspect="1"/>
        </xdr:cNvSpPr>
      </xdr:nvSpPr>
      <xdr:spPr>
        <a:xfrm>
          <a:off x="16603201" y="22284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5</xdr:row>
      <xdr:rowOff>114450</xdr:rowOff>
    </xdr:from>
    <xdr:to>
      <xdr:col>24</xdr:col>
      <xdr:colOff>576002</xdr:colOff>
      <xdr:row>11</xdr:row>
      <xdr:rowOff>21751</xdr:rowOff>
    </xdr:to>
    <xdr:sp macro="" textlink="">
      <xdr:nvSpPr>
        <xdr:cNvPr id="244761" name="フリーフォーム: 図形 244760">
          <a:extLst>
            <a:ext uri="{FF2B5EF4-FFF2-40B4-BE49-F238E27FC236}">
              <a16:creationId xmlns:a16="http://schemas.microsoft.com/office/drawing/2014/main" id="{87D299DF-3B0E-40E7-97CF-F43AC8311023}"/>
            </a:ext>
          </a:extLst>
        </xdr:cNvPr>
        <xdr:cNvSpPr>
          <a:spLocks noChangeAspect="1"/>
        </xdr:cNvSpPr>
      </xdr:nvSpPr>
      <xdr:spPr>
        <a:xfrm>
          <a:off x="167832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10</xdr:row>
      <xdr:rowOff>139200</xdr:rowOff>
    </xdr:from>
    <xdr:to>
      <xdr:col>25</xdr:col>
      <xdr:colOff>160201</xdr:colOff>
      <xdr:row>11</xdr:row>
      <xdr:rowOff>111751</xdr:rowOff>
    </xdr:to>
    <xdr:sp macro="" textlink="">
      <xdr:nvSpPr>
        <xdr:cNvPr id="244762" name="フリーフォーム: 図形 244761">
          <a:extLst>
            <a:ext uri="{FF2B5EF4-FFF2-40B4-BE49-F238E27FC236}">
              <a16:creationId xmlns:a16="http://schemas.microsoft.com/office/drawing/2014/main" id="{B8A3117E-A1DE-4231-B1EF-0B08C77D473E}"/>
            </a:ext>
          </a:extLst>
        </xdr:cNvPr>
        <xdr:cNvSpPr>
          <a:spLocks noChangeAspect="1"/>
        </xdr:cNvSpPr>
      </xdr:nvSpPr>
      <xdr:spPr>
        <a:xfrm>
          <a:off x="168552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10</xdr:row>
      <xdr:rowOff>139200</xdr:rowOff>
    </xdr:from>
    <xdr:to>
      <xdr:col>25</xdr:col>
      <xdr:colOff>664201</xdr:colOff>
      <xdr:row>11</xdr:row>
      <xdr:rowOff>111751</xdr:rowOff>
    </xdr:to>
    <xdr:sp macro="" textlink="">
      <xdr:nvSpPr>
        <xdr:cNvPr id="244763" name="フリーフォーム: 図形 244762">
          <a:extLst>
            <a:ext uri="{FF2B5EF4-FFF2-40B4-BE49-F238E27FC236}">
              <a16:creationId xmlns:a16="http://schemas.microsoft.com/office/drawing/2014/main" id="{217856A7-437C-4C58-8772-1C12C5ADC7B6}"/>
            </a:ext>
          </a:extLst>
        </xdr:cNvPr>
        <xdr:cNvSpPr>
          <a:spLocks noChangeAspect="1"/>
        </xdr:cNvSpPr>
      </xdr:nvSpPr>
      <xdr:spPr>
        <a:xfrm>
          <a:off x="173591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6</xdr:row>
      <xdr:rowOff>51000</xdr:rowOff>
    </xdr:from>
    <xdr:to>
      <xdr:col>25</xdr:col>
      <xdr:colOff>178201</xdr:colOff>
      <xdr:row>11</xdr:row>
      <xdr:rowOff>3751</xdr:rowOff>
    </xdr:to>
    <xdr:sp macro="" textlink="">
      <xdr:nvSpPr>
        <xdr:cNvPr id="244764" name="フリーフォーム: 図形 244763">
          <a:extLst>
            <a:ext uri="{FF2B5EF4-FFF2-40B4-BE49-F238E27FC236}">
              <a16:creationId xmlns:a16="http://schemas.microsoft.com/office/drawing/2014/main" id="{DF014643-1CAC-4569-94A4-5362AD543E04}"/>
            </a:ext>
          </a:extLst>
        </xdr:cNvPr>
        <xdr:cNvSpPr>
          <a:spLocks noChangeAspect="1"/>
        </xdr:cNvSpPr>
      </xdr:nvSpPr>
      <xdr:spPr>
        <a:xfrm>
          <a:off x="170531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5</xdr:row>
      <xdr:rowOff>114450</xdr:rowOff>
    </xdr:from>
    <xdr:to>
      <xdr:col>25</xdr:col>
      <xdr:colOff>430201</xdr:colOff>
      <xdr:row>10</xdr:row>
      <xdr:rowOff>157201</xdr:rowOff>
    </xdr:to>
    <xdr:sp macro="" textlink="">
      <xdr:nvSpPr>
        <xdr:cNvPr id="244765" name="フリーフォーム: 図形 244764">
          <a:extLst>
            <a:ext uri="{FF2B5EF4-FFF2-40B4-BE49-F238E27FC236}">
              <a16:creationId xmlns:a16="http://schemas.microsoft.com/office/drawing/2014/main" id="{31BDBB00-FD3E-47F0-917D-2239FA8A8DDF}"/>
            </a:ext>
          </a:extLst>
        </xdr:cNvPr>
        <xdr:cNvSpPr>
          <a:spLocks noChangeAspect="1"/>
        </xdr:cNvSpPr>
      </xdr:nvSpPr>
      <xdr:spPr>
        <a:xfrm>
          <a:off x="173232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6</xdr:row>
      <xdr:rowOff>69000</xdr:rowOff>
    </xdr:from>
    <xdr:to>
      <xdr:col>26</xdr:col>
      <xdr:colOff>68401</xdr:colOff>
      <xdr:row>11</xdr:row>
      <xdr:rowOff>3751</xdr:rowOff>
    </xdr:to>
    <xdr:sp macro="" textlink="">
      <xdr:nvSpPr>
        <xdr:cNvPr id="244766" name="フリーフォーム: 図形 244765">
          <a:extLst>
            <a:ext uri="{FF2B5EF4-FFF2-40B4-BE49-F238E27FC236}">
              <a16:creationId xmlns:a16="http://schemas.microsoft.com/office/drawing/2014/main" id="{DD67DCC2-E85B-411F-812B-28B25AC5517C}"/>
            </a:ext>
          </a:extLst>
        </xdr:cNvPr>
        <xdr:cNvSpPr>
          <a:spLocks noChangeAspect="1"/>
        </xdr:cNvSpPr>
      </xdr:nvSpPr>
      <xdr:spPr>
        <a:xfrm>
          <a:off x="173772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11</xdr:row>
      <xdr:rowOff>75750</xdr:rowOff>
    </xdr:from>
    <xdr:to>
      <xdr:col>25</xdr:col>
      <xdr:colOff>466200</xdr:colOff>
      <xdr:row>15</xdr:row>
      <xdr:rowOff>163951</xdr:rowOff>
    </xdr:to>
    <xdr:sp macro="" textlink="">
      <xdr:nvSpPr>
        <xdr:cNvPr id="244767" name="フリーフォーム: 図形 244766">
          <a:extLst>
            <a:ext uri="{FF2B5EF4-FFF2-40B4-BE49-F238E27FC236}">
              <a16:creationId xmlns:a16="http://schemas.microsoft.com/office/drawing/2014/main" id="{2C7E2F54-B549-4357-80A1-ECF24B40562D}"/>
            </a:ext>
          </a:extLst>
        </xdr:cNvPr>
        <xdr:cNvSpPr>
          <a:spLocks noChangeAspect="1"/>
        </xdr:cNvSpPr>
      </xdr:nvSpPr>
      <xdr:spPr>
        <a:xfrm>
          <a:off x="173412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11</xdr:row>
      <xdr:rowOff>93750</xdr:rowOff>
    </xdr:from>
    <xdr:to>
      <xdr:col>25</xdr:col>
      <xdr:colOff>196201</xdr:colOff>
      <xdr:row>16</xdr:row>
      <xdr:rowOff>118501</xdr:rowOff>
    </xdr:to>
    <xdr:sp macro="" textlink="">
      <xdr:nvSpPr>
        <xdr:cNvPr id="244768" name="フリーフォーム: 図形 244767">
          <a:extLst>
            <a:ext uri="{FF2B5EF4-FFF2-40B4-BE49-F238E27FC236}">
              <a16:creationId xmlns:a16="http://schemas.microsoft.com/office/drawing/2014/main" id="{E9CAEB62-207B-4187-B269-22AEE2471934}"/>
            </a:ext>
          </a:extLst>
        </xdr:cNvPr>
        <xdr:cNvSpPr>
          <a:spLocks noChangeAspect="1"/>
        </xdr:cNvSpPr>
      </xdr:nvSpPr>
      <xdr:spPr>
        <a:xfrm>
          <a:off x="171072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11</xdr:row>
      <xdr:rowOff>75750</xdr:rowOff>
    </xdr:from>
    <xdr:to>
      <xdr:col>25</xdr:col>
      <xdr:colOff>160201</xdr:colOff>
      <xdr:row>16</xdr:row>
      <xdr:rowOff>10501</xdr:rowOff>
    </xdr:to>
    <xdr:sp macro="" textlink="">
      <xdr:nvSpPr>
        <xdr:cNvPr id="244769" name="フリーフォーム: 図形 244768">
          <a:extLst>
            <a:ext uri="{FF2B5EF4-FFF2-40B4-BE49-F238E27FC236}">
              <a16:creationId xmlns:a16="http://schemas.microsoft.com/office/drawing/2014/main" id="{F181C0AA-FD62-4820-A994-AD78C75E5ADC}"/>
            </a:ext>
          </a:extLst>
        </xdr:cNvPr>
        <xdr:cNvSpPr>
          <a:spLocks noChangeAspect="1"/>
        </xdr:cNvSpPr>
      </xdr:nvSpPr>
      <xdr:spPr>
        <a:xfrm>
          <a:off x="167832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5</xdr:row>
      <xdr:rowOff>42450</xdr:rowOff>
    </xdr:from>
    <xdr:to>
      <xdr:col>28</xdr:col>
      <xdr:colOff>93601</xdr:colOff>
      <xdr:row>6</xdr:row>
      <xdr:rowOff>15001</xdr:rowOff>
    </xdr:to>
    <xdr:sp macro="" textlink="">
      <xdr:nvSpPr>
        <xdr:cNvPr id="244770" name="フリーフォーム: 図形 244769">
          <a:extLst>
            <a:ext uri="{FF2B5EF4-FFF2-40B4-BE49-F238E27FC236}">
              <a16:creationId xmlns:a16="http://schemas.microsoft.com/office/drawing/2014/main" id="{C56994CA-182E-4EBD-A5B0-DEDBE2C03F98}"/>
            </a:ext>
          </a:extLst>
        </xdr:cNvPr>
        <xdr:cNvSpPr>
          <a:spLocks noChangeAspect="1"/>
        </xdr:cNvSpPr>
      </xdr:nvSpPr>
      <xdr:spPr>
        <a:xfrm>
          <a:off x="188280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5</xdr:row>
      <xdr:rowOff>42450</xdr:rowOff>
    </xdr:from>
    <xdr:to>
      <xdr:col>28</xdr:col>
      <xdr:colOff>633601</xdr:colOff>
      <xdr:row>6</xdr:row>
      <xdr:rowOff>15001</xdr:rowOff>
    </xdr:to>
    <xdr:sp macro="" textlink="">
      <xdr:nvSpPr>
        <xdr:cNvPr id="244771" name="フリーフォーム: 図形 244770">
          <a:extLst>
            <a:ext uri="{FF2B5EF4-FFF2-40B4-BE49-F238E27FC236}">
              <a16:creationId xmlns:a16="http://schemas.microsoft.com/office/drawing/2014/main" id="{E3DAB9AD-00F1-4236-AD3E-257AE40D38A3}"/>
            </a:ext>
          </a:extLst>
        </xdr:cNvPr>
        <xdr:cNvSpPr>
          <a:spLocks noChangeAspect="1"/>
        </xdr:cNvSpPr>
      </xdr:nvSpPr>
      <xdr:spPr>
        <a:xfrm>
          <a:off x="193680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5</xdr:row>
      <xdr:rowOff>114450</xdr:rowOff>
    </xdr:from>
    <xdr:to>
      <xdr:col>29</xdr:col>
      <xdr:colOff>19801</xdr:colOff>
      <xdr:row>11</xdr:row>
      <xdr:rowOff>21751</xdr:rowOff>
    </xdr:to>
    <xdr:sp macro="" textlink="">
      <xdr:nvSpPr>
        <xdr:cNvPr id="244772" name="フリーフォーム: 図形 244771">
          <a:extLst>
            <a:ext uri="{FF2B5EF4-FFF2-40B4-BE49-F238E27FC236}">
              <a16:creationId xmlns:a16="http://schemas.microsoft.com/office/drawing/2014/main" id="{1A3E4169-8AD7-4E70-9A78-D3D7DEBDB7AE}"/>
            </a:ext>
          </a:extLst>
        </xdr:cNvPr>
        <xdr:cNvSpPr>
          <a:spLocks noChangeAspect="1"/>
        </xdr:cNvSpPr>
      </xdr:nvSpPr>
      <xdr:spPr>
        <a:xfrm>
          <a:off x="196199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11</xdr:row>
      <xdr:rowOff>75750</xdr:rowOff>
    </xdr:from>
    <xdr:to>
      <xdr:col>28</xdr:col>
      <xdr:colOff>525601</xdr:colOff>
      <xdr:row>16</xdr:row>
      <xdr:rowOff>136501</xdr:rowOff>
    </xdr:to>
    <xdr:sp macro="" textlink="">
      <xdr:nvSpPr>
        <xdr:cNvPr id="244773" name="フリーフォーム: 図形 244772">
          <a:extLst>
            <a:ext uri="{FF2B5EF4-FFF2-40B4-BE49-F238E27FC236}">
              <a16:creationId xmlns:a16="http://schemas.microsoft.com/office/drawing/2014/main" id="{396FCDA5-02CA-4E91-9895-CC8C25F7E8FE}"/>
            </a:ext>
          </a:extLst>
        </xdr:cNvPr>
        <xdr:cNvSpPr>
          <a:spLocks noChangeAspect="1"/>
        </xdr:cNvSpPr>
      </xdr:nvSpPr>
      <xdr:spPr>
        <a:xfrm>
          <a:off x="194399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16</xdr:row>
      <xdr:rowOff>64500</xdr:rowOff>
    </xdr:from>
    <xdr:to>
      <xdr:col>27</xdr:col>
      <xdr:colOff>455401</xdr:colOff>
      <xdr:row>17</xdr:row>
      <xdr:rowOff>37051</xdr:rowOff>
    </xdr:to>
    <xdr:sp macro="" textlink="">
      <xdr:nvSpPr>
        <xdr:cNvPr id="244774" name="フリーフォーム: 図形 244773">
          <a:extLst>
            <a:ext uri="{FF2B5EF4-FFF2-40B4-BE49-F238E27FC236}">
              <a16:creationId xmlns:a16="http://schemas.microsoft.com/office/drawing/2014/main" id="{932C7700-5BB1-4EEF-835F-09FA664345BE}"/>
            </a:ext>
          </a:extLst>
        </xdr:cNvPr>
        <xdr:cNvSpPr>
          <a:spLocks noChangeAspect="1"/>
        </xdr:cNvSpPr>
      </xdr:nvSpPr>
      <xdr:spPr>
        <a:xfrm>
          <a:off x="184860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16</xdr:row>
      <xdr:rowOff>64500</xdr:rowOff>
    </xdr:from>
    <xdr:to>
      <xdr:col>28</xdr:col>
      <xdr:colOff>273601</xdr:colOff>
      <xdr:row>17</xdr:row>
      <xdr:rowOff>37051</xdr:rowOff>
    </xdr:to>
    <xdr:sp macro="" textlink="">
      <xdr:nvSpPr>
        <xdr:cNvPr id="244775" name="フリーフォーム: 図形 244774">
          <a:extLst>
            <a:ext uri="{FF2B5EF4-FFF2-40B4-BE49-F238E27FC236}">
              <a16:creationId xmlns:a16="http://schemas.microsoft.com/office/drawing/2014/main" id="{36B6C37A-B941-42AE-9940-4B75493E13A2}"/>
            </a:ext>
          </a:extLst>
        </xdr:cNvPr>
        <xdr:cNvSpPr>
          <a:spLocks noChangeAspect="1"/>
        </xdr:cNvSpPr>
      </xdr:nvSpPr>
      <xdr:spPr>
        <a:xfrm>
          <a:off x="190079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11</xdr:row>
      <xdr:rowOff>75750</xdr:rowOff>
    </xdr:from>
    <xdr:to>
      <xdr:col>27</xdr:col>
      <xdr:colOff>203401</xdr:colOff>
      <xdr:row>16</xdr:row>
      <xdr:rowOff>136501</xdr:rowOff>
    </xdr:to>
    <xdr:sp macro="" textlink="">
      <xdr:nvSpPr>
        <xdr:cNvPr id="244776" name="フリーフォーム: 図形 244775">
          <a:extLst>
            <a:ext uri="{FF2B5EF4-FFF2-40B4-BE49-F238E27FC236}">
              <a16:creationId xmlns:a16="http://schemas.microsoft.com/office/drawing/2014/main" id="{80D1E47E-965C-4CB8-9FD6-924AEC9AD914}"/>
            </a:ext>
          </a:extLst>
        </xdr:cNvPr>
        <xdr:cNvSpPr>
          <a:spLocks noChangeAspect="1"/>
        </xdr:cNvSpPr>
      </xdr:nvSpPr>
      <xdr:spPr>
        <a:xfrm>
          <a:off x="18432001" y="22284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5</xdr:row>
      <xdr:rowOff>114450</xdr:rowOff>
    </xdr:from>
    <xdr:to>
      <xdr:col>27</xdr:col>
      <xdr:colOff>347402</xdr:colOff>
      <xdr:row>11</xdr:row>
      <xdr:rowOff>21751</xdr:rowOff>
    </xdr:to>
    <xdr:sp macro="" textlink="">
      <xdr:nvSpPr>
        <xdr:cNvPr id="244777" name="フリーフォーム: 図形 244776">
          <a:extLst>
            <a:ext uri="{FF2B5EF4-FFF2-40B4-BE49-F238E27FC236}">
              <a16:creationId xmlns:a16="http://schemas.microsoft.com/office/drawing/2014/main" id="{6005CDD9-94BC-4095-823A-B90AFAEF3515}"/>
            </a:ext>
          </a:extLst>
        </xdr:cNvPr>
        <xdr:cNvSpPr>
          <a:spLocks noChangeAspect="1"/>
        </xdr:cNvSpPr>
      </xdr:nvSpPr>
      <xdr:spPr>
        <a:xfrm>
          <a:off x="186120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10</xdr:row>
      <xdr:rowOff>139200</xdr:rowOff>
    </xdr:from>
    <xdr:to>
      <xdr:col>27</xdr:col>
      <xdr:colOff>617401</xdr:colOff>
      <xdr:row>11</xdr:row>
      <xdr:rowOff>111751</xdr:rowOff>
    </xdr:to>
    <xdr:sp macro="" textlink="">
      <xdr:nvSpPr>
        <xdr:cNvPr id="244778" name="フリーフォーム: 図形 244777">
          <a:extLst>
            <a:ext uri="{FF2B5EF4-FFF2-40B4-BE49-F238E27FC236}">
              <a16:creationId xmlns:a16="http://schemas.microsoft.com/office/drawing/2014/main" id="{6F15C33A-4B1E-44DB-80F7-1112EE5B3150}"/>
            </a:ext>
          </a:extLst>
        </xdr:cNvPr>
        <xdr:cNvSpPr>
          <a:spLocks noChangeAspect="1"/>
        </xdr:cNvSpPr>
      </xdr:nvSpPr>
      <xdr:spPr>
        <a:xfrm>
          <a:off x="186840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10</xdr:row>
      <xdr:rowOff>139200</xdr:rowOff>
    </xdr:from>
    <xdr:to>
      <xdr:col>28</xdr:col>
      <xdr:colOff>435601</xdr:colOff>
      <xdr:row>11</xdr:row>
      <xdr:rowOff>111751</xdr:rowOff>
    </xdr:to>
    <xdr:sp macro="" textlink="">
      <xdr:nvSpPr>
        <xdr:cNvPr id="244779" name="フリーフォーム: 図形 244778">
          <a:extLst>
            <a:ext uri="{FF2B5EF4-FFF2-40B4-BE49-F238E27FC236}">
              <a16:creationId xmlns:a16="http://schemas.microsoft.com/office/drawing/2014/main" id="{2247D211-16C5-49FE-B8BD-9B6AD696E091}"/>
            </a:ext>
          </a:extLst>
        </xdr:cNvPr>
        <xdr:cNvSpPr>
          <a:spLocks noChangeAspect="1"/>
        </xdr:cNvSpPr>
      </xdr:nvSpPr>
      <xdr:spPr>
        <a:xfrm>
          <a:off x="191879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6</xdr:row>
      <xdr:rowOff>51000</xdr:rowOff>
    </xdr:from>
    <xdr:to>
      <xdr:col>27</xdr:col>
      <xdr:colOff>635401</xdr:colOff>
      <xdr:row>11</xdr:row>
      <xdr:rowOff>3751</xdr:rowOff>
    </xdr:to>
    <xdr:sp macro="" textlink="">
      <xdr:nvSpPr>
        <xdr:cNvPr id="244780" name="フリーフォーム: 図形 244779">
          <a:extLst>
            <a:ext uri="{FF2B5EF4-FFF2-40B4-BE49-F238E27FC236}">
              <a16:creationId xmlns:a16="http://schemas.microsoft.com/office/drawing/2014/main" id="{DEED7466-063A-42DB-A551-E84A2EF70198}"/>
            </a:ext>
          </a:extLst>
        </xdr:cNvPr>
        <xdr:cNvSpPr>
          <a:spLocks noChangeAspect="1"/>
        </xdr:cNvSpPr>
      </xdr:nvSpPr>
      <xdr:spPr>
        <a:xfrm>
          <a:off x="188819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5</xdr:row>
      <xdr:rowOff>114450</xdr:rowOff>
    </xdr:from>
    <xdr:to>
      <xdr:col>28</xdr:col>
      <xdr:colOff>201601</xdr:colOff>
      <xdr:row>10</xdr:row>
      <xdr:rowOff>157201</xdr:rowOff>
    </xdr:to>
    <xdr:sp macro="" textlink="">
      <xdr:nvSpPr>
        <xdr:cNvPr id="244781" name="フリーフォーム: 図形 244780">
          <a:extLst>
            <a:ext uri="{FF2B5EF4-FFF2-40B4-BE49-F238E27FC236}">
              <a16:creationId xmlns:a16="http://schemas.microsoft.com/office/drawing/2014/main" id="{1C390088-0ABB-4A7C-A34C-2A2238FD2DA6}"/>
            </a:ext>
          </a:extLst>
        </xdr:cNvPr>
        <xdr:cNvSpPr>
          <a:spLocks noChangeAspect="1"/>
        </xdr:cNvSpPr>
      </xdr:nvSpPr>
      <xdr:spPr>
        <a:xfrm>
          <a:off x="191520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6</xdr:row>
      <xdr:rowOff>69000</xdr:rowOff>
    </xdr:from>
    <xdr:to>
      <xdr:col>28</xdr:col>
      <xdr:colOff>525601</xdr:colOff>
      <xdr:row>11</xdr:row>
      <xdr:rowOff>3751</xdr:rowOff>
    </xdr:to>
    <xdr:sp macro="" textlink="">
      <xdr:nvSpPr>
        <xdr:cNvPr id="244782" name="フリーフォーム: 図形 244781">
          <a:extLst>
            <a:ext uri="{FF2B5EF4-FFF2-40B4-BE49-F238E27FC236}">
              <a16:creationId xmlns:a16="http://schemas.microsoft.com/office/drawing/2014/main" id="{06F7CBAF-043F-455E-B854-A46267A0D3A6}"/>
            </a:ext>
          </a:extLst>
        </xdr:cNvPr>
        <xdr:cNvSpPr>
          <a:spLocks noChangeAspect="1"/>
        </xdr:cNvSpPr>
      </xdr:nvSpPr>
      <xdr:spPr>
        <a:xfrm>
          <a:off x="192060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11</xdr:row>
      <xdr:rowOff>75750</xdr:rowOff>
    </xdr:from>
    <xdr:to>
      <xdr:col>28</xdr:col>
      <xdr:colOff>237600</xdr:colOff>
      <xdr:row>15</xdr:row>
      <xdr:rowOff>163951</xdr:rowOff>
    </xdr:to>
    <xdr:sp macro="" textlink="">
      <xdr:nvSpPr>
        <xdr:cNvPr id="244783" name="フリーフォーム: 図形 244782">
          <a:extLst>
            <a:ext uri="{FF2B5EF4-FFF2-40B4-BE49-F238E27FC236}">
              <a16:creationId xmlns:a16="http://schemas.microsoft.com/office/drawing/2014/main" id="{6383508F-9783-49E5-BB74-8D948C269FA6}"/>
            </a:ext>
          </a:extLst>
        </xdr:cNvPr>
        <xdr:cNvSpPr>
          <a:spLocks noChangeAspect="1"/>
        </xdr:cNvSpPr>
      </xdr:nvSpPr>
      <xdr:spPr>
        <a:xfrm>
          <a:off x="191700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11</xdr:row>
      <xdr:rowOff>93750</xdr:rowOff>
    </xdr:from>
    <xdr:to>
      <xdr:col>27</xdr:col>
      <xdr:colOff>653401</xdr:colOff>
      <xdr:row>16</xdr:row>
      <xdr:rowOff>118501</xdr:rowOff>
    </xdr:to>
    <xdr:sp macro="" textlink="">
      <xdr:nvSpPr>
        <xdr:cNvPr id="244784" name="フリーフォーム: 図形 244783">
          <a:extLst>
            <a:ext uri="{FF2B5EF4-FFF2-40B4-BE49-F238E27FC236}">
              <a16:creationId xmlns:a16="http://schemas.microsoft.com/office/drawing/2014/main" id="{C32A4836-C926-41E0-B2F2-900F78E4C473}"/>
            </a:ext>
          </a:extLst>
        </xdr:cNvPr>
        <xdr:cNvSpPr>
          <a:spLocks noChangeAspect="1"/>
        </xdr:cNvSpPr>
      </xdr:nvSpPr>
      <xdr:spPr>
        <a:xfrm>
          <a:off x="189360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11</xdr:row>
      <xdr:rowOff>75750</xdr:rowOff>
    </xdr:from>
    <xdr:to>
      <xdr:col>27</xdr:col>
      <xdr:colOff>617401</xdr:colOff>
      <xdr:row>16</xdr:row>
      <xdr:rowOff>10501</xdr:rowOff>
    </xdr:to>
    <xdr:sp macro="" textlink="">
      <xdr:nvSpPr>
        <xdr:cNvPr id="244785" name="フリーフォーム: 図形 244784">
          <a:extLst>
            <a:ext uri="{FF2B5EF4-FFF2-40B4-BE49-F238E27FC236}">
              <a16:creationId xmlns:a16="http://schemas.microsoft.com/office/drawing/2014/main" id="{9458FF19-B7A2-48CD-A678-CF5547165812}"/>
            </a:ext>
          </a:extLst>
        </xdr:cNvPr>
        <xdr:cNvSpPr>
          <a:spLocks noChangeAspect="1"/>
        </xdr:cNvSpPr>
      </xdr:nvSpPr>
      <xdr:spPr>
        <a:xfrm>
          <a:off x="186120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5</xdr:row>
      <xdr:rowOff>42450</xdr:rowOff>
    </xdr:from>
    <xdr:to>
      <xdr:col>30</xdr:col>
      <xdr:colOff>550801</xdr:colOff>
      <xdr:row>6</xdr:row>
      <xdr:rowOff>15001</xdr:rowOff>
    </xdr:to>
    <xdr:sp macro="" textlink="">
      <xdr:nvSpPr>
        <xdr:cNvPr id="244786" name="フリーフォーム: 図形 244785">
          <a:extLst>
            <a:ext uri="{FF2B5EF4-FFF2-40B4-BE49-F238E27FC236}">
              <a16:creationId xmlns:a16="http://schemas.microsoft.com/office/drawing/2014/main" id="{68987CB7-BDE9-4C95-94CF-AF385A98A823}"/>
            </a:ext>
          </a:extLst>
        </xdr:cNvPr>
        <xdr:cNvSpPr>
          <a:spLocks noChangeAspect="1"/>
        </xdr:cNvSpPr>
      </xdr:nvSpPr>
      <xdr:spPr>
        <a:xfrm>
          <a:off x="206568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5</xdr:row>
      <xdr:rowOff>42450</xdr:rowOff>
    </xdr:from>
    <xdr:to>
      <xdr:col>31</xdr:col>
      <xdr:colOff>405001</xdr:colOff>
      <xdr:row>6</xdr:row>
      <xdr:rowOff>15001</xdr:rowOff>
    </xdr:to>
    <xdr:sp macro="" textlink="">
      <xdr:nvSpPr>
        <xdr:cNvPr id="244787" name="フリーフォーム: 図形 244786">
          <a:extLst>
            <a:ext uri="{FF2B5EF4-FFF2-40B4-BE49-F238E27FC236}">
              <a16:creationId xmlns:a16="http://schemas.microsoft.com/office/drawing/2014/main" id="{FAB493AC-DA7A-4F30-B5EB-B2CA0D999624}"/>
            </a:ext>
          </a:extLst>
        </xdr:cNvPr>
        <xdr:cNvSpPr>
          <a:spLocks noChangeAspect="1"/>
        </xdr:cNvSpPr>
      </xdr:nvSpPr>
      <xdr:spPr>
        <a:xfrm>
          <a:off x="211968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5</xdr:row>
      <xdr:rowOff>114450</xdr:rowOff>
    </xdr:from>
    <xdr:to>
      <xdr:col>31</xdr:col>
      <xdr:colOff>477001</xdr:colOff>
      <xdr:row>11</xdr:row>
      <xdr:rowOff>21751</xdr:rowOff>
    </xdr:to>
    <xdr:sp macro="" textlink="">
      <xdr:nvSpPr>
        <xdr:cNvPr id="244788" name="フリーフォーム: 図形 244787">
          <a:extLst>
            <a:ext uri="{FF2B5EF4-FFF2-40B4-BE49-F238E27FC236}">
              <a16:creationId xmlns:a16="http://schemas.microsoft.com/office/drawing/2014/main" id="{EF6BAB0D-2DB0-44C3-93AD-EFEFE47BA716}"/>
            </a:ext>
          </a:extLst>
        </xdr:cNvPr>
        <xdr:cNvSpPr>
          <a:spLocks noChangeAspect="1"/>
        </xdr:cNvSpPr>
      </xdr:nvSpPr>
      <xdr:spPr>
        <a:xfrm>
          <a:off x="214487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11</xdr:row>
      <xdr:rowOff>75750</xdr:rowOff>
    </xdr:from>
    <xdr:to>
      <xdr:col>31</xdr:col>
      <xdr:colOff>297001</xdr:colOff>
      <xdr:row>16</xdr:row>
      <xdr:rowOff>136501</xdr:rowOff>
    </xdr:to>
    <xdr:sp macro="" textlink="">
      <xdr:nvSpPr>
        <xdr:cNvPr id="244789" name="フリーフォーム: 図形 244788">
          <a:extLst>
            <a:ext uri="{FF2B5EF4-FFF2-40B4-BE49-F238E27FC236}">
              <a16:creationId xmlns:a16="http://schemas.microsoft.com/office/drawing/2014/main" id="{A751979E-1AB1-4F7F-B219-3C7686CDD5E3}"/>
            </a:ext>
          </a:extLst>
        </xdr:cNvPr>
        <xdr:cNvSpPr>
          <a:spLocks noChangeAspect="1"/>
        </xdr:cNvSpPr>
      </xdr:nvSpPr>
      <xdr:spPr>
        <a:xfrm>
          <a:off x="212687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16</xdr:row>
      <xdr:rowOff>64500</xdr:rowOff>
    </xdr:from>
    <xdr:to>
      <xdr:col>30</xdr:col>
      <xdr:colOff>226801</xdr:colOff>
      <xdr:row>17</xdr:row>
      <xdr:rowOff>37051</xdr:rowOff>
    </xdr:to>
    <xdr:sp macro="" textlink="">
      <xdr:nvSpPr>
        <xdr:cNvPr id="244790" name="フリーフォーム: 図形 244789">
          <a:extLst>
            <a:ext uri="{FF2B5EF4-FFF2-40B4-BE49-F238E27FC236}">
              <a16:creationId xmlns:a16="http://schemas.microsoft.com/office/drawing/2014/main" id="{2C76F689-7F15-4FBA-BC0C-3EC7F4B87E31}"/>
            </a:ext>
          </a:extLst>
        </xdr:cNvPr>
        <xdr:cNvSpPr>
          <a:spLocks noChangeAspect="1"/>
        </xdr:cNvSpPr>
      </xdr:nvSpPr>
      <xdr:spPr>
        <a:xfrm>
          <a:off x="203148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16</xdr:row>
      <xdr:rowOff>64500</xdr:rowOff>
    </xdr:from>
    <xdr:to>
      <xdr:col>31</xdr:col>
      <xdr:colOff>45001</xdr:colOff>
      <xdr:row>17</xdr:row>
      <xdr:rowOff>37051</xdr:rowOff>
    </xdr:to>
    <xdr:sp macro="" textlink="">
      <xdr:nvSpPr>
        <xdr:cNvPr id="244791" name="フリーフォーム: 図形 244790">
          <a:extLst>
            <a:ext uri="{FF2B5EF4-FFF2-40B4-BE49-F238E27FC236}">
              <a16:creationId xmlns:a16="http://schemas.microsoft.com/office/drawing/2014/main" id="{4BC8F4B9-6D89-45BC-B77C-D4778D23F6E2}"/>
            </a:ext>
          </a:extLst>
        </xdr:cNvPr>
        <xdr:cNvSpPr>
          <a:spLocks noChangeAspect="1"/>
        </xdr:cNvSpPr>
      </xdr:nvSpPr>
      <xdr:spPr>
        <a:xfrm>
          <a:off x="208367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11</xdr:row>
      <xdr:rowOff>75750</xdr:rowOff>
    </xdr:from>
    <xdr:to>
      <xdr:col>29</xdr:col>
      <xdr:colOff>660601</xdr:colOff>
      <xdr:row>16</xdr:row>
      <xdr:rowOff>136501</xdr:rowOff>
    </xdr:to>
    <xdr:sp macro="" textlink="">
      <xdr:nvSpPr>
        <xdr:cNvPr id="244792" name="フリーフォーム: 図形 244791">
          <a:extLst>
            <a:ext uri="{FF2B5EF4-FFF2-40B4-BE49-F238E27FC236}">
              <a16:creationId xmlns:a16="http://schemas.microsoft.com/office/drawing/2014/main" id="{41354E01-65DE-44C7-BBF7-2CC5B4DBC86F}"/>
            </a:ext>
          </a:extLst>
        </xdr:cNvPr>
        <xdr:cNvSpPr>
          <a:spLocks noChangeAspect="1"/>
        </xdr:cNvSpPr>
      </xdr:nvSpPr>
      <xdr:spPr>
        <a:xfrm>
          <a:off x="20260801" y="22284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5</xdr:row>
      <xdr:rowOff>114450</xdr:rowOff>
    </xdr:from>
    <xdr:to>
      <xdr:col>30</xdr:col>
      <xdr:colOff>118802</xdr:colOff>
      <xdr:row>11</xdr:row>
      <xdr:rowOff>21751</xdr:rowOff>
    </xdr:to>
    <xdr:sp macro="" textlink="">
      <xdr:nvSpPr>
        <xdr:cNvPr id="244793" name="フリーフォーム: 図形 244792">
          <a:extLst>
            <a:ext uri="{FF2B5EF4-FFF2-40B4-BE49-F238E27FC236}">
              <a16:creationId xmlns:a16="http://schemas.microsoft.com/office/drawing/2014/main" id="{464726F7-358B-4F77-B244-BEDB91F0CCD4}"/>
            </a:ext>
          </a:extLst>
        </xdr:cNvPr>
        <xdr:cNvSpPr>
          <a:spLocks noChangeAspect="1"/>
        </xdr:cNvSpPr>
      </xdr:nvSpPr>
      <xdr:spPr>
        <a:xfrm>
          <a:off x="204408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10</xdr:row>
      <xdr:rowOff>139200</xdr:rowOff>
    </xdr:from>
    <xdr:to>
      <xdr:col>30</xdr:col>
      <xdr:colOff>388801</xdr:colOff>
      <xdr:row>11</xdr:row>
      <xdr:rowOff>111751</xdr:rowOff>
    </xdr:to>
    <xdr:sp macro="" textlink="">
      <xdr:nvSpPr>
        <xdr:cNvPr id="244794" name="フリーフォーム: 図形 244793">
          <a:extLst>
            <a:ext uri="{FF2B5EF4-FFF2-40B4-BE49-F238E27FC236}">
              <a16:creationId xmlns:a16="http://schemas.microsoft.com/office/drawing/2014/main" id="{01D78B06-DA49-411A-A313-C75E8B794E35}"/>
            </a:ext>
          </a:extLst>
        </xdr:cNvPr>
        <xdr:cNvSpPr>
          <a:spLocks noChangeAspect="1"/>
        </xdr:cNvSpPr>
      </xdr:nvSpPr>
      <xdr:spPr>
        <a:xfrm>
          <a:off x="205128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10</xdr:row>
      <xdr:rowOff>139200</xdr:rowOff>
    </xdr:from>
    <xdr:to>
      <xdr:col>31</xdr:col>
      <xdr:colOff>207001</xdr:colOff>
      <xdr:row>11</xdr:row>
      <xdr:rowOff>111751</xdr:rowOff>
    </xdr:to>
    <xdr:sp macro="" textlink="">
      <xdr:nvSpPr>
        <xdr:cNvPr id="244795" name="フリーフォーム: 図形 244794">
          <a:extLst>
            <a:ext uri="{FF2B5EF4-FFF2-40B4-BE49-F238E27FC236}">
              <a16:creationId xmlns:a16="http://schemas.microsoft.com/office/drawing/2014/main" id="{EB2D910F-4BE1-43D6-9B9E-91E391DDAED1}"/>
            </a:ext>
          </a:extLst>
        </xdr:cNvPr>
        <xdr:cNvSpPr>
          <a:spLocks noChangeAspect="1"/>
        </xdr:cNvSpPr>
      </xdr:nvSpPr>
      <xdr:spPr>
        <a:xfrm>
          <a:off x="210167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6</xdr:row>
      <xdr:rowOff>51000</xdr:rowOff>
    </xdr:from>
    <xdr:to>
      <xdr:col>30</xdr:col>
      <xdr:colOff>406801</xdr:colOff>
      <xdr:row>11</xdr:row>
      <xdr:rowOff>3751</xdr:rowOff>
    </xdr:to>
    <xdr:sp macro="" textlink="">
      <xdr:nvSpPr>
        <xdr:cNvPr id="244796" name="フリーフォーム: 図形 244795">
          <a:extLst>
            <a:ext uri="{FF2B5EF4-FFF2-40B4-BE49-F238E27FC236}">
              <a16:creationId xmlns:a16="http://schemas.microsoft.com/office/drawing/2014/main" id="{444D38BB-305F-4451-A028-B24DF5DE704E}"/>
            </a:ext>
          </a:extLst>
        </xdr:cNvPr>
        <xdr:cNvSpPr>
          <a:spLocks noChangeAspect="1"/>
        </xdr:cNvSpPr>
      </xdr:nvSpPr>
      <xdr:spPr>
        <a:xfrm>
          <a:off x="207107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5</xdr:row>
      <xdr:rowOff>114450</xdr:rowOff>
    </xdr:from>
    <xdr:to>
      <xdr:col>30</xdr:col>
      <xdr:colOff>658801</xdr:colOff>
      <xdr:row>10</xdr:row>
      <xdr:rowOff>157201</xdr:rowOff>
    </xdr:to>
    <xdr:sp macro="" textlink="">
      <xdr:nvSpPr>
        <xdr:cNvPr id="244797" name="フリーフォーム: 図形 244796">
          <a:extLst>
            <a:ext uri="{FF2B5EF4-FFF2-40B4-BE49-F238E27FC236}">
              <a16:creationId xmlns:a16="http://schemas.microsoft.com/office/drawing/2014/main" id="{67DD2F80-C1FC-445E-8FDD-5390387E9BE5}"/>
            </a:ext>
          </a:extLst>
        </xdr:cNvPr>
        <xdr:cNvSpPr>
          <a:spLocks noChangeAspect="1"/>
        </xdr:cNvSpPr>
      </xdr:nvSpPr>
      <xdr:spPr>
        <a:xfrm>
          <a:off x="209808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6</xdr:row>
      <xdr:rowOff>69000</xdr:rowOff>
    </xdr:from>
    <xdr:to>
      <xdr:col>31</xdr:col>
      <xdr:colOff>297001</xdr:colOff>
      <xdr:row>11</xdr:row>
      <xdr:rowOff>3751</xdr:rowOff>
    </xdr:to>
    <xdr:sp macro="" textlink="">
      <xdr:nvSpPr>
        <xdr:cNvPr id="244798" name="フリーフォーム: 図形 244797">
          <a:extLst>
            <a:ext uri="{FF2B5EF4-FFF2-40B4-BE49-F238E27FC236}">
              <a16:creationId xmlns:a16="http://schemas.microsoft.com/office/drawing/2014/main" id="{32ECCA7F-A860-4E90-AEB3-C8641A9A69F8}"/>
            </a:ext>
          </a:extLst>
        </xdr:cNvPr>
        <xdr:cNvSpPr>
          <a:spLocks noChangeAspect="1"/>
        </xdr:cNvSpPr>
      </xdr:nvSpPr>
      <xdr:spPr>
        <a:xfrm>
          <a:off x="210348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11</xdr:row>
      <xdr:rowOff>75750</xdr:rowOff>
    </xdr:from>
    <xdr:to>
      <xdr:col>31</xdr:col>
      <xdr:colOff>9000</xdr:colOff>
      <xdr:row>15</xdr:row>
      <xdr:rowOff>163951</xdr:rowOff>
    </xdr:to>
    <xdr:sp macro="" textlink="">
      <xdr:nvSpPr>
        <xdr:cNvPr id="244799" name="フリーフォーム: 図形 244798">
          <a:extLst>
            <a:ext uri="{FF2B5EF4-FFF2-40B4-BE49-F238E27FC236}">
              <a16:creationId xmlns:a16="http://schemas.microsoft.com/office/drawing/2014/main" id="{F0AEFE9F-7EB7-47FD-887B-EF777BD07B1A}"/>
            </a:ext>
          </a:extLst>
        </xdr:cNvPr>
        <xdr:cNvSpPr>
          <a:spLocks noChangeAspect="1"/>
        </xdr:cNvSpPr>
      </xdr:nvSpPr>
      <xdr:spPr>
        <a:xfrm>
          <a:off x="209988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11</xdr:row>
      <xdr:rowOff>93750</xdr:rowOff>
    </xdr:from>
    <xdr:to>
      <xdr:col>30</xdr:col>
      <xdr:colOff>424801</xdr:colOff>
      <xdr:row>16</xdr:row>
      <xdr:rowOff>118501</xdr:rowOff>
    </xdr:to>
    <xdr:sp macro="" textlink="">
      <xdr:nvSpPr>
        <xdr:cNvPr id="244800" name="フリーフォーム: 図形 244799">
          <a:extLst>
            <a:ext uri="{FF2B5EF4-FFF2-40B4-BE49-F238E27FC236}">
              <a16:creationId xmlns:a16="http://schemas.microsoft.com/office/drawing/2014/main" id="{F1B8472B-EFDF-40F7-87E6-BAB00C56DCA7}"/>
            </a:ext>
          </a:extLst>
        </xdr:cNvPr>
        <xdr:cNvSpPr>
          <a:spLocks noChangeAspect="1"/>
        </xdr:cNvSpPr>
      </xdr:nvSpPr>
      <xdr:spPr>
        <a:xfrm>
          <a:off x="207648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11</xdr:row>
      <xdr:rowOff>75750</xdr:rowOff>
    </xdr:from>
    <xdr:to>
      <xdr:col>30</xdr:col>
      <xdr:colOff>388801</xdr:colOff>
      <xdr:row>16</xdr:row>
      <xdr:rowOff>10501</xdr:rowOff>
    </xdr:to>
    <xdr:sp macro="" textlink="">
      <xdr:nvSpPr>
        <xdr:cNvPr id="244801" name="フリーフォーム: 図形 244800">
          <a:extLst>
            <a:ext uri="{FF2B5EF4-FFF2-40B4-BE49-F238E27FC236}">
              <a16:creationId xmlns:a16="http://schemas.microsoft.com/office/drawing/2014/main" id="{4C1D240F-B6F5-4404-9330-CEED9F270205}"/>
            </a:ext>
          </a:extLst>
        </xdr:cNvPr>
        <xdr:cNvSpPr>
          <a:spLocks noChangeAspect="1"/>
        </xdr:cNvSpPr>
      </xdr:nvSpPr>
      <xdr:spPr>
        <a:xfrm>
          <a:off x="204408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5</xdr:row>
      <xdr:rowOff>42450</xdr:rowOff>
    </xdr:from>
    <xdr:to>
      <xdr:col>33</xdr:col>
      <xdr:colOff>322201</xdr:colOff>
      <xdr:row>6</xdr:row>
      <xdr:rowOff>15001</xdr:rowOff>
    </xdr:to>
    <xdr:sp macro="" textlink="">
      <xdr:nvSpPr>
        <xdr:cNvPr id="244802" name="フリーフォーム: 図形 244801">
          <a:extLst>
            <a:ext uri="{FF2B5EF4-FFF2-40B4-BE49-F238E27FC236}">
              <a16:creationId xmlns:a16="http://schemas.microsoft.com/office/drawing/2014/main" id="{F4E5A14C-B2F1-41FB-B9BB-68B29EEE0BFD}"/>
            </a:ext>
          </a:extLst>
        </xdr:cNvPr>
        <xdr:cNvSpPr>
          <a:spLocks noChangeAspect="1"/>
        </xdr:cNvSpPr>
      </xdr:nvSpPr>
      <xdr:spPr>
        <a:xfrm>
          <a:off x="224856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5</xdr:row>
      <xdr:rowOff>42450</xdr:rowOff>
    </xdr:from>
    <xdr:to>
      <xdr:col>34</xdr:col>
      <xdr:colOff>176401</xdr:colOff>
      <xdr:row>6</xdr:row>
      <xdr:rowOff>15001</xdr:rowOff>
    </xdr:to>
    <xdr:sp macro="" textlink="">
      <xdr:nvSpPr>
        <xdr:cNvPr id="244803" name="フリーフォーム: 図形 244802">
          <a:extLst>
            <a:ext uri="{FF2B5EF4-FFF2-40B4-BE49-F238E27FC236}">
              <a16:creationId xmlns:a16="http://schemas.microsoft.com/office/drawing/2014/main" id="{483BCEF5-BF61-4F9F-8614-9B12C4B18392}"/>
            </a:ext>
          </a:extLst>
        </xdr:cNvPr>
        <xdr:cNvSpPr>
          <a:spLocks noChangeAspect="1"/>
        </xdr:cNvSpPr>
      </xdr:nvSpPr>
      <xdr:spPr>
        <a:xfrm>
          <a:off x="230256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5</xdr:row>
      <xdr:rowOff>114450</xdr:rowOff>
    </xdr:from>
    <xdr:to>
      <xdr:col>34</xdr:col>
      <xdr:colOff>248401</xdr:colOff>
      <xdr:row>11</xdr:row>
      <xdr:rowOff>21751</xdr:rowOff>
    </xdr:to>
    <xdr:sp macro="" textlink="">
      <xdr:nvSpPr>
        <xdr:cNvPr id="244804" name="フリーフォーム: 図形 244803">
          <a:extLst>
            <a:ext uri="{FF2B5EF4-FFF2-40B4-BE49-F238E27FC236}">
              <a16:creationId xmlns:a16="http://schemas.microsoft.com/office/drawing/2014/main" id="{E68C920D-50A1-44E8-8368-5CCE9088D22F}"/>
            </a:ext>
          </a:extLst>
        </xdr:cNvPr>
        <xdr:cNvSpPr>
          <a:spLocks noChangeAspect="1"/>
        </xdr:cNvSpPr>
      </xdr:nvSpPr>
      <xdr:spPr>
        <a:xfrm>
          <a:off x="232775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11</xdr:row>
      <xdr:rowOff>75750</xdr:rowOff>
    </xdr:from>
    <xdr:to>
      <xdr:col>34</xdr:col>
      <xdr:colOff>68401</xdr:colOff>
      <xdr:row>16</xdr:row>
      <xdr:rowOff>136501</xdr:rowOff>
    </xdr:to>
    <xdr:sp macro="" textlink="">
      <xdr:nvSpPr>
        <xdr:cNvPr id="244805" name="フリーフォーム: 図形 244804">
          <a:extLst>
            <a:ext uri="{FF2B5EF4-FFF2-40B4-BE49-F238E27FC236}">
              <a16:creationId xmlns:a16="http://schemas.microsoft.com/office/drawing/2014/main" id="{3D1A1038-EF29-4E92-86C3-728714E84B22}"/>
            </a:ext>
          </a:extLst>
        </xdr:cNvPr>
        <xdr:cNvSpPr>
          <a:spLocks noChangeAspect="1"/>
        </xdr:cNvSpPr>
      </xdr:nvSpPr>
      <xdr:spPr>
        <a:xfrm>
          <a:off x="230975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16</xdr:row>
      <xdr:rowOff>64500</xdr:rowOff>
    </xdr:from>
    <xdr:to>
      <xdr:col>32</xdr:col>
      <xdr:colOff>684001</xdr:colOff>
      <xdr:row>17</xdr:row>
      <xdr:rowOff>37051</xdr:rowOff>
    </xdr:to>
    <xdr:sp macro="" textlink="">
      <xdr:nvSpPr>
        <xdr:cNvPr id="244806" name="フリーフォーム: 図形 244805">
          <a:extLst>
            <a:ext uri="{FF2B5EF4-FFF2-40B4-BE49-F238E27FC236}">
              <a16:creationId xmlns:a16="http://schemas.microsoft.com/office/drawing/2014/main" id="{4E6C2136-E736-4870-8468-0B00F3BB3441}"/>
            </a:ext>
          </a:extLst>
        </xdr:cNvPr>
        <xdr:cNvSpPr>
          <a:spLocks noChangeAspect="1"/>
        </xdr:cNvSpPr>
      </xdr:nvSpPr>
      <xdr:spPr>
        <a:xfrm>
          <a:off x="221436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16</xdr:row>
      <xdr:rowOff>64500</xdr:rowOff>
    </xdr:from>
    <xdr:to>
      <xdr:col>33</xdr:col>
      <xdr:colOff>502201</xdr:colOff>
      <xdr:row>17</xdr:row>
      <xdr:rowOff>37051</xdr:rowOff>
    </xdr:to>
    <xdr:sp macro="" textlink="">
      <xdr:nvSpPr>
        <xdr:cNvPr id="244807" name="フリーフォーム: 図形 244806">
          <a:extLst>
            <a:ext uri="{FF2B5EF4-FFF2-40B4-BE49-F238E27FC236}">
              <a16:creationId xmlns:a16="http://schemas.microsoft.com/office/drawing/2014/main" id="{132CCBD9-81A2-406C-A700-285323CE94C1}"/>
            </a:ext>
          </a:extLst>
        </xdr:cNvPr>
        <xdr:cNvSpPr>
          <a:spLocks noChangeAspect="1"/>
        </xdr:cNvSpPr>
      </xdr:nvSpPr>
      <xdr:spPr>
        <a:xfrm>
          <a:off x="226655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11</xdr:row>
      <xdr:rowOff>75750</xdr:rowOff>
    </xdr:from>
    <xdr:to>
      <xdr:col>32</xdr:col>
      <xdr:colOff>432001</xdr:colOff>
      <xdr:row>16</xdr:row>
      <xdr:rowOff>136501</xdr:rowOff>
    </xdr:to>
    <xdr:sp macro="" textlink="">
      <xdr:nvSpPr>
        <xdr:cNvPr id="244808" name="フリーフォーム: 図形 244807">
          <a:extLst>
            <a:ext uri="{FF2B5EF4-FFF2-40B4-BE49-F238E27FC236}">
              <a16:creationId xmlns:a16="http://schemas.microsoft.com/office/drawing/2014/main" id="{3F689C42-04E6-4429-99DC-AD663BD54B86}"/>
            </a:ext>
          </a:extLst>
        </xdr:cNvPr>
        <xdr:cNvSpPr>
          <a:spLocks noChangeAspect="1"/>
        </xdr:cNvSpPr>
      </xdr:nvSpPr>
      <xdr:spPr>
        <a:xfrm>
          <a:off x="22089601" y="22284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5</xdr:row>
      <xdr:rowOff>114450</xdr:rowOff>
    </xdr:from>
    <xdr:to>
      <xdr:col>32</xdr:col>
      <xdr:colOff>576002</xdr:colOff>
      <xdr:row>11</xdr:row>
      <xdr:rowOff>21751</xdr:rowOff>
    </xdr:to>
    <xdr:sp macro="" textlink="">
      <xdr:nvSpPr>
        <xdr:cNvPr id="244809" name="フリーフォーム: 図形 244808">
          <a:extLst>
            <a:ext uri="{FF2B5EF4-FFF2-40B4-BE49-F238E27FC236}">
              <a16:creationId xmlns:a16="http://schemas.microsoft.com/office/drawing/2014/main" id="{7F8B5C07-58A4-42AC-992D-08370F001D80}"/>
            </a:ext>
          </a:extLst>
        </xdr:cNvPr>
        <xdr:cNvSpPr>
          <a:spLocks noChangeAspect="1"/>
        </xdr:cNvSpPr>
      </xdr:nvSpPr>
      <xdr:spPr>
        <a:xfrm>
          <a:off x="222696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10</xdr:row>
      <xdr:rowOff>139200</xdr:rowOff>
    </xdr:from>
    <xdr:to>
      <xdr:col>33</xdr:col>
      <xdr:colOff>160201</xdr:colOff>
      <xdr:row>11</xdr:row>
      <xdr:rowOff>111751</xdr:rowOff>
    </xdr:to>
    <xdr:sp macro="" textlink="">
      <xdr:nvSpPr>
        <xdr:cNvPr id="244810" name="フリーフォーム: 図形 244809">
          <a:extLst>
            <a:ext uri="{FF2B5EF4-FFF2-40B4-BE49-F238E27FC236}">
              <a16:creationId xmlns:a16="http://schemas.microsoft.com/office/drawing/2014/main" id="{C96E7740-E3C6-477A-AB7A-0FD20E07B4AB}"/>
            </a:ext>
          </a:extLst>
        </xdr:cNvPr>
        <xdr:cNvSpPr>
          <a:spLocks noChangeAspect="1"/>
        </xdr:cNvSpPr>
      </xdr:nvSpPr>
      <xdr:spPr>
        <a:xfrm>
          <a:off x="223416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10</xdr:row>
      <xdr:rowOff>139200</xdr:rowOff>
    </xdr:from>
    <xdr:to>
      <xdr:col>33</xdr:col>
      <xdr:colOff>664201</xdr:colOff>
      <xdr:row>11</xdr:row>
      <xdr:rowOff>111751</xdr:rowOff>
    </xdr:to>
    <xdr:sp macro="" textlink="">
      <xdr:nvSpPr>
        <xdr:cNvPr id="244811" name="フリーフォーム: 図形 244810">
          <a:extLst>
            <a:ext uri="{FF2B5EF4-FFF2-40B4-BE49-F238E27FC236}">
              <a16:creationId xmlns:a16="http://schemas.microsoft.com/office/drawing/2014/main" id="{B3F2F768-0B90-4AD8-AB1A-7B7C1E831382}"/>
            </a:ext>
          </a:extLst>
        </xdr:cNvPr>
        <xdr:cNvSpPr>
          <a:spLocks noChangeAspect="1"/>
        </xdr:cNvSpPr>
      </xdr:nvSpPr>
      <xdr:spPr>
        <a:xfrm>
          <a:off x="228455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6</xdr:row>
      <xdr:rowOff>51000</xdr:rowOff>
    </xdr:from>
    <xdr:to>
      <xdr:col>33</xdr:col>
      <xdr:colOff>178201</xdr:colOff>
      <xdr:row>11</xdr:row>
      <xdr:rowOff>3751</xdr:rowOff>
    </xdr:to>
    <xdr:sp macro="" textlink="">
      <xdr:nvSpPr>
        <xdr:cNvPr id="244812" name="フリーフォーム: 図形 244811">
          <a:extLst>
            <a:ext uri="{FF2B5EF4-FFF2-40B4-BE49-F238E27FC236}">
              <a16:creationId xmlns:a16="http://schemas.microsoft.com/office/drawing/2014/main" id="{7C2B1194-1FB0-4AA5-B7DA-85A3B2D91E87}"/>
            </a:ext>
          </a:extLst>
        </xdr:cNvPr>
        <xdr:cNvSpPr>
          <a:spLocks noChangeAspect="1"/>
        </xdr:cNvSpPr>
      </xdr:nvSpPr>
      <xdr:spPr>
        <a:xfrm>
          <a:off x="225395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5</xdr:row>
      <xdr:rowOff>114450</xdr:rowOff>
    </xdr:from>
    <xdr:to>
      <xdr:col>33</xdr:col>
      <xdr:colOff>430201</xdr:colOff>
      <xdr:row>10</xdr:row>
      <xdr:rowOff>157201</xdr:rowOff>
    </xdr:to>
    <xdr:sp macro="" textlink="">
      <xdr:nvSpPr>
        <xdr:cNvPr id="244813" name="フリーフォーム: 図形 244812">
          <a:extLst>
            <a:ext uri="{FF2B5EF4-FFF2-40B4-BE49-F238E27FC236}">
              <a16:creationId xmlns:a16="http://schemas.microsoft.com/office/drawing/2014/main" id="{EA914684-6CAC-4A07-B432-A9D9E796DA8C}"/>
            </a:ext>
          </a:extLst>
        </xdr:cNvPr>
        <xdr:cNvSpPr>
          <a:spLocks noChangeAspect="1"/>
        </xdr:cNvSpPr>
      </xdr:nvSpPr>
      <xdr:spPr>
        <a:xfrm>
          <a:off x="228096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6</xdr:row>
      <xdr:rowOff>69000</xdr:rowOff>
    </xdr:from>
    <xdr:to>
      <xdr:col>34</xdr:col>
      <xdr:colOff>68401</xdr:colOff>
      <xdr:row>11</xdr:row>
      <xdr:rowOff>3751</xdr:rowOff>
    </xdr:to>
    <xdr:sp macro="" textlink="">
      <xdr:nvSpPr>
        <xdr:cNvPr id="244814" name="フリーフォーム: 図形 244813">
          <a:extLst>
            <a:ext uri="{FF2B5EF4-FFF2-40B4-BE49-F238E27FC236}">
              <a16:creationId xmlns:a16="http://schemas.microsoft.com/office/drawing/2014/main" id="{332EF3A8-87A5-401C-9FD3-F02687F3611D}"/>
            </a:ext>
          </a:extLst>
        </xdr:cNvPr>
        <xdr:cNvSpPr>
          <a:spLocks noChangeAspect="1"/>
        </xdr:cNvSpPr>
      </xdr:nvSpPr>
      <xdr:spPr>
        <a:xfrm>
          <a:off x="228636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11</xdr:row>
      <xdr:rowOff>75750</xdr:rowOff>
    </xdr:from>
    <xdr:to>
      <xdr:col>33</xdr:col>
      <xdr:colOff>466200</xdr:colOff>
      <xdr:row>15</xdr:row>
      <xdr:rowOff>163951</xdr:rowOff>
    </xdr:to>
    <xdr:sp macro="" textlink="">
      <xdr:nvSpPr>
        <xdr:cNvPr id="244815" name="フリーフォーム: 図形 244814">
          <a:extLst>
            <a:ext uri="{FF2B5EF4-FFF2-40B4-BE49-F238E27FC236}">
              <a16:creationId xmlns:a16="http://schemas.microsoft.com/office/drawing/2014/main" id="{47C7F6DD-5E46-4845-8E1D-1C15C6230837}"/>
            </a:ext>
          </a:extLst>
        </xdr:cNvPr>
        <xdr:cNvSpPr>
          <a:spLocks noChangeAspect="1"/>
        </xdr:cNvSpPr>
      </xdr:nvSpPr>
      <xdr:spPr>
        <a:xfrm>
          <a:off x="228276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11</xdr:row>
      <xdr:rowOff>93750</xdr:rowOff>
    </xdr:from>
    <xdr:to>
      <xdr:col>33</xdr:col>
      <xdr:colOff>196201</xdr:colOff>
      <xdr:row>16</xdr:row>
      <xdr:rowOff>118501</xdr:rowOff>
    </xdr:to>
    <xdr:sp macro="" textlink="">
      <xdr:nvSpPr>
        <xdr:cNvPr id="244816" name="フリーフォーム: 図形 244815">
          <a:extLst>
            <a:ext uri="{FF2B5EF4-FFF2-40B4-BE49-F238E27FC236}">
              <a16:creationId xmlns:a16="http://schemas.microsoft.com/office/drawing/2014/main" id="{ABE761B8-6C89-407E-92F5-3450BF421289}"/>
            </a:ext>
          </a:extLst>
        </xdr:cNvPr>
        <xdr:cNvSpPr>
          <a:spLocks noChangeAspect="1"/>
        </xdr:cNvSpPr>
      </xdr:nvSpPr>
      <xdr:spPr>
        <a:xfrm>
          <a:off x="225936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11</xdr:row>
      <xdr:rowOff>75750</xdr:rowOff>
    </xdr:from>
    <xdr:to>
      <xdr:col>33</xdr:col>
      <xdr:colOff>160201</xdr:colOff>
      <xdr:row>16</xdr:row>
      <xdr:rowOff>10501</xdr:rowOff>
    </xdr:to>
    <xdr:sp macro="" textlink="">
      <xdr:nvSpPr>
        <xdr:cNvPr id="244817" name="フリーフォーム: 図形 244816">
          <a:extLst>
            <a:ext uri="{FF2B5EF4-FFF2-40B4-BE49-F238E27FC236}">
              <a16:creationId xmlns:a16="http://schemas.microsoft.com/office/drawing/2014/main" id="{D2DCD8B5-50B7-47F0-B8C5-EBAA647331A0}"/>
            </a:ext>
          </a:extLst>
        </xdr:cNvPr>
        <xdr:cNvSpPr>
          <a:spLocks noChangeAspect="1"/>
        </xdr:cNvSpPr>
      </xdr:nvSpPr>
      <xdr:spPr>
        <a:xfrm>
          <a:off x="222696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5</xdr:row>
      <xdr:rowOff>42450</xdr:rowOff>
    </xdr:from>
    <xdr:to>
      <xdr:col>36</xdr:col>
      <xdr:colOff>93601</xdr:colOff>
      <xdr:row>6</xdr:row>
      <xdr:rowOff>15001</xdr:rowOff>
    </xdr:to>
    <xdr:sp macro="" textlink="">
      <xdr:nvSpPr>
        <xdr:cNvPr id="244818" name="フリーフォーム: 図形 244817">
          <a:extLst>
            <a:ext uri="{FF2B5EF4-FFF2-40B4-BE49-F238E27FC236}">
              <a16:creationId xmlns:a16="http://schemas.microsoft.com/office/drawing/2014/main" id="{B88338B0-FD7F-47F0-A28A-312489FD40A3}"/>
            </a:ext>
          </a:extLst>
        </xdr:cNvPr>
        <xdr:cNvSpPr>
          <a:spLocks noChangeAspect="1"/>
        </xdr:cNvSpPr>
      </xdr:nvSpPr>
      <xdr:spPr>
        <a:xfrm>
          <a:off x="24314400" y="11664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5</xdr:row>
      <xdr:rowOff>42450</xdr:rowOff>
    </xdr:from>
    <xdr:to>
      <xdr:col>36</xdr:col>
      <xdr:colOff>633601</xdr:colOff>
      <xdr:row>6</xdr:row>
      <xdr:rowOff>15001</xdr:rowOff>
    </xdr:to>
    <xdr:sp macro="" textlink="">
      <xdr:nvSpPr>
        <xdr:cNvPr id="244819" name="フリーフォーム: 図形 244818">
          <a:extLst>
            <a:ext uri="{FF2B5EF4-FFF2-40B4-BE49-F238E27FC236}">
              <a16:creationId xmlns:a16="http://schemas.microsoft.com/office/drawing/2014/main" id="{C1DB636E-8A7E-47F5-A291-F342DE032140}"/>
            </a:ext>
          </a:extLst>
        </xdr:cNvPr>
        <xdr:cNvSpPr>
          <a:spLocks noChangeAspect="1"/>
        </xdr:cNvSpPr>
      </xdr:nvSpPr>
      <xdr:spPr>
        <a:xfrm>
          <a:off x="24854401" y="11664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5</xdr:row>
      <xdr:rowOff>114450</xdr:rowOff>
    </xdr:from>
    <xdr:to>
      <xdr:col>37</xdr:col>
      <xdr:colOff>19801</xdr:colOff>
      <xdr:row>11</xdr:row>
      <xdr:rowOff>21751</xdr:rowOff>
    </xdr:to>
    <xdr:sp macro="" textlink="">
      <xdr:nvSpPr>
        <xdr:cNvPr id="244820" name="フリーフォーム: 図形 244819">
          <a:extLst>
            <a:ext uri="{FF2B5EF4-FFF2-40B4-BE49-F238E27FC236}">
              <a16:creationId xmlns:a16="http://schemas.microsoft.com/office/drawing/2014/main" id="{8CD0B8A8-DA3D-4A19-A424-7E7F83A9ECDA}"/>
            </a:ext>
          </a:extLst>
        </xdr:cNvPr>
        <xdr:cNvSpPr>
          <a:spLocks noChangeAspect="1"/>
        </xdr:cNvSpPr>
      </xdr:nvSpPr>
      <xdr:spPr>
        <a:xfrm>
          <a:off x="25106399" y="12384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11</xdr:row>
      <xdr:rowOff>75750</xdr:rowOff>
    </xdr:from>
    <xdr:to>
      <xdr:col>36</xdr:col>
      <xdr:colOff>525601</xdr:colOff>
      <xdr:row>16</xdr:row>
      <xdr:rowOff>136501</xdr:rowOff>
    </xdr:to>
    <xdr:sp macro="" textlink="">
      <xdr:nvSpPr>
        <xdr:cNvPr id="244821" name="フリーフォーム: 図形 244820">
          <a:extLst>
            <a:ext uri="{FF2B5EF4-FFF2-40B4-BE49-F238E27FC236}">
              <a16:creationId xmlns:a16="http://schemas.microsoft.com/office/drawing/2014/main" id="{48DB3EAD-E48C-4D8F-9DBD-3A5F9BE0E731}"/>
            </a:ext>
          </a:extLst>
        </xdr:cNvPr>
        <xdr:cNvSpPr>
          <a:spLocks noChangeAspect="1"/>
        </xdr:cNvSpPr>
      </xdr:nvSpPr>
      <xdr:spPr>
        <a:xfrm>
          <a:off x="24926399" y="22284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16</xdr:row>
      <xdr:rowOff>64500</xdr:rowOff>
    </xdr:from>
    <xdr:to>
      <xdr:col>35</xdr:col>
      <xdr:colOff>455401</xdr:colOff>
      <xdr:row>17</xdr:row>
      <xdr:rowOff>37051</xdr:rowOff>
    </xdr:to>
    <xdr:sp macro="" textlink="">
      <xdr:nvSpPr>
        <xdr:cNvPr id="244822" name="フリーフォーム: 図形 244821">
          <a:extLst>
            <a:ext uri="{FF2B5EF4-FFF2-40B4-BE49-F238E27FC236}">
              <a16:creationId xmlns:a16="http://schemas.microsoft.com/office/drawing/2014/main" id="{713B044A-BEB1-46D5-A3BD-0D02877FC6BD}"/>
            </a:ext>
          </a:extLst>
        </xdr:cNvPr>
        <xdr:cNvSpPr>
          <a:spLocks noChangeAspect="1"/>
        </xdr:cNvSpPr>
      </xdr:nvSpPr>
      <xdr:spPr>
        <a:xfrm>
          <a:off x="23972400" y="3074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16</xdr:row>
      <xdr:rowOff>64500</xdr:rowOff>
    </xdr:from>
    <xdr:to>
      <xdr:col>36</xdr:col>
      <xdr:colOff>273601</xdr:colOff>
      <xdr:row>17</xdr:row>
      <xdr:rowOff>37051</xdr:rowOff>
    </xdr:to>
    <xdr:sp macro="" textlink="">
      <xdr:nvSpPr>
        <xdr:cNvPr id="244823" name="フリーフォーム: 図形 244822">
          <a:extLst>
            <a:ext uri="{FF2B5EF4-FFF2-40B4-BE49-F238E27FC236}">
              <a16:creationId xmlns:a16="http://schemas.microsoft.com/office/drawing/2014/main" id="{53F52EC2-279C-4789-A988-6207AF845536}"/>
            </a:ext>
          </a:extLst>
        </xdr:cNvPr>
        <xdr:cNvSpPr>
          <a:spLocks noChangeAspect="1"/>
        </xdr:cNvSpPr>
      </xdr:nvSpPr>
      <xdr:spPr>
        <a:xfrm>
          <a:off x="24494399" y="3074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11</xdr:row>
      <xdr:rowOff>75750</xdr:rowOff>
    </xdr:from>
    <xdr:to>
      <xdr:col>35</xdr:col>
      <xdr:colOff>203401</xdr:colOff>
      <xdr:row>16</xdr:row>
      <xdr:rowOff>136501</xdr:rowOff>
    </xdr:to>
    <xdr:sp macro="" textlink="">
      <xdr:nvSpPr>
        <xdr:cNvPr id="244824" name="フリーフォーム: 図形 244823">
          <a:extLst>
            <a:ext uri="{FF2B5EF4-FFF2-40B4-BE49-F238E27FC236}">
              <a16:creationId xmlns:a16="http://schemas.microsoft.com/office/drawing/2014/main" id="{D9F16A22-C102-461C-BD0E-E3DE7487307F}"/>
            </a:ext>
          </a:extLst>
        </xdr:cNvPr>
        <xdr:cNvSpPr>
          <a:spLocks noChangeAspect="1"/>
        </xdr:cNvSpPr>
      </xdr:nvSpPr>
      <xdr:spPr>
        <a:xfrm>
          <a:off x="23918401" y="22284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5</xdr:row>
      <xdr:rowOff>114450</xdr:rowOff>
    </xdr:from>
    <xdr:to>
      <xdr:col>35</xdr:col>
      <xdr:colOff>347402</xdr:colOff>
      <xdr:row>11</xdr:row>
      <xdr:rowOff>21751</xdr:rowOff>
    </xdr:to>
    <xdr:sp macro="" textlink="">
      <xdr:nvSpPr>
        <xdr:cNvPr id="244825" name="フリーフォーム: 図形 244824">
          <a:extLst>
            <a:ext uri="{FF2B5EF4-FFF2-40B4-BE49-F238E27FC236}">
              <a16:creationId xmlns:a16="http://schemas.microsoft.com/office/drawing/2014/main" id="{33240660-FEC6-4167-9DF6-963765F2BD5D}"/>
            </a:ext>
          </a:extLst>
        </xdr:cNvPr>
        <xdr:cNvSpPr>
          <a:spLocks noChangeAspect="1"/>
        </xdr:cNvSpPr>
      </xdr:nvSpPr>
      <xdr:spPr>
        <a:xfrm>
          <a:off x="24098400" y="12384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10</xdr:row>
      <xdr:rowOff>139200</xdr:rowOff>
    </xdr:from>
    <xdr:to>
      <xdr:col>35</xdr:col>
      <xdr:colOff>617401</xdr:colOff>
      <xdr:row>11</xdr:row>
      <xdr:rowOff>111751</xdr:rowOff>
    </xdr:to>
    <xdr:sp macro="" textlink="">
      <xdr:nvSpPr>
        <xdr:cNvPr id="244826" name="フリーフォーム: 図形 244825">
          <a:extLst>
            <a:ext uri="{FF2B5EF4-FFF2-40B4-BE49-F238E27FC236}">
              <a16:creationId xmlns:a16="http://schemas.microsoft.com/office/drawing/2014/main" id="{A255F81D-3FCF-458D-90A3-DFADC2AE3669}"/>
            </a:ext>
          </a:extLst>
        </xdr:cNvPr>
        <xdr:cNvSpPr>
          <a:spLocks noChangeAspect="1"/>
        </xdr:cNvSpPr>
      </xdr:nvSpPr>
      <xdr:spPr>
        <a:xfrm>
          <a:off x="24170401" y="21204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10</xdr:row>
      <xdr:rowOff>139200</xdr:rowOff>
    </xdr:from>
    <xdr:to>
      <xdr:col>36</xdr:col>
      <xdr:colOff>435601</xdr:colOff>
      <xdr:row>11</xdr:row>
      <xdr:rowOff>111751</xdr:rowOff>
    </xdr:to>
    <xdr:sp macro="" textlink="">
      <xdr:nvSpPr>
        <xdr:cNvPr id="244827" name="フリーフォーム: 図形 244826">
          <a:extLst>
            <a:ext uri="{FF2B5EF4-FFF2-40B4-BE49-F238E27FC236}">
              <a16:creationId xmlns:a16="http://schemas.microsoft.com/office/drawing/2014/main" id="{CFB1A2C7-496B-4061-8627-7AB7F1A0ED80}"/>
            </a:ext>
          </a:extLst>
        </xdr:cNvPr>
        <xdr:cNvSpPr>
          <a:spLocks noChangeAspect="1"/>
        </xdr:cNvSpPr>
      </xdr:nvSpPr>
      <xdr:spPr>
        <a:xfrm>
          <a:off x="24674399" y="21204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6</xdr:row>
      <xdr:rowOff>51000</xdr:rowOff>
    </xdr:from>
    <xdr:to>
      <xdr:col>35</xdr:col>
      <xdr:colOff>635401</xdr:colOff>
      <xdr:row>11</xdr:row>
      <xdr:rowOff>3751</xdr:rowOff>
    </xdr:to>
    <xdr:sp macro="" textlink="">
      <xdr:nvSpPr>
        <xdr:cNvPr id="244828" name="フリーフォーム: 図形 244827">
          <a:extLst>
            <a:ext uri="{FF2B5EF4-FFF2-40B4-BE49-F238E27FC236}">
              <a16:creationId xmlns:a16="http://schemas.microsoft.com/office/drawing/2014/main" id="{33061E20-9047-48B4-B46F-5DF8B1EFDD32}"/>
            </a:ext>
          </a:extLst>
        </xdr:cNvPr>
        <xdr:cNvSpPr>
          <a:spLocks noChangeAspect="1"/>
        </xdr:cNvSpPr>
      </xdr:nvSpPr>
      <xdr:spPr>
        <a:xfrm>
          <a:off x="24368399" y="13464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5</xdr:row>
      <xdr:rowOff>114450</xdr:rowOff>
    </xdr:from>
    <xdr:to>
      <xdr:col>36</xdr:col>
      <xdr:colOff>201601</xdr:colOff>
      <xdr:row>10</xdr:row>
      <xdr:rowOff>157201</xdr:rowOff>
    </xdr:to>
    <xdr:sp macro="" textlink="">
      <xdr:nvSpPr>
        <xdr:cNvPr id="244829" name="フリーフォーム: 図形 244828">
          <a:extLst>
            <a:ext uri="{FF2B5EF4-FFF2-40B4-BE49-F238E27FC236}">
              <a16:creationId xmlns:a16="http://schemas.microsoft.com/office/drawing/2014/main" id="{EC2A3B2B-6D7C-4AA6-9CF6-AAA9538FE6DD}"/>
            </a:ext>
          </a:extLst>
        </xdr:cNvPr>
        <xdr:cNvSpPr>
          <a:spLocks noChangeAspect="1"/>
        </xdr:cNvSpPr>
      </xdr:nvSpPr>
      <xdr:spPr>
        <a:xfrm>
          <a:off x="24638400" y="12384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6</xdr:row>
      <xdr:rowOff>69000</xdr:rowOff>
    </xdr:from>
    <xdr:to>
      <xdr:col>36</xdr:col>
      <xdr:colOff>525601</xdr:colOff>
      <xdr:row>11</xdr:row>
      <xdr:rowOff>3751</xdr:rowOff>
    </xdr:to>
    <xdr:sp macro="" textlink="">
      <xdr:nvSpPr>
        <xdr:cNvPr id="244830" name="フリーフォーム: 図形 244829">
          <a:extLst>
            <a:ext uri="{FF2B5EF4-FFF2-40B4-BE49-F238E27FC236}">
              <a16:creationId xmlns:a16="http://schemas.microsoft.com/office/drawing/2014/main" id="{6AA5E9F5-5C1F-4052-8295-DD1B9B8EBEA1}"/>
            </a:ext>
          </a:extLst>
        </xdr:cNvPr>
        <xdr:cNvSpPr>
          <a:spLocks noChangeAspect="1"/>
        </xdr:cNvSpPr>
      </xdr:nvSpPr>
      <xdr:spPr>
        <a:xfrm>
          <a:off x="24692400" y="13644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11</xdr:row>
      <xdr:rowOff>75750</xdr:rowOff>
    </xdr:from>
    <xdr:to>
      <xdr:col>36</xdr:col>
      <xdr:colOff>237600</xdr:colOff>
      <xdr:row>15</xdr:row>
      <xdr:rowOff>163951</xdr:rowOff>
    </xdr:to>
    <xdr:sp macro="" textlink="">
      <xdr:nvSpPr>
        <xdr:cNvPr id="244831" name="フリーフォーム: 図形 244830">
          <a:extLst>
            <a:ext uri="{FF2B5EF4-FFF2-40B4-BE49-F238E27FC236}">
              <a16:creationId xmlns:a16="http://schemas.microsoft.com/office/drawing/2014/main" id="{D91A777A-5425-4B2C-9D6F-6F5AF28A7FFE}"/>
            </a:ext>
          </a:extLst>
        </xdr:cNvPr>
        <xdr:cNvSpPr>
          <a:spLocks noChangeAspect="1"/>
        </xdr:cNvSpPr>
      </xdr:nvSpPr>
      <xdr:spPr>
        <a:xfrm>
          <a:off x="24656400" y="22284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11</xdr:row>
      <xdr:rowOff>93750</xdr:rowOff>
    </xdr:from>
    <xdr:to>
      <xdr:col>35</xdr:col>
      <xdr:colOff>653401</xdr:colOff>
      <xdr:row>16</xdr:row>
      <xdr:rowOff>118501</xdr:rowOff>
    </xdr:to>
    <xdr:sp macro="" textlink="">
      <xdr:nvSpPr>
        <xdr:cNvPr id="244832" name="フリーフォーム: 図形 244831">
          <a:extLst>
            <a:ext uri="{FF2B5EF4-FFF2-40B4-BE49-F238E27FC236}">
              <a16:creationId xmlns:a16="http://schemas.microsoft.com/office/drawing/2014/main" id="{1ACE26D5-5E1F-4D56-B228-695BA589CDBB}"/>
            </a:ext>
          </a:extLst>
        </xdr:cNvPr>
        <xdr:cNvSpPr>
          <a:spLocks noChangeAspect="1"/>
        </xdr:cNvSpPr>
      </xdr:nvSpPr>
      <xdr:spPr>
        <a:xfrm>
          <a:off x="24422401" y="22464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11</xdr:row>
      <xdr:rowOff>75750</xdr:rowOff>
    </xdr:from>
    <xdr:to>
      <xdr:col>35</xdr:col>
      <xdr:colOff>617401</xdr:colOff>
      <xdr:row>16</xdr:row>
      <xdr:rowOff>10501</xdr:rowOff>
    </xdr:to>
    <xdr:sp macro="" textlink="">
      <xdr:nvSpPr>
        <xdr:cNvPr id="244833" name="フリーフォーム: 図形 244832">
          <a:extLst>
            <a:ext uri="{FF2B5EF4-FFF2-40B4-BE49-F238E27FC236}">
              <a16:creationId xmlns:a16="http://schemas.microsoft.com/office/drawing/2014/main" id="{9EB10A13-7A6C-4A09-92F0-07EF33AA70F7}"/>
            </a:ext>
          </a:extLst>
        </xdr:cNvPr>
        <xdr:cNvSpPr>
          <a:spLocks noChangeAspect="1"/>
        </xdr:cNvSpPr>
      </xdr:nvSpPr>
      <xdr:spPr>
        <a:xfrm>
          <a:off x="24098400" y="22284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5</xdr:row>
      <xdr:rowOff>42450</xdr:rowOff>
    </xdr:from>
    <xdr:to>
      <xdr:col>38</xdr:col>
      <xdr:colOff>550801</xdr:colOff>
      <xdr:row>6</xdr:row>
      <xdr:rowOff>15001</xdr:rowOff>
    </xdr:to>
    <xdr:sp macro="" textlink="">
      <xdr:nvSpPr>
        <xdr:cNvPr id="244834" name="フリーフォーム: 図形 244833">
          <a:extLst>
            <a:ext uri="{FF2B5EF4-FFF2-40B4-BE49-F238E27FC236}">
              <a16:creationId xmlns:a16="http://schemas.microsoft.com/office/drawing/2014/main" id="{93EDA006-A6A3-4AAA-B7BA-DA3293E82B90}"/>
            </a:ext>
          </a:extLst>
        </xdr:cNvPr>
        <xdr:cNvSpPr>
          <a:spLocks noChangeAspect="1"/>
        </xdr:cNvSpPr>
      </xdr:nvSpPr>
      <xdr:spPr>
        <a:xfrm>
          <a:off x="261432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5</xdr:row>
      <xdr:rowOff>42450</xdr:rowOff>
    </xdr:from>
    <xdr:to>
      <xdr:col>39</xdr:col>
      <xdr:colOff>405000</xdr:colOff>
      <xdr:row>6</xdr:row>
      <xdr:rowOff>15001</xdr:rowOff>
    </xdr:to>
    <xdr:sp macro="" textlink="">
      <xdr:nvSpPr>
        <xdr:cNvPr id="244835" name="フリーフォーム: 図形 244834">
          <a:extLst>
            <a:ext uri="{FF2B5EF4-FFF2-40B4-BE49-F238E27FC236}">
              <a16:creationId xmlns:a16="http://schemas.microsoft.com/office/drawing/2014/main" id="{84EAEEE7-7E51-4C45-BB9D-0503C61C0363}"/>
            </a:ext>
          </a:extLst>
        </xdr:cNvPr>
        <xdr:cNvSpPr>
          <a:spLocks noChangeAspect="1"/>
        </xdr:cNvSpPr>
      </xdr:nvSpPr>
      <xdr:spPr>
        <a:xfrm>
          <a:off x="266831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5</xdr:row>
      <xdr:rowOff>114450</xdr:rowOff>
    </xdr:from>
    <xdr:to>
      <xdr:col>39</xdr:col>
      <xdr:colOff>477001</xdr:colOff>
      <xdr:row>11</xdr:row>
      <xdr:rowOff>21751</xdr:rowOff>
    </xdr:to>
    <xdr:sp macro="" textlink="">
      <xdr:nvSpPr>
        <xdr:cNvPr id="244836" name="フリーフォーム: 図形 244835">
          <a:extLst>
            <a:ext uri="{FF2B5EF4-FFF2-40B4-BE49-F238E27FC236}">
              <a16:creationId xmlns:a16="http://schemas.microsoft.com/office/drawing/2014/main" id="{611BFFE5-B7C5-4D00-B452-FB02B87B0FE9}"/>
            </a:ext>
          </a:extLst>
        </xdr:cNvPr>
        <xdr:cNvSpPr>
          <a:spLocks noChangeAspect="1"/>
        </xdr:cNvSpPr>
      </xdr:nvSpPr>
      <xdr:spPr>
        <a:xfrm>
          <a:off x="269351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11</xdr:row>
      <xdr:rowOff>75750</xdr:rowOff>
    </xdr:from>
    <xdr:to>
      <xdr:col>39</xdr:col>
      <xdr:colOff>297000</xdr:colOff>
      <xdr:row>16</xdr:row>
      <xdr:rowOff>136501</xdr:rowOff>
    </xdr:to>
    <xdr:sp macro="" textlink="">
      <xdr:nvSpPr>
        <xdr:cNvPr id="244837" name="フリーフォーム: 図形 244836">
          <a:extLst>
            <a:ext uri="{FF2B5EF4-FFF2-40B4-BE49-F238E27FC236}">
              <a16:creationId xmlns:a16="http://schemas.microsoft.com/office/drawing/2014/main" id="{9053C8FE-13A9-424F-9FA2-3861665750EE}"/>
            </a:ext>
          </a:extLst>
        </xdr:cNvPr>
        <xdr:cNvSpPr>
          <a:spLocks noChangeAspect="1"/>
        </xdr:cNvSpPr>
      </xdr:nvSpPr>
      <xdr:spPr>
        <a:xfrm>
          <a:off x="267552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16</xdr:row>
      <xdr:rowOff>64500</xdr:rowOff>
    </xdr:from>
    <xdr:to>
      <xdr:col>38</xdr:col>
      <xdr:colOff>226800</xdr:colOff>
      <xdr:row>17</xdr:row>
      <xdr:rowOff>37051</xdr:rowOff>
    </xdr:to>
    <xdr:sp macro="" textlink="">
      <xdr:nvSpPr>
        <xdr:cNvPr id="244838" name="フリーフォーム: 図形 244837">
          <a:extLst>
            <a:ext uri="{FF2B5EF4-FFF2-40B4-BE49-F238E27FC236}">
              <a16:creationId xmlns:a16="http://schemas.microsoft.com/office/drawing/2014/main" id="{08F9F60E-DF24-458F-9B75-06ABA5F895B5}"/>
            </a:ext>
          </a:extLst>
        </xdr:cNvPr>
        <xdr:cNvSpPr>
          <a:spLocks noChangeAspect="1"/>
        </xdr:cNvSpPr>
      </xdr:nvSpPr>
      <xdr:spPr>
        <a:xfrm>
          <a:off x="25801200" y="30744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16</xdr:row>
      <xdr:rowOff>64500</xdr:rowOff>
    </xdr:from>
    <xdr:to>
      <xdr:col>39</xdr:col>
      <xdr:colOff>45000</xdr:colOff>
      <xdr:row>17</xdr:row>
      <xdr:rowOff>37051</xdr:rowOff>
    </xdr:to>
    <xdr:sp macro="" textlink="">
      <xdr:nvSpPr>
        <xdr:cNvPr id="244839" name="フリーフォーム: 図形 244838">
          <a:extLst>
            <a:ext uri="{FF2B5EF4-FFF2-40B4-BE49-F238E27FC236}">
              <a16:creationId xmlns:a16="http://schemas.microsoft.com/office/drawing/2014/main" id="{1AB0DD4A-85E5-40EC-B3AE-214278E227D3}"/>
            </a:ext>
          </a:extLst>
        </xdr:cNvPr>
        <xdr:cNvSpPr>
          <a:spLocks noChangeAspect="1"/>
        </xdr:cNvSpPr>
      </xdr:nvSpPr>
      <xdr:spPr>
        <a:xfrm>
          <a:off x="263231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11</xdr:row>
      <xdr:rowOff>75750</xdr:rowOff>
    </xdr:from>
    <xdr:to>
      <xdr:col>37</xdr:col>
      <xdr:colOff>660603</xdr:colOff>
      <xdr:row>16</xdr:row>
      <xdr:rowOff>136501</xdr:rowOff>
    </xdr:to>
    <xdr:sp macro="" textlink="">
      <xdr:nvSpPr>
        <xdr:cNvPr id="244840" name="フリーフォーム: 図形 244839">
          <a:extLst>
            <a:ext uri="{FF2B5EF4-FFF2-40B4-BE49-F238E27FC236}">
              <a16:creationId xmlns:a16="http://schemas.microsoft.com/office/drawing/2014/main" id="{9CFCED9E-0BC3-428E-9567-E557269B87F1}"/>
            </a:ext>
          </a:extLst>
        </xdr:cNvPr>
        <xdr:cNvSpPr>
          <a:spLocks noChangeAspect="1"/>
        </xdr:cNvSpPr>
      </xdr:nvSpPr>
      <xdr:spPr>
        <a:xfrm>
          <a:off x="25747201" y="2228400"/>
          <a:ext cx="288002" cy="918001"/>
        </a:xfrm>
        <a:custGeom>
          <a:avLst/>
          <a:gdLst/>
          <a:ahLst/>
          <a:cxnLst/>
          <a:rect l="0" t="0" r="0" b="0"/>
          <a:pathLst>
            <a:path w="288002" h="918001">
              <a:moveTo>
                <a:pt x="143998" y="54000"/>
              </a:moveTo>
              <a:lnTo>
                <a:pt x="215999" y="0"/>
              </a:lnTo>
              <a:lnTo>
                <a:pt x="288001"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5</xdr:row>
      <xdr:rowOff>114450</xdr:rowOff>
    </xdr:from>
    <xdr:to>
      <xdr:col>38</xdr:col>
      <xdr:colOff>118800</xdr:colOff>
      <xdr:row>11</xdr:row>
      <xdr:rowOff>21751</xdr:rowOff>
    </xdr:to>
    <xdr:sp macro="" textlink="">
      <xdr:nvSpPr>
        <xdr:cNvPr id="244841" name="フリーフォーム: 図形 244840">
          <a:extLst>
            <a:ext uri="{FF2B5EF4-FFF2-40B4-BE49-F238E27FC236}">
              <a16:creationId xmlns:a16="http://schemas.microsoft.com/office/drawing/2014/main" id="{664729AC-6E5C-4B25-B399-F38F70EA8997}"/>
            </a:ext>
          </a:extLst>
        </xdr:cNvPr>
        <xdr:cNvSpPr>
          <a:spLocks noChangeAspect="1"/>
        </xdr:cNvSpPr>
      </xdr:nvSpPr>
      <xdr:spPr>
        <a:xfrm>
          <a:off x="25927200" y="1238400"/>
          <a:ext cx="252000" cy="936001"/>
        </a:xfrm>
        <a:custGeom>
          <a:avLst/>
          <a:gdLst/>
          <a:ahLst/>
          <a:cxnLst/>
          <a:rect l="0" t="0" r="0" b="0"/>
          <a:pathLst>
            <a:path w="252000" h="936001">
              <a:moveTo>
                <a:pt x="126000" y="72000"/>
              </a:moveTo>
              <a:lnTo>
                <a:pt x="180000" y="0"/>
              </a:lnTo>
              <a:lnTo>
                <a:pt x="251999"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10</xdr:row>
      <xdr:rowOff>139200</xdr:rowOff>
    </xdr:from>
    <xdr:to>
      <xdr:col>38</xdr:col>
      <xdr:colOff>388802</xdr:colOff>
      <xdr:row>11</xdr:row>
      <xdr:rowOff>111751</xdr:rowOff>
    </xdr:to>
    <xdr:sp macro="" textlink="">
      <xdr:nvSpPr>
        <xdr:cNvPr id="244842" name="フリーフォーム: 図形 244841">
          <a:extLst>
            <a:ext uri="{FF2B5EF4-FFF2-40B4-BE49-F238E27FC236}">
              <a16:creationId xmlns:a16="http://schemas.microsoft.com/office/drawing/2014/main" id="{93A002A6-54DC-40B4-8217-AC21A15BFC4B}"/>
            </a:ext>
          </a:extLst>
        </xdr:cNvPr>
        <xdr:cNvSpPr>
          <a:spLocks noChangeAspect="1"/>
        </xdr:cNvSpPr>
      </xdr:nvSpPr>
      <xdr:spPr>
        <a:xfrm>
          <a:off x="259992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10</xdr:row>
      <xdr:rowOff>139200</xdr:rowOff>
    </xdr:from>
    <xdr:to>
      <xdr:col>39</xdr:col>
      <xdr:colOff>207002</xdr:colOff>
      <xdr:row>11</xdr:row>
      <xdr:rowOff>111751</xdr:rowOff>
    </xdr:to>
    <xdr:sp macro="" textlink="">
      <xdr:nvSpPr>
        <xdr:cNvPr id="244843" name="フリーフォーム: 図形 244842">
          <a:extLst>
            <a:ext uri="{FF2B5EF4-FFF2-40B4-BE49-F238E27FC236}">
              <a16:creationId xmlns:a16="http://schemas.microsoft.com/office/drawing/2014/main" id="{2CEE76CE-5363-4CF2-A3C1-CFCFC32F212D}"/>
            </a:ext>
          </a:extLst>
        </xdr:cNvPr>
        <xdr:cNvSpPr>
          <a:spLocks noChangeAspect="1"/>
        </xdr:cNvSpPr>
      </xdr:nvSpPr>
      <xdr:spPr>
        <a:xfrm>
          <a:off x="265032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6</xdr:row>
      <xdr:rowOff>51000</xdr:rowOff>
    </xdr:from>
    <xdr:to>
      <xdr:col>38</xdr:col>
      <xdr:colOff>406801</xdr:colOff>
      <xdr:row>11</xdr:row>
      <xdr:rowOff>3751</xdr:rowOff>
    </xdr:to>
    <xdr:sp macro="" textlink="">
      <xdr:nvSpPr>
        <xdr:cNvPr id="244844" name="フリーフォーム: 図形 244843">
          <a:extLst>
            <a:ext uri="{FF2B5EF4-FFF2-40B4-BE49-F238E27FC236}">
              <a16:creationId xmlns:a16="http://schemas.microsoft.com/office/drawing/2014/main" id="{A20C4091-21CD-4397-89F2-FBC7D1EAEF12}"/>
            </a:ext>
          </a:extLst>
        </xdr:cNvPr>
        <xdr:cNvSpPr>
          <a:spLocks noChangeAspect="1"/>
        </xdr:cNvSpPr>
      </xdr:nvSpPr>
      <xdr:spPr>
        <a:xfrm>
          <a:off x="261972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5</xdr:row>
      <xdr:rowOff>114450</xdr:rowOff>
    </xdr:from>
    <xdr:to>
      <xdr:col>38</xdr:col>
      <xdr:colOff>658801</xdr:colOff>
      <xdr:row>10</xdr:row>
      <xdr:rowOff>157201</xdr:rowOff>
    </xdr:to>
    <xdr:sp macro="" textlink="">
      <xdr:nvSpPr>
        <xdr:cNvPr id="244845" name="フリーフォーム: 図形 244844">
          <a:extLst>
            <a:ext uri="{FF2B5EF4-FFF2-40B4-BE49-F238E27FC236}">
              <a16:creationId xmlns:a16="http://schemas.microsoft.com/office/drawing/2014/main" id="{A22069A8-D3AB-48D4-86C5-42C2F3C3F092}"/>
            </a:ext>
          </a:extLst>
        </xdr:cNvPr>
        <xdr:cNvSpPr>
          <a:spLocks noChangeAspect="1"/>
        </xdr:cNvSpPr>
      </xdr:nvSpPr>
      <xdr:spPr>
        <a:xfrm>
          <a:off x="264672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6</xdr:row>
      <xdr:rowOff>69000</xdr:rowOff>
    </xdr:from>
    <xdr:to>
      <xdr:col>39</xdr:col>
      <xdr:colOff>297000</xdr:colOff>
      <xdr:row>11</xdr:row>
      <xdr:rowOff>3751</xdr:rowOff>
    </xdr:to>
    <xdr:sp macro="" textlink="">
      <xdr:nvSpPr>
        <xdr:cNvPr id="244846" name="フリーフォーム: 図形 244845">
          <a:extLst>
            <a:ext uri="{FF2B5EF4-FFF2-40B4-BE49-F238E27FC236}">
              <a16:creationId xmlns:a16="http://schemas.microsoft.com/office/drawing/2014/main" id="{C62819C9-C4F5-4C31-B1D0-11957DC414A5}"/>
            </a:ext>
          </a:extLst>
        </xdr:cNvPr>
        <xdr:cNvSpPr>
          <a:spLocks noChangeAspect="1"/>
        </xdr:cNvSpPr>
      </xdr:nvSpPr>
      <xdr:spPr>
        <a:xfrm>
          <a:off x="265212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11</xdr:row>
      <xdr:rowOff>75750</xdr:rowOff>
    </xdr:from>
    <xdr:to>
      <xdr:col>39</xdr:col>
      <xdr:colOff>9002</xdr:colOff>
      <xdr:row>15</xdr:row>
      <xdr:rowOff>163951</xdr:rowOff>
    </xdr:to>
    <xdr:sp macro="" textlink="">
      <xdr:nvSpPr>
        <xdr:cNvPr id="244847" name="フリーフォーム: 図形 244846">
          <a:extLst>
            <a:ext uri="{FF2B5EF4-FFF2-40B4-BE49-F238E27FC236}">
              <a16:creationId xmlns:a16="http://schemas.microsoft.com/office/drawing/2014/main" id="{AB92CE68-AF6F-4CCB-988A-E7E19031B920}"/>
            </a:ext>
          </a:extLst>
        </xdr:cNvPr>
        <xdr:cNvSpPr>
          <a:spLocks noChangeAspect="1"/>
        </xdr:cNvSpPr>
      </xdr:nvSpPr>
      <xdr:spPr>
        <a:xfrm>
          <a:off x="264851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11</xdr:row>
      <xdr:rowOff>93750</xdr:rowOff>
    </xdr:from>
    <xdr:to>
      <xdr:col>38</xdr:col>
      <xdr:colOff>424800</xdr:colOff>
      <xdr:row>16</xdr:row>
      <xdr:rowOff>118501</xdr:rowOff>
    </xdr:to>
    <xdr:sp macro="" textlink="">
      <xdr:nvSpPr>
        <xdr:cNvPr id="244848" name="フリーフォーム: 図形 244847">
          <a:extLst>
            <a:ext uri="{FF2B5EF4-FFF2-40B4-BE49-F238E27FC236}">
              <a16:creationId xmlns:a16="http://schemas.microsoft.com/office/drawing/2014/main" id="{63A8981C-2C67-4D6F-ACA0-0C5395B1C09C}"/>
            </a:ext>
          </a:extLst>
        </xdr:cNvPr>
        <xdr:cNvSpPr>
          <a:spLocks noChangeAspect="1"/>
        </xdr:cNvSpPr>
      </xdr:nvSpPr>
      <xdr:spPr>
        <a:xfrm>
          <a:off x="262512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11</xdr:row>
      <xdr:rowOff>75750</xdr:rowOff>
    </xdr:from>
    <xdr:to>
      <xdr:col>38</xdr:col>
      <xdr:colOff>388802</xdr:colOff>
      <xdr:row>16</xdr:row>
      <xdr:rowOff>10501</xdr:rowOff>
    </xdr:to>
    <xdr:sp macro="" textlink="">
      <xdr:nvSpPr>
        <xdr:cNvPr id="244849" name="フリーフォーム: 図形 244848">
          <a:extLst>
            <a:ext uri="{FF2B5EF4-FFF2-40B4-BE49-F238E27FC236}">
              <a16:creationId xmlns:a16="http://schemas.microsoft.com/office/drawing/2014/main" id="{309FFF04-635C-49C7-B502-417BDC8949B0}"/>
            </a:ext>
          </a:extLst>
        </xdr:cNvPr>
        <xdr:cNvSpPr>
          <a:spLocks noChangeAspect="1"/>
        </xdr:cNvSpPr>
      </xdr:nvSpPr>
      <xdr:spPr>
        <a:xfrm>
          <a:off x="25927200" y="2228400"/>
          <a:ext cx="522002" cy="792001"/>
        </a:xfrm>
        <a:custGeom>
          <a:avLst/>
          <a:gdLst/>
          <a:ahLst/>
          <a:cxnLst/>
          <a:rect l="0" t="0" r="0" b="0"/>
          <a:pathLst>
            <a:path w="522002" h="792001">
              <a:moveTo>
                <a:pt x="395999" y="72000"/>
              </a:moveTo>
              <a:lnTo>
                <a:pt x="522001" y="0"/>
              </a:lnTo>
              <a:lnTo>
                <a:pt x="324001" y="378000"/>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5</xdr:row>
      <xdr:rowOff>42450</xdr:rowOff>
    </xdr:from>
    <xdr:to>
      <xdr:col>41</xdr:col>
      <xdr:colOff>322201</xdr:colOff>
      <xdr:row>6</xdr:row>
      <xdr:rowOff>15001</xdr:rowOff>
    </xdr:to>
    <xdr:sp macro="" textlink="">
      <xdr:nvSpPr>
        <xdr:cNvPr id="244850" name="フリーフォーム: 図形 244849">
          <a:extLst>
            <a:ext uri="{FF2B5EF4-FFF2-40B4-BE49-F238E27FC236}">
              <a16:creationId xmlns:a16="http://schemas.microsoft.com/office/drawing/2014/main" id="{8B45DB6E-1096-456E-9911-6ED33878DE49}"/>
            </a:ext>
          </a:extLst>
        </xdr:cNvPr>
        <xdr:cNvSpPr>
          <a:spLocks noChangeAspect="1"/>
        </xdr:cNvSpPr>
      </xdr:nvSpPr>
      <xdr:spPr>
        <a:xfrm>
          <a:off x="279720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5</xdr:row>
      <xdr:rowOff>42450</xdr:rowOff>
    </xdr:from>
    <xdr:to>
      <xdr:col>42</xdr:col>
      <xdr:colOff>176400</xdr:colOff>
      <xdr:row>6</xdr:row>
      <xdr:rowOff>15001</xdr:rowOff>
    </xdr:to>
    <xdr:sp macro="" textlink="">
      <xdr:nvSpPr>
        <xdr:cNvPr id="244851" name="フリーフォーム: 図形 244850">
          <a:extLst>
            <a:ext uri="{FF2B5EF4-FFF2-40B4-BE49-F238E27FC236}">
              <a16:creationId xmlns:a16="http://schemas.microsoft.com/office/drawing/2014/main" id="{61751750-8A43-435F-B883-83824BB05324}"/>
            </a:ext>
          </a:extLst>
        </xdr:cNvPr>
        <xdr:cNvSpPr>
          <a:spLocks noChangeAspect="1"/>
        </xdr:cNvSpPr>
      </xdr:nvSpPr>
      <xdr:spPr>
        <a:xfrm>
          <a:off x="285119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5</xdr:row>
      <xdr:rowOff>114450</xdr:rowOff>
    </xdr:from>
    <xdr:to>
      <xdr:col>42</xdr:col>
      <xdr:colOff>248401</xdr:colOff>
      <xdr:row>11</xdr:row>
      <xdr:rowOff>21751</xdr:rowOff>
    </xdr:to>
    <xdr:sp macro="" textlink="">
      <xdr:nvSpPr>
        <xdr:cNvPr id="244852" name="フリーフォーム: 図形 244851">
          <a:extLst>
            <a:ext uri="{FF2B5EF4-FFF2-40B4-BE49-F238E27FC236}">
              <a16:creationId xmlns:a16="http://schemas.microsoft.com/office/drawing/2014/main" id="{587298E7-EB6E-4322-8C65-BB4E37BEC9C8}"/>
            </a:ext>
          </a:extLst>
        </xdr:cNvPr>
        <xdr:cNvSpPr>
          <a:spLocks noChangeAspect="1"/>
        </xdr:cNvSpPr>
      </xdr:nvSpPr>
      <xdr:spPr>
        <a:xfrm>
          <a:off x="287639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11</xdr:row>
      <xdr:rowOff>75750</xdr:rowOff>
    </xdr:from>
    <xdr:to>
      <xdr:col>42</xdr:col>
      <xdr:colOff>68400</xdr:colOff>
      <xdr:row>16</xdr:row>
      <xdr:rowOff>136501</xdr:rowOff>
    </xdr:to>
    <xdr:sp macro="" textlink="">
      <xdr:nvSpPr>
        <xdr:cNvPr id="244853" name="フリーフォーム: 図形 244852">
          <a:extLst>
            <a:ext uri="{FF2B5EF4-FFF2-40B4-BE49-F238E27FC236}">
              <a16:creationId xmlns:a16="http://schemas.microsoft.com/office/drawing/2014/main" id="{B782F41D-DC74-45FA-8D51-3FC5EB32A4D1}"/>
            </a:ext>
          </a:extLst>
        </xdr:cNvPr>
        <xdr:cNvSpPr>
          <a:spLocks noChangeAspect="1"/>
        </xdr:cNvSpPr>
      </xdr:nvSpPr>
      <xdr:spPr>
        <a:xfrm>
          <a:off x="285840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16</xdr:row>
      <xdr:rowOff>64500</xdr:rowOff>
    </xdr:from>
    <xdr:to>
      <xdr:col>40</xdr:col>
      <xdr:colOff>684000</xdr:colOff>
      <xdr:row>17</xdr:row>
      <xdr:rowOff>37051</xdr:rowOff>
    </xdr:to>
    <xdr:sp macro="" textlink="">
      <xdr:nvSpPr>
        <xdr:cNvPr id="244854" name="フリーフォーム: 図形 244853">
          <a:extLst>
            <a:ext uri="{FF2B5EF4-FFF2-40B4-BE49-F238E27FC236}">
              <a16:creationId xmlns:a16="http://schemas.microsoft.com/office/drawing/2014/main" id="{DC7B6A44-3A47-4F85-AA57-7A9E8F6CB3A3}"/>
            </a:ext>
          </a:extLst>
        </xdr:cNvPr>
        <xdr:cNvSpPr>
          <a:spLocks noChangeAspect="1"/>
        </xdr:cNvSpPr>
      </xdr:nvSpPr>
      <xdr:spPr>
        <a:xfrm>
          <a:off x="276300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16</xdr:row>
      <xdr:rowOff>64500</xdr:rowOff>
    </xdr:from>
    <xdr:to>
      <xdr:col>41</xdr:col>
      <xdr:colOff>502200</xdr:colOff>
      <xdr:row>17</xdr:row>
      <xdr:rowOff>37051</xdr:rowOff>
    </xdr:to>
    <xdr:sp macro="" textlink="">
      <xdr:nvSpPr>
        <xdr:cNvPr id="244855" name="フリーフォーム: 図形 244854">
          <a:extLst>
            <a:ext uri="{FF2B5EF4-FFF2-40B4-BE49-F238E27FC236}">
              <a16:creationId xmlns:a16="http://schemas.microsoft.com/office/drawing/2014/main" id="{DE989F71-B532-4BFE-A576-835724AF3911}"/>
            </a:ext>
          </a:extLst>
        </xdr:cNvPr>
        <xdr:cNvSpPr>
          <a:spLocks noChangeAspect="1"/>
        </xdr:cNvSpPr>
      </xdr:nvSpPr>
      <xdr:spPr>
        <a:xfrm>
          <a:off x="281519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11</xdr:row>
      <xdr:rowOff>75750</xdr:rowOff>
    </xdr:from>
    <xdr:to>
      <xdr:col>40</xdr:col>
      <xdr:colOff>432003</xdr:colOff>
      <xdr:row>16</xdr:row>
      <xdr:rowOff>136501</xdr:rowOff>
    </xdr:to>
    <xdr:sp macro="" textlink="">
      <xdr:nvSpPr>
        <xdr:cNvPr id="244856" name="フリーフォーム: 図形 244855">
          <a:extLst>
            <a:ext uri="{FF2B5EF4-FFF2-40B4-BE49-F238E27FC236}">
              <a16:creationId xmlns:a16="http://schemas.microsoft.com/office/drawing/2014/main" id="{7B3278D6-0334-4A41-A336-60CE28B38C6D}"/>
            </a:ext>
          </a:extLst>
        </xdr:cNvPr>
        <xdr:cNvSpPr>
          <a:spLocks noChangeAspect="1"/>
        </xdr:cNvSpPr>
      </xdr:nvSpPr>
      <xdr:spPr>
        <a:xfrm>
          <a:off x="275760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5</xdr:row>
      <xdr:rowOff>114450</xdr:rowOff>
    </xdr:from>
    <xdr:to>
      <xdr:col>40</xdr:col>
      <xdr:colOff>576000</xdr:colOff>
      <xdr:row>11</xdr:row>
      <xdr:rowOff>21751</xdr:rowOff>
    </xdr:to>
    <xdr:sp macro="" textlink="">
      <xdr:nvSpPr>
        <xdr:cNvPr id="244857" name="フリーフォーム: 図形 244856">
          <a:extLst>
            <a:ext uri="{FF2B5EF4-FFF2-40B4-BE49-F238E27FC236}">
              <a16:creationId xmlns:a16="http://schemas.microsoft.com/office/drawing/2014/main" id="{C845DF29-65FD-439C-822E-B6547B393224}"/>
            </a:ext>
          </a:extLst>
        </xdr:cNvPr>
        <xdr:cNvSpPr>
          <a:spLocks noChangeAspect="1"/>
        </xdr:cNvSpPr>
      </xdr:nvSpPr>
      <xdr:spPr>
        <a:xfrm>
          <a:off x="277559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10</xdr:row>
      <xdr:rowOff>139200</xdr:rowOff>
    </xdr:from>
    <xdr:to>
      <xdr:col>41</xdr:col>
      <xdr:colOff>160202</xdr:colOff>
      <xdr:row>11</xdr:row>
      <xdr:rowOff>111751</xdr:rowOff>
    </xdr:to>
    <xdr:sp macro="" textlink="">
      <xdr:nvSpPr>
        <xdr:cNvPr id="244858" name="フリーフォーム: 図形 244857">
          <a:extLst>
            <a:ext uri="{FF2B5EF4-FFF2-40B4-BE49-F238E27FC236}">
              <a16:creationId xmlns:a16="http://schemas.microsoft.com/office/drawing/2014/main" id="{04353DAE-CB08-4AA5-BCF6-357BCC102979}"/>
            </a:ext>
          </a:extLst>
        </xdr:cNvPr>
        <xdr:cNvSpPr>
          <a:spLocks noChangeAspect="1"/>
        </xdr:cNvSpPr>
      </xdr:nvSpPr>
      <xdr:spPr>
        <a:xfrm>
          <a:off x="278280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10</xdr:row>
      <xdr:rowOff>139200</xdr:rowOff>
    </xdr:from>
    <xdr:to>
      <xdr:col>41</xdr:col>
      <xdr:colOff>664202</xdr:colOff>
      <xdr:row>11</xdr:row>
      <xdr:rowOff>111751</xdr:rowOff>
    </xdr:to>
    <xdr:sp macro="" textlink="">
      <xdr:nvSpPr>
        <xdr:cNvPr id="244859" name="フリーフォーム: 図形 244858">
          <a:extLst>
            <a:ext uri="{FF2B5EF4-FFF2-40B4-BE49-F238E27FC236}">
              <a16:creationId xmlns:a16="http://schemas.microsoft.com/office/drawing/2014/main" id="{A0F7B4E8-A532-4E6E-B4EF-C9FDF9515B87}"/>
            </a:ext>
          </a:extLst>
        </xdr:cNvPr>
        <xdr:cNvSpPr>
          <a:spLocks noChangeAspect="1"/>
        </xdr:cNvSpPr>
      </xdr:nvSpPr>
      <xdr:spPr>
        <a:xfrm>
          <a:off x="283320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6</xdr:row>
      <xdr:rowOff>51000</xdr:rowOff>
    </xdr:from>
    <xdr:to>
      <xdr:col>41</xdr:col>
      <xdr:colOff>178201</xdr:colOff>
      <xdr:row>11</xdr:row>
      <xdr:rowOff>3751</xdr:rowOff>
    </xdr:to>
    <xdr:sp macro="" textlink="">
      <xdr:nvSpPr>
        <xdr:cNvPr id="244860" name="フリーフォーム: 図形 244859">
          <a:extLst>
            <a:ext uri="{FF2B5EF4-FFF2-40B4-BE49-F238E27FC236}">
              <a16:creationId xmlns:a16="http://schemas.microsoft.com/office/drawing/2014/main" id="{8C0FBA37-4B70-47DD-8432-98E9EF0EDAA7}"/>
            </a:ext>
          </a:extLst>
        </xdr:cNvPr>
        <xdr:cNvSpPr>
          <a:spLocks noChangeAspect="1"/>
        </xdr:cNvSpPr>
      </xdr:nvSpPr>
      <xdr:spPr>
        <a:xfrm>
          <a:off x="280260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5</xdr:row>
      <xdr:rowOff>114450</xdr:rowOff>
    </xdr:from>
    <xdr:to>
      <xdr:col>41</xdr:col>
      <xdr:colOff>430201</xdr:colOff>
      <xdr:row>10</xdr:row>
      <xdr:rowOff>157201</xdr:rowOff>
    </xdr:to>
    <xdr:sp macro="" textlink="">
      <xdr:nvSpPr>
        <xdr:cNvPr id="244861" name="フリーフォーム: 図形 244860">
          <a:extLst>
            <a:ext uri="{FF2B5EF4-FFF2-40B4-BE49-F238E27FC236}">
              <a16:creationId xmlns:a16="http://schemas.microsoft.com/office/drawing/2014/main" id="{7555893C-B02B-402C-8FCC-EA163BBC1F6F}"/>
            </a:ext>
          </a:extLst>
        </xdr:cNvPr>
        <xdr:cNvSpPr>
          <a:spLocks noChangeAspect="1"/>
        </xdr:cNvSpPr>
      </xdr:nvSpPr>
      <xdr:spPr>
        <a:xfrm>
          <a:off x="282960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6</xdr:row>
      <xdr:rowOff>69000</xdr:rowOff>
    </xdr:from>
    <xdr:to>
      <xdr:col>42</xdr:col>
      <xdr:colOff>68400</xdr:colOff>
      <xdr:row>11</xdr:row>
      <xdr:rowOff>3751</xdr:rowOff>
    </xdr:to>
    <xdr:sp macro="" textlink="">
      <xdr:nvSpPr>
        <xdr:cNvPr id="244862" name="フリーフォーム: 図形 244861">
          <a:extLst>
            <a:ext uri="{FF2B5EF4-FFF2-40B4-BE49-F238E27FC236}">
              <a16:creationId xmlns:a16="http://schemas.microsoft.com/office/drawing/2014/main" id="{4FD61052-2D04-482A-8B9C-7EE0EB38F09D}"/>
            </a:ext>
          </a:extLst>
        </xdr:cNvPr>
        <xdr:cNvSpPr>
          <a:spLocks noChangeAspect="1"/>
        </xdr:cNvSpPr>
      </xdr:nvSpPr>
      <xdr:spPr>
        <a:xfrm>
          <a:off x="283500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11</xdr:row>
      <xdr:rowOff>75750</xdr:rowOff>
    </xdr:from>
    <xdr:to>
      <xdr:col>41</xdr:col>
      <xdr:colOff>466202</xdr:colOff>
      <xdr:row>15</xdr:row>
      <xdr:rowOff>163951</xdr:rowOff>
    </xdr:to>
    <xdr:sp macro="" textlink="">
      <xdr:nvSpPr>
        <xdr:cNvPr id="244863" name="フリーフォーム: 図形 244862">
          <a:extLst>
            <a:ext uri="{FF2B5EF4-FFF2-40B4-BE49-F238E27FC236}">
              <a16:creationId xmlns:a16="http://schemas.microsoft.com/office/drawing/2014/main" id="{2091F0CE-D268-45B7-9E4D-B800F644FF77}"/>
            </a:ext>
          </a:extLst>
        </xdr:cNvPr>
        <xdr:cNvSpPr>
          <a:spLocks noChangeAspect="1"/>
        </xdr:cNvSpPr>
      </xdr:nvSpPr>
      <xdr:spPr>
        <a:xfrm>
          <a:off x="283139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11</xdr:row>
      <xdr:rowOff>93750</xdr:rowOff>
    </xdr:from>
    <xdr:to>
      <xdr:col>41</xdr:col>
      <xdr:colOff>196200</xdr:colOff>
      <xdr:row>16</xdr:row>
      <xdr:rowOff>118501</xdr:rowOff>
    </xdr:to>
    <xdr:sp macro="" textlink="">
      <xdr:nvSpPr>
        <xdr:cNvPr id="244864" name="フリーフォーム: 図形 244863">
          <a:extLst>
            <a:ext uri="{FF2B5EF4-FFF2-40B4-BE49-F238E27FC236}">
              <a16:creationId xmlns:a16="http://schemas.microsoft.com/office/drawing/2014/main" id="{745E695D-7D40-401E-92FA-83E044710C92}"/>
            </a:ext>
          </a:extLst>
        </xdr:cNvPr>
        <xdr:cNvSpPr>
          <a:spLocks noChangeAspect="1"/>
        </xdr:cNvSpPr>
      </xdr:nvSpPr>
      <xdr:spPr>
        <a:xfrm>
          <a:off x="280800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11</xdr:row>
      <xdr:rowOff>75750</xdr:rowOff>
    </xdr:from>
    <xdr:to>
      <xdr:col>41</xdr:col>
      <xdr:colOff>160202</xdr:colOff>
      <xdr:row>16</xdr:row>
      <xdr:rowOff>10501</xdr:rowOff>
    </xdr:to>
    <xdr:sp macro="" textlink="">
      <xdr:nvSpPr>
        <xdr:cNvPr id="244865" name="フリーフォーム: 図形 244864">
          <a:extLst>
            <a:ext uri="{FF2B5EF4-FFF2-40B4-BE49-F238E27FC236}">
              <a16:creationId xmlns:a16="http://schemas.microsoft.com/office/drawing/2014/main" id="{F19DCA07-7DE3-449B-A5A5-855DFD3FBFDF}"/>
            </a:ext>
          </a:extLst>
        </xdr:cNvPr>
        <xdr:cNvSpPr>
          <a:spLocks noChangeAspect="1"/>
        </xdr:cNvSpPr>
      </xdr:nvSpPr>
      <xdr:spPr>
        <a:xfrm>
          <a:off x="277559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5</xdr:row>
      <xdr:rowOff>42450</xdr:rowOff>
    </xdr:from>
    <xdr:to>
      <xdr:col>44</xdr:col>
      <xdr:colOff>93601</xdr:colOff>
      <xdr:row>6</xdr:row>
      <xdr:rowOff>15001</xdr:rowOff>
    </xdr:to>
    <xdr:sp macro="" textlink="">
      <xdr:nvSpPr>
        <xdr:cNvPr id="244866" name="フリーフォーム: 図形 244865">
          <a:extLst>
            <a:ext uri="{FF2B5EF4-FFF2-40B4-BE49-F238E27FC236}">
              <a16:creationId xmlns:a16="http://schemas.microsoft.com/office/drawing/2014/main" id="{729DF4B4-1749-420A-8C2F-3C63ACCE1C35}"/>
            </a:ext>
          </a:extLst>
        </xdr:cNvPr>
        <xdr:cNvSpPr>
          <a:spLocks noChangeAspect="1"/>
        </xdr:cNvSpPr>
      </xdr:nvSpPr>
      <xdr:spPr>
        <a:xfrm>
          <a:off x="298008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5</xdr:row>
      <xdr:rowOff>42450</xdr:rowOff>
    </xdr:from>
    <xdr:to>
      <xdr:col>44</xdr:col>
      <xdr:colOff>633600</xdr:colOff>
      <xdr:row>6</xdr:row>
      <xdr:rowOff>15001</xdr:rowOff>
    </xdr:to>
    <xdr:sp macro="" textlink="">
      <xdr:nvSpPr>
        <xdr:cNvPr id="244867" name="フリーフォーム: 図形 244866">
          <a:extLst>
            <a:ext uri="{FF2B5EF4-FFF2-40B4-BE49-F238E27FC236}">
              <a16:creationId xmlns:a16="http://schemas.microsoft.com/office/drawing/2014/main" id="{43A1CF3F-31CD-4825-9007-AC95261AED14}"/>
            </a:ext>
          </a:extLst>
        </xdr:cNvPr>
        <xdr:cNvSpPr>
          <a:spLocks noChangeAspect="1"/>
        </xdr:cNvSpPr>
      </xdr:nvSpPr>
      <xdr:spPr>
        <a:xfrm>
          <a:off x="303407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5</xdr:row>
      <xdr:rowOff>114450</xdr:rowOff>
    </xdr:from>
    <xdr:to>
      <xdr:col>45</xdr:col>
      <xdr:colOff>19801</xdr:colOff>
      <xdr:row>11</xdr:row>
      <xdr:rowOff>21751</xdr:rowOff>
    </xdr:to>
    <xdr:sp macro="" textlink="">
      <xdr:nvSpPr>
        <xdr:cNvPr id="244868" name="フリーフォーム: 図形 244867">
          <a:extLst>
            <a:ext uri="{FF2B5EF4-FFF2-40B4-BE49-F238E27FC236}">
              <a16:creationId xmlns:a16="http://schemas.microsoft.com/office/drawing/2014/main" id="{F194E347-A73F-4C2E-A41D-0DCD3D16BAD8}"/>
            </a:ext>
          </a:extLst>
        </xdr:cNvPr>
        <xdr:cNvSpPr>
          <a:spLocks noChangeAspect="1"/>
        </xdr:cNvSpPr>
      </xdr:nvSpPr>
      <xdr:spPr>
        <a:xfrm>
          <a:off x="305927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11</xdr:row>
      <xdr:rowOff>75750</xdr:rowOff>
    </xdr:from>
    <xdr:to>
      <xdr:col>44</xdr:col>
      <xdr:colOff>525600</xdr:colOff>
      <xdr:row>16</xdr:row>
      <xdr:rowOff>136501</xdr:rowOff>
    </xdr:to>
    <xdr:sp macro="" textlink="">
      <xdr:nvSpPr>
        <xdr:cNvPr id="244869" name="フリーフォーム: 図形 244868">
          <a:extLst>
            <a:ext uri="{FF2B5EF4-FFF2-40B4-BE49-F238E27FC236}">
              <a16:creationId xmlns:a16="http://schemas.microsoft.com/office/drawing/2014/main" id="{2E45CA04-83C4-40D8-9950-51888171DDBB}"/>
            </a:ext>
          </a:extLst>
        </xdr:cNvPr>
        <xdr:cNvSpPr>
          <a:spLocks noChangeAspect="1"/>
        </xdr:cNvSpPr>
      </xdr:nvSpPr>
      <xdr:spPr>
        <a:xfrm>
          <a:off x="304128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16</xdr:row>
      <xdr:rowOff>64500</xdr:rowOff>
    </xdr:from>
    <xdr:to>
      <xdr:col>43</xdr:col>
      <xdr:colOff>455400</xdr:colOff>
      <xdr:row>17</xdr:row>
      <xdr:rowOff>37051</xdr:rowOff>
    </xdr:to>
    <xdr:sp macro="" textlink="">
      <xdr:nvSpPr>
        <xdr:cNvPr id="244870" name="フリーフォーム: 図形 244869">
          <a:extLst>
            <a:ext uri="{FF2B5EF4-FFF2-40B4-BE49-F238E27FC236}">
              <a16:creationId xmlns:a16="http://schemas.microsoft.com/office/drawing/2014/main" id="{3851CCC5-40C5-4E66-BD1B-41FF7996A356}"/>
            </a:ext>
          </a:extLst>
        </xdr:cNvPr>
        <xdr:cNvSpPr>
          <a:spLocks noChangeAspect="1"/>
        </xdr:cNvSpPr>
      </xdr:nvSpPr>
      <xdr:spPr>
        <a:xfrm>
          <a:off x="294588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16</xdr:row>
      <xdr:rowOff>64500</xdr:rowOff>
    </xdr:from>
    <xdr:to>
      <xdr:col>44</xdr:col>
      <xdr:colOff>273600</xdr:colOff>
      <xdr:row>17</xdr:row>
      <xdr:rowOff>37051</xdr:rowOff>
    </xdr:to>
    <xdr:sp macro="" textlink="">
      <xdr:nvSpPr>
        <xdr:cNvPr id="244871" name="フリーフォーム: 図形 244870">
          <a:extLst>
            <a:ext uri="{FF2B5EF4-FFF2-40B4-BE49-F238E27FC236}">
              <a16:creationId xmlns:a16="http://schemas.microsoft.com/office/drawing/2014/main" id="{9458B20F-F273-4139-8D35-DCF38D74B176}"/>
            </a:ext>
          </a:extLst>
        </xdr:cNvPr>
        <xdr:cNvSpPr>
          <a:spLocks noChangeAspect="1"/>
        </xdr:cNvSpPr>
      </xdr:nvSpPr>
      <xdr:spPr>
        <a:xfrm>
          <a:off x="299807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11</xdr:row>
      <xdr:rowOff>75750</xdr:rowOff>
    </xdr:from>
    <xdr:to>
      <xdr:col>43</xdr:col>
      <xdr:colOff>203403</xdr:colOff>
      <xdr:row>16</xdr:row>
      <xdr:rowOff>136501</xdr:rowOff>
    </xdr:to>
    <xdr:sp macro="" textlink="">
      <xdr:nvSpPr>
        <xdr:cNvPr id="244872" name="フリーフォーム: 図形 244871">
          <a:extLst>
            <a:ext uri="{FF2B5EF4-FFF2-40B4-BE49-F238E27FC236}">
              <a16:creationId xmlns:a16="http://schemas.microsoft.com/office/drawing/2014/main" id="{1B0A9E58-DBFF-4327-9076-8B1718B1E545}"/>
            </a:ext>
          </a:extLst>
        </xdr:cNvPr>
        <xdr:cNvSpPr>
          <a:spLocks noChangeAspect="1"/>
        </xdr:cNvSpPr>
      </xdr:nvSpPr>
      <xdr:spPr>
        <a:xfrm>
          <a:off x="294048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5</xdr:row>
      <xdr:rowOff>114450</xdr:rowOff>
    </xdr:from>
    <xdr:to>
      <xdr:col>43</xdr:col>
      <xdr:colOff>347400</xdr:colOff>
      <xdr:row>11</xdr:row>
      <xdr:rowOff>21751</xdr:rowOff>
    </xdr:to>
    <xdr:sp macro="" textlink="">
      <xdr:nvSpPr>
        <xdr:cNvPr id="244873" name="フリーフォーム: 図形 244872">
          <a:extLst>
            <a:ext uri="{FF2B5EF4-FFF2-40B4-BE49-F238E27FC236}">
              <a16:creationId xmlns:a16="http://schemas.microsoft.com/office/drawing/2014/main" id="{F01B8376-D6B8-4C4E-92D3-35EA625B8FEC}"/>
            </a:ext>
          </a:extLst>
        </xdr:cNvPr>
        <xdr:cNvSpPr>
          <a:spLocks noChangeAspect="1"/>
        </xdr:cNvSpPr>
      </xdr:nvSpPr>
      <xdr:spPr>
        <a:xfrm>
          <a:off x="295847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10</xdr:row>
      <xdr:rowOff>139200</xdr:rowOff>
    </xdr:from>
    <xdr:to>
      <xdr:col>43</xdr:col>
      <xdr:colOff>617402</xdr:colOff>
      <xdr:row>11</xdr:row>
      <xdr:rowOff>111751</xdr:rowOff>
    </xdr:to>
    <xdr:sp macro="" textlink="">
      <xdr:nvSpPr>
        <xdr:cNvPr id="244874" name="フリーフォーム: 図形 244873">
          <a:extLst>
            <a:ext uri="{FF2B5EF4-FFF2-40B4-BE49-F238E27FC236}">
              <a16:creationId xmlns:a16="http://schemas.microsoft.com/office/drawing/2014/main" id="{DE2A9D05-6345-4917-A7B6-AEE056D49421}"/>
            </a:ext>
          </a:extLst>
        </xdr:cNvPr>
        <xdr:cNvSpPr>
          <a:spLocks noChangeAspect="1"/>
        </xdr:cNvSpPr>
      </xdr:nvSpPr>
      <xdr:spPr>
        <a:xfrm>
          <a:off x="296568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10</xdr:row>
      <xdr:rowOff>139200</xdr:rowOff>
    </xdr:from>
    <xdr:to>
      <xdr:col>44</xdr:col>
      <xdr:colOff>435602</xdr:colOff>
      <xdr:row>11</xdr:row>
      <xdr:rowOff>111751</xdr:rowOff>
    </xdr:to>
    <xdr:sp macro="" textlink="">
      <xdr:nvSpPr>
        <xdr:cNvPr id="244875" name="フリーフォーム: 図形 244874">
          <a:extLst>
            <a:ext uri="{FF2B5EF4-FFF2-40B4-BE49-F238E27FC236}">
              <a16:creationId xmlns:a16="http://schemas.microsoft.com/office/drawing/2014/main" id="{919C8085-8D1B-49B3-8053-F2F4640704A4}"/>
            </a:ext>
          </a:extLst>
        </xdr:cNvPr>
        <xdr:cNvSpPr>
          <a:spLocks noChangeAspect="1"/>
        </xdr:cNvSpPr>
      </xdr:nvSpPr>
      <xdr:spPr>
        <a:xfrm>
          <a:off x="301608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6</xdr:row>
      <xdr:rowOff>51000</xdr:rowOff>
    </xdr:from>
    <xdr:to>
      <xdr:col>43</xdr:col>
      <xdr:colOff>635401</xdr:colOff>
      <xdr:row>11</xdr:row>
      <xdr:rowOff>3751</xdr:rowOff>
    </xdr:to>
    <xdr:sp macro="" textlink="">
      <xdr:nvSpPr>
        <xdr:cNvPr id="244876" name="フリーフォーム: 図形 244875">
          <a:extLst>
            <a:ext uri="{FF2B5EF4-FFF2-40B4-BE49-F238E27FC236}">
              <a16:creationId xmlns:a16="http://schemas.microsoft.com/office/drawing/2014/main" id="{00E080D9-13E5-4AD1-B29A-B4DCB0264B5F}"/>
            </a:ext>
          </a:extLst>
        </xdr:cNvPr>
        <xdr:cNvSpPr>
          <a:spLocks noChangeAspect="1"/>
        </xdr:cNvSpPr>
      </xdr:nvSpPr>
      <xdr:spPr>
        <a:xfrm>
          <a:off x="298548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5</xdr:row>
      <xdr:rowOff>114450</xdr:rowOff>
    </xdr:from>
    <xdr:to>
      <xdr:col>44</xdr:col>
      <xdr:colOff>201601</xdr:colOff>
      <xdr:row>10</xdr:row>
      <xdr:rowOff>157201</xdr:rowOff>
    </xdr:to>
    <xdr:sp macro="" textlink="">
      <xdr:nvSpPr>
        <xdr:cNvPr id="244877" name="フリーフォーム: 図形 244876">
          <a:extLst>
            <a:ext uri="{FF2B5EF4-FFF2-40B4-BE49-F238E27FC236}">
              <a16:creationId xmlns:a16="http://schemas.microsoft.com/office/drawing/2014/main" id="{08D2E6E3-E7D9-4475-A30E-66F425F1310E}"/>
            </a:ext>
          </a:extLst>
        </xdr:cNvPr>
        <xdr:cNvSpPr>
          <a:spLocks noChangeAspect="1"/>
        </xdr:cNvSpPr>
      </xdr:nvSpPr>
      <xdr:spPr>
        <a:xfrm>
          <a:off x="301248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6</xdr:row>
      <xdr:rowOff>69000</xdr:rowOff>
    </xdr:from>
    <xdr:to>
      <xdr:col>44</xdr:col>
      <xdr:colOff>525600</xdr:colOff>
      <xdr:row>11</xdr:row>
      <xdr:rowOff>3751</xdr:rowOff>
    </xdr:to>
    <xdr:sp macro="" textlink="">
      <xdr:nvSpPr>
        <xdr:cNvPr id="244878" name="フリーフォーム: 図形 244877">
          <a:extLst>
            <a:ext uri="{FF2B5EF4-FFF2-40B4-BE49-F238E27FC236}">
              <a16:creationId xmlns:a16="http://schemas.microsoft.com/office/drawing/2014/main" id="{B5BA4EF2-6B14-4B93-8484-3E94557EC352}"/>
            </a:ext>
          </a:extLst>
        </xdr:cNvPr>
        <xdr:cNvSpPr>
          <a:spLocks noChangeAspect="1"/>
        </xdr:cNvSpPr>
      </xdr:nvSpPr>
      <xdr:spPr>
        <a:xfrm>
          <a:off x="301788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11</xdr:row>
      <xdr:rowOff>75750</xdr:rowOff>
    </xdr:from>
    <xdr:to>
      <xdr:col>44</xdr:col>
      <xdr:colOff>237602</xdr:colOff>
      <xdr:row>15</xdr:row>
      <xdr:rowOff>163951</xdr:rowOff>
    </xdr:to>
    <xdr:sp macro="" textlink="">
      <xdr:nvSpPr>
        <xdr:cNvPr id="244879" name="フリーフォーム: 図形 244878">
          <a:extLst>
            <a:ext uri="{FF2B5EF4-FFF2-40B4-BE49-F238E27FC236}">
              <a16:creationId xmlns:a16="http://schemas.microsoft.com/office/drawing/2014/main" id="{034EBBDD-0972-425A-959E-B6210EF02233}"/>
            </a:ext>
          </a:extLst>
        </xdr:cNvPr>
        <xdr:cNvSpPr>
          <a:spLocks noChangeAspect="1"/>
        </xdr:cNvSpPr>
      </xdr:nvSpPr>
      <xdr:spPr>
        <a:xfrm>
          <a:off x="301427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11</xdr:row>
      <xdr:rowOff>93750</xdr:rowOff>
    </xdr:from>
    <xdr:to>
      <xdr:col>43</xdr:col>
      <xdr:colOff>653400</xdr:colOff>
      <xdr:row>16</xdr:row>
      <xdr:rowOff>118501</xdr:rowOff>
    </xdr:to>
    <xdr:sp macro="" textlink="">
      <xdr:nvSpPr>
        <xdr:cNvPr id="244880" name="フリーフォーム: 図形 244879">
          <a:extLst>
            <a:ext uri="{FF2B5EF4-FFF2-40B4-BE49-F238E27FC236}">
              <a16:creationId xmlns:a16="http://schemas.microsoft.com/office/drawing/2014/main" id="{04201690-ABB1-4A4C-9B66-70362D0837F9}"/>
            </a:ext>
          </a:extLst>
        </xdr:cNvPr>
        <xdr:cNvSpPr>
          <a:spLocks noChangeAspect="1"/>
        </xdr:cNvSpPr>
      </xdr:nvSpPr>
      <xdr:spPr>
        <a:xfrm>
          <a:off x="299088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11</xdr:row>
      <xdr:rowOff>75750</xdr:rowOff>
    </xdr:from>
    <xdr:to>
      <xdr:col>43</xdr:col>
      <xdr:colOff>617402</xdr:colOff>
      <xdr:row>16</xdr:row>
      <xdr:rowOff>10501</xdr:rowOff>
    </xdr:to>
    <xdr:sp macro="" textlink="">
      <xdr:nvSpPr>
        <xdr:cNvPr id="244881" name="フリーフォーム: 図形 244880">
          <a:extLst>
            <a:ext uri="{FF2B5EF4-FFF2-40B4-BE49-F238E27FC236}">
              <a16:creationId xmlns:a16="http://schemas.microsoft.com/office/drawing/2014/main" id="{D1D9F52E-3E20-444A-BB37-AEFD39793C16}"/>
            </a:ext>
          </a:extLst>
        </xdr:cNvPr>
        <xdr:cNvSpPr>
          <a:spLocks noChangeAspect="1"/>
        </xdr:cNvSpPr>
      </xdr:nvSpPr>
      <xdr:spPr>
        <a:xfrm>
          <a:off x="295847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5</xdr:row>
      <xdr:rowOff>42450</xdr:rowOff>
    </xdr:from>
    <xdr:to>
      <xdr:col>46</xdr:col>
      <xdr:colOff>550801</xdr:colOff>
      <xdr:row>6</xdr:row>
      <xdr:rowOff>15001</xdr:rowOff>
    </xdr:to>
    <xdr:sp macro="" textlink="">
      <xdr:nvSpPr>
        <xdr:cNvPr id="244882" name="フリーフォーム: 図形 244881">
          <a:extLst>
            <a:ext uri="{FF2B5EF4-FFF2-40B4-BE49-F238E27FC236}">
              <a16:creationId xmlns:a16="http://schemas.microsoft.com/office/drawing/2014/main" id="{658BC600-5265-4C7D-BE2F-CEB0206EBABB}"/>
            </a:ext>
          </a:extLst>
        </xdr:cNvPr>
        <xdr:cNvSpPr>
          <a:spLocks noChangeAspect="1"/>
        </xdr:cNvSpPr>
      </xdr:nvSpPr>
      <xdr:spPr>
        <a:xfrm>
          <a:off x="316296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5</xdr:row>
      <xdr:rowOff>42450</xdr:rowOff>
    </xdr:from>
    <xdr:to>
      <xdr:col>47</xdr:col>
      <xdr:colOff>405000</xdr:colOff>
      <xdr:row>6</xdr:row>
      <xdr:rowOff>15001</xdr:rowOff>
    </xdr:to>
    <xdr:sp macro="" textlink="">
      <xdr:nvSpPr>
        <xdr:cNvPr id="244883" name="フリーフォーム: 図形 244882">
          <a:extLst>
            <a:ext uri="{FF2B5EF4-FFF2-40B4-BE49-F238E27FC236}">
              <a16:creationId xmlns:a16="http://schemas.microsoft.com/office/drawing/2014/main" id="{E3678BA8-9527-481F-82A5-925AE1665CFE}"/>
            </a:ext>
          </a:extLst>
        </xdr:cNvPr>
        <xdr:cNvSpPr>
          <a:spLocks noChangeAspect="1"/>
        </xdr:cNvSpPr>
      </xdr:nvSpPr>
      <xdr:spPr>
        <a:xfrm>
          <a:off x="321695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5</xdr:row>
      <xdr:rowOff>114450</xdr:rowOff>
    </xdr:from>
    <xdr:to>
      <xdr:col>47</xdr:col>
      <xdr:colOff>477001</xdr:colOff>
      <xdr:row>11</xdr:row>
      <xdr:rowOff>21751</xdr:rowOff>
    </xdr:to>
    <xdr:sp macro="" textlink="">
      <xdr:nvSpPr>
        <xdr:cNvPr id="244884" name="フリーフォーム: 図形 244883">
          <a:extLst>
            <a:ext uri="{FF2B5EF4-FFF2-40B4-BE49-F238E27FC236}">
              <a16:creationId xmlns:a16="http://schemas.microsoft.com/office/drawing/2014/main" id="{2CBA09FA-78C6-4859-A32D-6490F9157CBC}"/>
            </a:ext>
          </a:extLst>
        </xdr:cNvPr>
        <xdr:cNvSpPr>
          <a:spLocks noChangeAspect="1"/>
        </xdr:cNvSpPr>
      </xdr:nvSpPr>
      <xdr:spPr>
        <a:xfrm>
          <a:off x="324215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11</xdr:row>
      <xdr:rowOff>75750</xdr:rowOff>
    </xdr:from>
    <xdr:to>
      <xdr:col>47</xdr:col>
      <xdr:colOff>297000</xdr:colOff>
      <xdr:row>16</xdr:row>
      <xdr:rowOff>136501</xdr:rowOff>
    </xdr:to>
    <xdr:sp macro="" textlink="">
      <xdr:nvSpPr>
        <xdr:cNvPr id="244885" name="フリーフォーム: 図形 244884">
          <a:extLst>
            <a:ext uri="{FF2B5EF4-FFF2-40B4-BE49-F238E27FC236}">
              <a16:creationId xmlns:a16="http://schemas.microsoft.com/office/drawing/2014/main" id="{2F1CDB03-7924-435D-89FB-B07C5240B97E}"/>
            </a:ext>
          </a:extLst>
        </xdr:cNvPr>
        <xdr:cNvSpPr>
          <a:spLocks noChangeAspect="1"/>
        </xdr:cNvSpPr>
      </xdr:nvSpPr>
      <xdr:spPr>
        <a:xfrm>
          <a:off x="322416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16</xdr:row>
      <xdr:rowOff>64500</xdr:rowOff>
    </xdr:from>
    <xdr:to>
      <xdr:col>46</xdr:col>
      <xdr:colOff>226800</xdr:colOff>
      <xdr:row>17</xdr:row>
      <xdr:rowOff>37051</xdr:rowOff>
    </xdr:to>
    <xdr:sp macro="" textlink="">
      <xdr:nvSpPr>
        <xdr:cNvPr id="244886" name="フリーフォーム: 図形 244885">
          <a:extLst>
            <a:ext uri="{FF2B5EF4-FFF2-40B4-BE49-F238E27FC236}">
              <a16:creationId xmlns:a16="http://schemas.microsoft.com/office/drawing/2014/main" id="{E1ABDAB0-1446-4687-8EE5-C8C82A413ED0}"/>
            </a:ext>
          </a:extLst>
        </xdr:cNvPr>
        <xdr:cNvSpPr>
          <a:spLocks noChangeAspect="1"/>
        </xdr:cNvSpPr>
      </xdr:nvSpPr>
      <xdr:spPr>
        <a:xfrm>
          <a:off x="312876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16</xdr:row>
      <xdr:rowOff>64500</xdr:rowOff>
    </xdr:from>
    <xdr:to>
      <xdr:col>47</xdr:col>
      <xdr:colOff>45000</xdr:colOff>
      <xdr:row>17</xdr:row>
      <xdr:rowOff>37051</xdr:rowOff>
    </xdr:to>
    <xdr:sp macro="" textlink="">
      <xdr:nvSpPr>
        <xdr:cNvPr id="244887" name="フリーフォーム: 図形 244886">
          <a:extLst>
            <a:ext uri="{FF2B5EF4-FFF2-40B4-BE49-F238E27FC236}">
              <a16:creationId xmlns:a16="http://schemas.microsoft.com/office/drawing/2014/main" id="{D8BAC6A8-7759-4E25-B559-C9CB8D29FFD8}"/>
            </a:ext>
          </a:extLst>
        </xdr:cNvPr>
        <xdr:cNvSpPr>
          <a:spLocks noChangeAspect="1"/>
        </xdr:cNvSpPr>
      </xdr:nvSpPr>
      <xdr:spPr>
        <a:xfrm>
          <a:off x="318095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11</xdr:row>
      <xdr:rowOff>75750</xdr:rowOff>
    </xdr:from>
    <xdr:to>
      <xdr:col>45</xdr:col>
      <xdr:colOff>660603</xdr:colOff>
      <xdr:row>16</xdr:row>
      <xdr:rowOff>136501</xdr:rowOff>
    </xdr:to>
    <xdr:sp macro="" textlink="">
      <xdr:nvSpPr>
        <xdr:cNvPr id="244888" name="フリーフォーム: 図形 244887">
          <a:extLst>
            <a:ext uri="{FF2B5EF4-FFF2-40B4-BE49-F238E27FC236}">
              <a16:creationId xmlns:a16="http://schemas.microsoft.com/office/drawing/2014/main" id="{B5F9DFB1-0800-418D-88F3-82E7A34280D9}"/>
            </a:ext>
          </a:extLst>
        </xdr:cNvPr>
        <xdr:cNvSpPr>
          <a:spLocks noChangeAspect="1"/>
        </xdr:cNvSpPr>
      </xdr:nvSpPr>
      <xdr:spPr>
        <a:xfrm>
          <a:off x="312336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5</xdr:row>
      <xdr:rowOff>114450</xdr:rowOff>
    </xdr:from>
    <xdr:to>
      <xdr:col>46</xdr:col>
      <xdr:colOff>118800</xdr:colOff>
      <xdr:row>11</xdr:row>
      <xdr:rowOff>21751</xdr:rowOff>
    </xdr:to>
    <xdr:sp macro="" textlink="">
      <xdr:nvSpPr>
        <xdr:cNvPr id="244889" name="フリーフォーム: 図形 244888">
          <a:extLst>
            <a:ext uri="{FF2B5EF4-FFF2-40B4-BE49-F238E27FC236}">
              <a16:creationId xmlns:a16="http://schemas.microsoft.com/office/drawing/2014/main" id="{8EE00812-CF37-41C9-841D-66FC79D4F220}"/>
            </a:ext>
          </a:extLst>
        </xdr:cNvPr>
        <xdr:cNvSpPr>
          <a:spLocks noChangeAspect="1"/>
        </xdr:cNvSpPr>
      </xdr:nvSpPr>
      <xdr:spPr>
        <a:xfrm>
          <a:off x="314135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10</xdr:row>
      <xdr:rowOff>139200</xdr:rowOff>
    </xdr:from>
    <xdr:to>
      <xdr:col>46</xdr:col>
      <xdr:colOff>388802</xdr:colOff>
      <xdr:row>11</xdr:row>
      <xdr:rowOff>111751</xdr:rowOff>
    </xdr:to>
    <xdr:sp macro="" textlink="">
      <xdr:nvSpPr>
        <xdr:cNvPr id="244890" name="フリーフォーム: 図形 244889">
          <a:extLst>
            <a:ext uri="{FF2B5EF4-FFF2-40B4-BE49-F238E27FC236}">
              <a16:creationId xmlns:a16="http://schemas.microsoft.com/office/drawing/2014/main" id="{81A4EE81-0CAA-4526-A996-BFB4B79CAEC5}"/>
            </a:ext>
          </a:extLst>
        </xdr:cNvPr>
        <xdr:cNvSpPr>
          <a:spLocks noChangeAspect="1"/>
        </xdr:cNvSpPr>
      </xdr:nvSpPr>
      <xdr:spPr>
        <a:xfrm>
          <a:off x="314856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10</xdr:row>
      <xdr:rowOff>139200</xdr:rowOff>
    </xdr:from>
    <xdr:to>
      <xdr:col>47</xdr:col>
      <xdr:colOff>207002</xdr:colOff>
      <xdr:row>11</xdr:row>
      <xdr:rowOff>111751</xdr:rowOff>
    </xdr:to>
    <xdr:sp macro="" textlink="">
      <xdr:nvSpPr>
        <xdr:cNvPr id="244891" name="フリーフォーム: 図形 244890">
          <a:extLst>
            <a:ext uri="{FF2B5EF4-FFF2-40B4-BE49-F238E27FC236}">
              <a16:creationId xmlns:a16="http://schemas.microsoft.com/office/drawing/2014/main" id="{1DC1E459-BFD7-4175-95F5-5DE5BBBA770B}"/>
            </a:ext>
          </a:extLst>
        </xdr:cNvPr>
        <xdr:cNvSpPr>
          <a:spLocks noChangeAspect="1"/>
        </xdr:cNvSpPr>
      </xdr:nvSpPr>
      <xdr:spPr>
        <a:xfrm>
          <a:off x="319896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6</xdr:row>
      <xdr:rowOff>51000</xdr:rowOff>
    </xdr:from>
    <xdr:to>
      <xdr:col>46</xdr:col>
      <xdr:colOff>406801</xdr:colOff>
      <xdr:row>11</xdr:row>
      <xdr:rowOff>3751</xdr:rowOff>
    </xdr:to>
    <xdr:sp macro="" textlink="">
      <xdr:nvSpPr>
        <xdr:cNvPr id="244892" name="フリーフォーム: 図形 244891">
          <a:extLst>
            <a:ext uri="{FF2B5EF4-FFF2-40B4-BE49-F238E27FC236}">
              <a16:creationId xmlns:a16="http://schemas.microsoft.com/office/drawing/2014/main" id="{37B34D16-58A4-4C0D-8087-3CCD5B6122A4}"/>
            </a:ext>
          </a:extLst>
        </xdr:cNvPr>
        <xdr:cNvSpPr>
          <a:spLocks noChangeAspect="1"/>
        </xdr:cNvSpPr>
      </xdr:nvSpPr>
      <xdr:spPr>
        <a:xfrm>
          <a:off x="316836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5</xdr:row>
      <xdr:rowOff>114450</xdr:rowOff>
    </xdr:from>
    <xdr:to>
      <xdr:col>46</xdr:col>
      <xdr:colOff>658801</xdr:colOff>
      <xdr:row>10</xdr:row>
      <xdr:rowOff>157201</xdr:rowOff>
    </xdr:to>
    <xdr:sp macro="" textlink="">
      <xdr:nvSpPr>
        <xdr:cNvPr id="244893" name="フリーフォーム: 図形 244892">
          <a:extLst>
            <a:ext uri="{FF2B5EF4-FFF2-40B4-BE49-F238E27FC236}">
              <a16:creationId xmlns:a16="http://schemas.microsoft.com/office/drawing/2014/main" id="{1B1627F9-C8ED-46FE-B037-14DF0ECC752B}"/>
            </a:ext>
          </a:extLst>
        </xdr:cNvPr>
        <xdr:cNvSpPr>
          <a:spLocks noChangeAspect="1"/>
        </xdr:cNvSpPr>
      </xdr:nvSpPr>
      <xdr:spPr>
        <a:xfrm>
          <a:off x="319536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6</xdr:row>
      <xdr:rowOff>69000</xdr:rowOff>
    </xdr:from>
    <xdr:to>
      <xdr:col>47</xdr:col>
      <xdr:colOff>297000</xdr:colOff>
      <xdr:row>11</xdr:row>
      <xdr:rowOff>3751</xdr:rowOff>
    </xdr:to>
    <xdr:sp macro="" textlink="">
      <xdr:nvSpPr>
        <xdr:cNvPr id="244894" name="フリーフォーム: 図形 244893">
          <a:extLst>
            <a:ext uri="{FF2B5EF4-FFF2-40B4-BE49-F238E27FC236}">
              <a16:creationId xmlns:a16="http://schemas.microsoft.com/office/drawing/2014/main" id="{258D382E-63AC-441B-9CBC-59A80FCDEB3A}"/>
            </a:ext>
          </a:extLst>
        </xdr:cNvPr>
        <xdr:cNvSpPr>
          <a:spLocks noChangeAspect="1"/>
        </xdr:cNvSpPr>
      </xdr:nvSpPr>
      <xdr:spPr>
        <a:xfrm>
          <a:off x="320076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11</xdr:row>
      <xdr:rowOff>75750</xdr:rowOff>
    </xdr:from>
    <xdr:to>
      <xdr:col>47</xdr:col>
      <xdr:colOff>9002</xdr:colOff>
      <xdr:row>15</xdr:row>
      <xdr:rowOff>163951</xdr:rowOff>
    </xdr:to>
    <xdr:sp macro="" textlink="">
      <xdr:nvSpPr>
        <xdr:cNvPr id="244895" name="フリーフォーム: 図形 244894">
          <a:extLst>
            <a:ext uri="{FF2B5EF4-FFF2-40B4-BE49-F238E27FC236}">
              <a16:creationId xmlns:a16="http://schemas.microsoft.com/office/drawing/2014/main" id="{2DBF4CD4-43E1-40B0-8FB3-5103AE997147}"/>
            </a:ext>
          </a:extLst>
        </xdr:cNvPr>
        <xdr:cNvSpPr>
          <a:spLocks noChangeAspect="1"/>
        </xdr:cNvSpPr>
      </xdr:nvSpPr>
      <xdr:spPr>
        <a:xfrm>
          <a:off x="319715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11</xdr:row>
      <xdr:rowOff>93750</xdr:rowOff>
    </xdr:from>
    <xdr:to>
      <xdr:col>46</xdr:col>
      <xdr:colOff>424800</xdr:colOff>
      <xdr:row>16</xdr:row>
      <xdr:rowOff>118501</xdr:rowOff>
    </xdr:to>
    <xdr:sp macro="" textlink="">
      <xdr:nvSpPr>
        <xdr:cNvPr id="244896" name="フリーフォーム: 図形 244895">
          <a:extLst>
            <a:ext uri="{FF2B5EF4-FFF2-40B4-BE49-F238E27FC236}">
              <a16:creationId xmlns:a16="http://schemas.microsoft.com/office/drawing/2014/main" id="{CF867BAC-7103-41A7-9F9D-903749801A11}"/>
            </a:ext>
          </a:extLst>
        </xdr:cNvPr>
        <xdr:cNvSpPr>
          <a:spLocks noChangeAspect="1"/>
        </xdr:cNvSpPr>
      </xdr:nvSpPr>
      <xdr:spPr>
        <a:xfrm>
          <a:off x="317376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11</xdr:row>
      <xdr:rowOff>75750</xdr:rowOff>
    </xdr:from>
    <xdr:to>
      <xdr:col>46</xdr:col>
      <xdr:colOff>388802</xdr:colOff>
      <xdr:row>16</xdr:row>
      <xdr:rowOff>10501</xdr:rowOff>
    </xdr:to>
    <xdr:sp macro="" textlink="">
      <xdr:nvSpPr>
        <xdr:cNvPr id="244897" name="フリーフォーム: 図形 244896">
          <a:extLst>
            <a:ext uri="{FF2B5EF4-FFF2-40B4-BE49-F238E27FC236}">
              <a16:creationId xmlns:a16="http://schemas.microsoft.com/office/drawing/2014/main" id="{C2F24679-BEED-4ADF-A111-74A5187678BA}"/>
            </a:ext>
          </a:extLst>
        </xdr:cNvPr>
        <xdr:cNvSpPr>
          <a:spLocks noChangeAspect="1"/>
        </xdr:cNvSpPr>
      </xdr:nvSpPr>
      <xdr:spPr>
        <a:xfrm>
          <a:off x="314135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5</xdr:row>
      <xdr:rowOff>42450</xdr:rowOff>
    </xdr:from>
    <xdr:to>
      <xdr:col>49</xdr:col>
      <xdr:colOff>322201</xdr:colOff>
      <xdr:row>6</xdr:row>
      <xdr:rowOff>15001</xdr:rowOff>
    </xdr:to>
    <xdr:sp macro="" textlink="">
      <xdr:nvSpPr>
        <xdr:cNvPr id="244898" name="フリーフォーム: 図形 244897">
          <a:extLst>
            <a:ext uri="{FF2B5EF4-FFF2-40B4-BE49-F238E27FC236}">
              <a16:creationId xmlns:a16="http://schemas.microsoft.com/office/drawing/2014/main" id="{194F5E92-16B6-49AE-BB74-B07434197046}"/>
            </a:ext>
          </a:extLst>
        </xdr:cNvPr>
        <xdr:cNvSpPr>
          <a:spLocks noChangeAspect="1"/>
        </xdr:cNvSpPr>
      </xdr:nvSpPr>
      <xdr:spPr>
        <a:xfrm>
          <a:off x="334584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5</xdr:row>
      <xdr:rowOff>42450</xdr:rowOff>
    </xdr:from>
    <xdr:to>
      <xdr:col>50</xdr:col>
      <xdr:colOff>176400</xdr:colOff>
      <xdr:row>6</xdr:row>
      <xdr:rowOff>15001</xdr:rowOff>
    </xdr:to>
    <xdr:sp macro="" textlink="">
      <xdr:nvSpPr>
        <xdr:cNvPr id="244899" name="フリーフォーム: 図形 244898">
          <a:extLst>
            <a:ext uri="{FF2B5EF4-FFF2-40B4-BE49-F238E27FC236}">
              <a16:creationId xmlns:a16="http://schemas.microsoft.com/office/drawing/2014/main" id="{33000423-998F-418D-9159-79F6BFE85ECE}"/>
            </a:ext>
          </a:extLst>
        </xdr:cNvPr>
        <xdr:cNvSpPr>
          <a:spLocks noChangeAspect="1"/>
        </xdr:cNvSpPr>
      </xdr:nvSpPr>
      <xdr:spPr>
        <a:xfrm>
          <a:off x="339983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5</xdr:row>
      <xdr:rowOff>114450</xdr:rowOff>
    </xdr:from>
    <xdr:to>
      <xdr:col>50</xdr:col>
      <xdr:colOff>248401</xdr:colOff>
      <xdr:row>11</xdr:row>
      <xdr:rowOff>21751</xdr:rowOff>
    </xdr:to>
    <xdr:sp macro="" textlink="">
      <xdr:nvSpPr>
        <xdr:cNvPr id="244900" name="フリーフォーム: 図形 244899">
          <a:extLst>
            <a:ext uri="{FF2B5EF4-FFF2-40B4-BE49-F238E27FC236}">
              <a16:creationId xmlns:a16="http://schemas.microsoft.com/office/drawing/2014/main" id="{64DA8C3C-0D54-42E9-9160-277E17A0043F}"/>
            </a:ext>
          </a:extLst>
        </xdr:cNvPr>
        <xdr:cNvSpPr>
          <a:spLocks noChangeAspect="1"/>
        </xdr:cNvSpPr>
      </xdr:nvSpPr>
      <xdr:spPr>
        <a:xfrm>
          <a:off x="342503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11</xdr:row>
      <xdr:rowOff>75750</xdr:rowOff>
    </xdr:from>
    <xdr:to>
      <xdr:col>50</xdr:col>
      <xdr:colOff>68400</xdr:colOff>
      <xdr:row>16</xdr:row>
      <xdr:rowOff>136501</xdr:rowOff>
    </xdr:to>
    <xdr:sp macro="" textlink="">
      <xdr:nvSpPr>
        <xdr:cNvPr id="244901" name="フリーフォーム: 図形 244900">
          <a:extLst>
            <a:ext uri="{FF2B5EF4-FFF2-40B4-BE49-F238E27FC236}">
              <a16:creationId xmlns:a16="http://schemas.microsoft.com/office/drawing/2014/main" id="{9EE29197-3C78-4E10-AC76-43023B7FAE19}"/>
            </a:ext>
          </a:extLst>
        </xdr:cNvPr>
        <xdr:cNvSpPr>
          <a:spLocks noChangeAspect="1"/>
        </xdr:cNvSpPr>
      </xdr:nvSpPr>
      <xdr:spPr>
        <a:xfrm>
          <a:off x="340704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16</xdr:row>
      <xdr:rowOff>64500</xdr:rowOff>
    </xdr:from>
    <xdr:to>
      <xdr:col>48</xdr:col>
      <xdr:colOff>684000</xdr:colOff>
      <xdr:row>17</xdr:row>
      <xdr:rowOff>37051</xdr:rowOff>
    </xdr:to>
    <xdr:sp macro="" textlink="">
      <xdr:nvSpPr>
        <xdr:cNvPr id="244902" name="フリーフォーム: 図形 244901">
          <a:extLst>
            <a:ext uri="{FF2B5EF4-FFF2-40B4-BE49-F238E27FC236}">
              <a16:creationId xmlns:a16="http://schemas.microsoft.com/office/drawing/2014/main" id="{DD00CCBC-896A-4FE7-AAD5-032B808F503B}"/>
            </a:ext>
          </a:extLst>
        </xdr:cNvPr>
        <xdr:cNvSpPr>
          <a:spLocks noChangeAspect="1"/>
        </xdr:cNvSpPr>
      </xdr:nvSpPr>
      <xdr:spPr>
        <a:xfrm>
          <a:off x="331164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16</xdr:row>
      <xdr:rowOff>64500</xdr:rowOff>
    </xdr:from>
    <xdr:to>
      <xdr:col>49</xdr:col>
      <xdr:colOff>502200</xdr:colOff>
      <xdr:row>17</xdr:row>
      <xdr:rowOff>37051</xdr:rowOff>
    </xdr:to>
    <xdr:sp macro="" textlink="">
      <xdr:nvSpPr>
        <xdr:cNvPr id="244903" name="フリーフォーム: 図形 244902">
          <a:extLst>
            <a:ext uri="{FF2B5EF4-FFF2-40B4-BE49-F238E27FC236}">
              <a16:creationId xmlns:a16="http://schemas.microsoft.com/office/drawing/2014/main" id="{6EE18A4D-6C90-48E9-AE2F-24B951B6C6DE}"/>
            </a:ext>
          </a:extLst>
        </xdr:cNvPr>
        <xdr:cNvSpPr>
          <a:spLocks noChangeAspect="1"/>
        </xdr:cNvSpPr>
      </xdr:nvSpPr>
      <xdr:spPr>
        <a:xfrm>
          <a:off x="336383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11</xdr:row>
      <xdr:rowOff>75750</xdr:rowOff>
    </xdr:from>
    <xdr:to>
      <xdr:col>48</xdr:col>
      <xdr:colOff>432003</xdr:colOff>
      <xdr:row>16</xdr:row>
      <xdr:rowOff>136501</xdr:rowOff>
    </xdr:to>
    <xdr:sp macro="" textlink="">
      <xdr:nvSpPr>
        <xdr:cNvPr id="244904" name="フリーフォーム: 図形 244903">
          <a:extLst>
            <a:ext uri="{FF2B5EF4-FFF2-40B4-BE49-F238E27FC236}">
              <a16:creationId xmlns:a16="http://schemas.microsoft.com/office/drawing/2014/main" id="{1CDD8482-EFD0-4CA9-8638-E731A6484F8D}"/>
            </a:ext>
          </a:extLst>
        </xdr:cNvPr>
        <xdr:cNvSpPr>
          <a:spLocks noChangeAspect="1"/>
        </xdr:cNvSpPr>
      </xdr:nvSpPr>
      <xdr:spPr>
        <a:xfrm>
          <a:off x="330624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5</xdr:row>
      <xdr:rowOff>114450</xdr:rowOff>
    </xdr:from>
    <xdr:to>
      <xdr:col>48</xdr:col>
      <xdr:colOff>576000</xdr:colOff>
      <xdr:row>11</xdr:row>
      <xdr:rowOff>21751</xdr:rowOff>
    </xdr:to>
    <xdr:sp macro="" textlink="">
      <xdr:nvSpPr>
        <xdr:cNvPr id="244905" name="フリーフォーム: 図形 244904">
          <a:extLst>
            <a:ext uri="{FF2B5EF4-FFF2-40B4-BE49-F238E27FC236}">
              <a16:creationId xmlns:a16="http://schemas.microsoft.com/office/drawing/2014/main" id="{FE0FEEC2-EA5F-4390-8AB5-C4BDEA796261}"/>
            </a:ext>
          </a:extLst>
        </xdr:cNvPr>
        <xdr:cNvSpPr>
          <a:spLocks noChangeAspect="1"/>
        </xdr:cNvSpPr>
      </xdr:nvSpPr>
      <xdr:spPr>
        <a:xfrm>
          <a:off x="332423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10</xdr:row>
      <xdr:rowOff>139200</xdr:rowOff>
    </xdr:from>
    <xdr:to>
      <xdr:col>49</xdr:col>
      <xdr:colOff>160202</xdr:colOff>
      <xdr:row>11</xdr:row>
      <xdr:rowOff>111751</xdr:rowOff>
    </xdr:to>
    <xdr:sp macro="" textlink="">
      <xdr:nvSpPr>
        <xdr:cNvPr id="244906" name="フリーフォーム: 図形 244905">
          <a:extLst>
            <a:ext uri="{FF2B5EF4-FFF2-40B4-BE49-F238E27FC236}">
              <a16:creationId xmlns:a16="http://schemas.microsoft.com/office/drawing/2014/main" id="{00F93FC5-8331-4994-B0E5-F56E03F65BEA}"/>
            </a:ext>
          </a:extLst>
        </xdr:cNvPr>
        <xdr:cNvSpPr>
          <a:spLocks noChangeAspect="1"/>
        </xdr:cNvSpPr>
      </xdr:nvSpPr>
      <xdr:spPr>
        <a:xfrm>
          <a:off x="333144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10</xdr:row>
      <xdr:rowOff>139200</xdr:rowOff>
    </xdr:from>
    <xdr:to>
      <xdr:col>49</xdr:col>
      <xdr:colOff>664202</xdr:colOff>
      <xdr:row>11</xdr:row>
      <xdr:rowOff>111751</xdr:rowOff>
    </xdr:to>
    <xdr:sp macro="" textlink="">
      <xdr:nvSpPr>
        <xdr:cNvPr id="244907" name="フリーフォーム: 図形 244906">
          <a:extLst>
            <a:ext uri="{FF2B5EF4-FFF2-40B4-BE49-F238E27FC236}">
              <a16:creationId xmlns:a16="http://schemas.microsoft.com/office/drawing/2014/main" id="{66B556D3-F855-48DB-8EF3-FDDF36FDB2E2}"/>
            </a:ext>
          </a:extLst>
        </xdr:cNvPr>
        <xdr:cNvSpPr>
          <a:spLocks noChangeAspect="1"/>
        </xdr:cNvSpPr>
      </xdr:nvSpPr>
      <xdr:spPr>
        <a:xfrm>
          <a:off x="338184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6</xdr:row>
      <xdr:rowOff>51000</xdr:rowOff>
    </xdr:from>
    <xdr:to>
      <xdr:col>49</xdr:col>
      <xdr:colOff>178201</xdr:colOff>
      <xdr:row>11</xdr:row>
      <xdr:rowOff>3751</xdr:rowOff>
    </xdr:to>
    <xdr:sp macro="" textlink="">
      <xdr:nvSpPr>
        <xdr:cNvPr id="244908" name="フリーフォーム: 図形 244907">
          <a:extLst>
            <a:ext uri="{FF2B5EF4-FFF2-40B4-BE49-F238E27FC236}">
              <a16:creationId xmlns:a16="http://schemas.microsoft.com/office/drawing/2014/main" id="{8FA4B486-D38F-4419-AFCA-5B9B27265961}"/>
            </a:ext>
          </a:extLst>
        </xdr:cNvPr>
        <xdr:cNvSpPr>
          <a:spLocks noChangeAspect="1"/>
        </xdr:cNvSpPr>
      </xdr:nvSpPr>
      <xdr:spPr>
        <a:xfrm>
          <a:off x="335124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5</xdr:row>
      <xdr:rowOff>114450</xdr:rowOff>
    </xdr:from>
    <xdr:to>
      <xdr:col>49</xdr:col>
      <xdr:colOff>430201</xdr:colOff>
      <xdr:row>10</xdr:row>
      <xdr:rowOff>157201</xdr:rowOff>
    </xdr:to>
    <xdr:sp macro="" textlink="">
      <xdr:nvSpPr>
        <xdr:cNvPr id="244909" name="フリーフォーム: 図形 244908">
          <a:extLst>
            <a:ext uri="{FF2B5EF4-FFF2-40B4-BE49-F238E27FC236}">
              <a16:creationId xmlns:a16="http://schemas.microsoft.com/office/drawing/2014/main" id="{C0E44727-F476-4F61-BD0B-4B7077F19DB3}"/>
            </a:ext>
          </a:extLst>
        </xdr:cNvPr>
        <xdr:cNvSpPr>
          <a:spLocks noChangeAspect="1"/>
        </xdr:cNvSpPr>
      </xdr:nvSpPr>
      <xdr:spPr>
        <a:xfrm>
          <a:off x="337824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6</xdr:row>
      <xdr:rowOff>69000</xdr:rowOff>
    </xdr:from>
    <xdr:to>
      <xdr:col>50</xdr:col>
      <xdr:colOff>68400</xdr:colOff>
      <xdr:row>11</xdr:row>
      <xdr:rowOff>3751</xdr:rowOff>
    </xdr:to>
    <xdr:sp macro="" textlink="">
      <xdr:nvSpPr>
        <xdr:cNvPr id="244910" name="フリーフォーム: 図形 244909">
          <a:extLst>
            <a:ext uri="{FF2B5EF4-FFF2-40B4-BE49-F238E27FC236}">
              <a16:creationId xmlns:a16="http://schemas.microsoft.com/office/drawing/2014/main" id="{BCD06B3D-7ECD-471A-8806-78CD20D453FD}"/>
            </a:ext>
          </a:extLst>
        </xdr:cNvPr>
        <xdr:cNvSpPr>
          <a:spLocks noChangeAspect="1"/>
        </xdr:cNvSpPr>
      </xdr:nvSpPr>
      <xdr:spPr>
        <a:xfrm>
          <a:off x="338364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11</xdr:row>
      <xdr:rowOff>75750</xdr:rowOff>
    </xdr:from>
    <xdr:to>
      <xdr:col>49</xdr:col>
      <xdr:colOff>466202</xdr:colOff>
      <xdr:row>15</xdr:row>
      <xdr:rowOff>163951</xdr:rowOff>
    </xdr:to>
    <xdr:sp macro="" textlink="">
      <xdr:nvSpPr>
        <xdr:cNvPr id="244911" name="フリーフォーム: 図形 244910">
          <a:extLst>
            <a:ext uri="{FF2B5EF4-FFF2-40B4-BE49-F238E27FC236}">
              <a16:creationId xmlns:a16="http://schemas.microsoft.com/office/drawing/2014/main" id="{6FE01B5D-3823-4F23-8193-2A60685DDE0B}"/>
            </a:ext>
          </a:extLst>
        </xdr:cNvPr>
        <xdr:cNvSpPr>
          <a:spLocks noChangeAspect="1"/>
        </xdr:cNvSpPr>
      </xdr:nvSpPr>
      <xdr:spPr>
        <a:xfrm>
          <a:off x="338003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11</xdr:row>
      <xdr:rowOff>93750</xdr:rowOff>
    </xdr:from>
    <xdr:to>
      <xdr:col>49</xdr:col>
      <xdr:colOff>196200</xdr:colOff>
      <xdr:row>16</xdr:row>
      <xdr:rowOff>118501</xdr:rowOff>
    </xdr:to>
    <xdr:sp macro="" textlink="">
      <xdr:nvSpPr>
        <xdr:cNvPr id="244912" name="フリーフォーム: 図形 244911">
          <a:extLst>
            <a:ext uri="{FF2B5EF4-FFF2-40B4-BE49-F238E27FC236}">
              <a16:creationId xmlns:a16="http://schemas.microsoft.com/office/drawing/2014/main" id="{37D4014C-F1A8-4086-9DBB-D70D5B45C44B}"/>
            </a:ext>
          </a:extLst>
        </xdr:cNvPr>
        <xdr:cNvSpPr>
          <a:spLocks noChangeAspect="1"/>
        </xdr:cNvSpPr>
      </xdr:nvSpPr>
      <xdr:spPr>
        <a:xfrm>
          <a:off x="335664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11</xdr:row>
      <xdr:rowOff>75750</xdr:rowOff>
    </xdr:from>
    <xdr:to>
      <xdr:col>49</xdr:col>
      <xdr:colOff>160202</xdr:colOff>
      <xdr:row>16</xdr:row>
      <xdr:rowOff>10501</xdr:rowOff>
    </xdr:to>
    <xdr:sp macro="" textlink="">
      <xdr:nvSpPr>
        <xdr:cNvPr id="244913" name="フリーフォーム: 図形 244912">
          <a:extLst>
            <a:ext uri="{FF2B5EF4-FFF2-40B4-BE49-F238E27FC236}">
              <a16:creationId xmlns:a16="http://schemas.microsoft.com/office/drawing/2014/main" id="{E8745489-433F-48A8-B3D1-02CC58524F23}"/>
            </a:ext>
          </a:extLst>
        </xdr:cNvPr>
        <xdr:cNvSpPr>
          <a:spLocks noChangeAspect="1"/>
        </xdr:cNvSpPr>
      </xdr:nvSpPr>
      <xdr:spPr>
        <a:xfrm>
          <a:off x="332423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5</xdr:row>
      <xdr:rowOff>42450</xdr:rowOff>
    </xdr:from>
    <xdr:to>
      <xdr:col>52</xdr:col>
      <xdr:colOff>93601</xdr:colOff>
      <xdr:row>6</xdr:row>
      <xdr:rowOff>15001</xdr:rowOff>
    </xdr:to>
    <xdr:sp macro="" textlink="">
      <xdr:nvSpPr>
        <xdr:cNvPr id="244914" name="フリーフォーム: 図形 244913">
          <a:extLst>
            <a:ext uri="{FF2B5EF4-FFF2-40B4-BE49-F238E27FC236}">
              <a16:creationId xmlns:a16="http://schemas.microsoft.com/office/drawing/2014/main" id="{A05A56A4-E716-4B18-8D4D-4D222ED69C2B}"/>
            </a:ext>
          </a:extLst>
        </xdr:cNvPr>
        <xdr:cNvSpPr>
          <a:spLocks noChangeAspect="1"/>
        </xdr:cNvSpPr>
      </xdr:nvSpPr>
      <xdr:spPr>
        <a:xfrm>
          <a:off x="352872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5</xdr:row>
      <xdr:rowOff>42450</xdr:rowOff>
    </xdr:from>
    <xdr:to>
      <xdr:col>52</xdr:col>
      <xdr:colOff>633600</xdr:colOff>
      <xdr:row>6</xdr:row>
      <xdr:rowOff>15001</xdr:rowOff>
    </xdr:to>
    <xdr:sp macro="" textlink="">
      <xdr:nvSpPr>
        <xdr:cNvPr id="244915" name="フリーフォーム: 図形 244914">
          <a:extLst>
            <a:ext uri="{FF2B5EF4-FFF2-40B4-BE49-F238E27FC236}">
              <a16:creationId xmlns:a16="http://schemas.microsoft.com/office/drawing/2014/main" id="{863AA578-F4E8-4B47-AE91-18B09C02B018}"/>
            </a:ext>
          </a:extLst>
        </xdr:cNvPr>
        <xdr:cNvSpPr>
          <a:spLocks noChangeAspect="1"/>
        </xdr:cNvSpPr>
      </xdr:nvSpPr>
      <xdr:spPr>
        <a:xfrm>
          <a:off x="358271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5</xdr:row>
      <xdr:rowOff>114450</xdr:rowOff>
    </xdr:from>
    <xdr:to>
      <xdr:col>53</xdr:col>
      <xdr:colOff>19801</xdr:colOff>
      <xdr:row>11</xdr:row>
      <xdr:rowOff>21751</xdr:rowOff>
    </xdr:to>
    <xdr:sp macro="" textlink="">
      <xdr:nvSpPr>
        <xdr:cNvPr id="244916" name="フリーフォーム: 図形 244915">
          <a:extLst>
            <a:ext uri="{FF2B5EF4-FFF2-40B4-BE49-F238E27FC236}">
              <a16:creationId xmlns:a16="http://schemas.microsoft.com/office/drawing/2014/main" id="{BA3FA6A1-D581-496A-957C-11C1A24810DD}"/>
            </a:ext>
          </a:extLst>
        </xdr:cNvPr>
        <xdr:cNvSpPr>
          <a:spLocks noChangeAspect="1"/>
        </xdr:cNvSpPr>
      </xdr:nvSpPr>
      <xdr:spPr>
        <a:xfrm>
          <a:off x="360791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11</xdr:row>
      <xdr:rowOff>75750</xdr:rowOff>
    </xdr:from>
    <xdr:to>
      <xdr:col>52</xdr:col>
      <xdr:colOff>525600</xdr:colOff>
      <xdr:row>16</xdr:row>
      <xdr:rowOff>136501</xdr:rowOff>
    </xdr:to>
    <xdr:sp macro="" textlink="">
      <xdr:nvSpPr>
        <xdr:cNvPr id="244917" name="フリーフォーム: 図形 244916">
          <a:extLst>
            <a:ext uri="{FF2B5EF4-FFF2-40B4-BE49-F238E27FC236}">
              <a16:creationId xmlns:a16="http://schemas.microsoft.com/office/drawing/2014/main" id="{A54269A0-FAAC-48E8-A18E-104EB6A72091}"/>
            </a:ext>
          </a:extLst>
        </xdr:cNvPr>
        <xdr:cNvSpPr>
          <a:spLocks noChangeAspect="1"/>
        </xdr:cNvSpPr>
      </xdr:nvSpPr>
      <xdr:spPr>
        <a:xfrm>
          <a:off x="358992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16</xdr:row>
      <xdr:rowOff>64500</xdr:rowOff>
    </xdr:from>
    <xdr:to>
      <xdr:col>51</xdr:col>
      <xdr:colOff>455400</xdr:colOff>
      <xdr:row>17</xdr:row>
      <xdr:rowOff>37051</xdr:rowOff>
    </xdr:to>
    <xdr:sp macro="" textlink="">
      <xdr:nvSpPr>
        <xdr:cNvPr id="244918" name="フリーフォーム: 図形 244917">
          <a:extLst>
            <a:ext uri="{FF2B5EF4-FFF2-40B4-BE49-F238E27FC236}">
              <a16:creationId xmlns:a16="http://schemas.microsoft.com/office/drawing/2014/main" id="{2A3FA61E-3FE3-43D6-8298-2E752FC2253D}"/>
            </a:ext>
          </a:extLst>
        </xdr:cNvPr>
        <xdr:cNvSpPr>
          <a:spLocks noChangeAspect="1"/>
        </xdr:cNvSpPr>
      </xdr:nvSpPr>
      <xdr:spPr>
        <a:xfrm>
          <a:off x="349452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16</xdr:row>
      <xdr:rowOff>64500</xdr:rowOff>
    </xdr:from>
    <xdr:to>
      <xdr:col>52</xdr:col>
      <xdr:colOff>273600</xdr:colOff>
      <xdr:row>17</xdr:row>
      <xdr:rowOff>37051</xdr:rowOff>
    </xdr:to>
    <xdr:sp macro="" textlink="">
      <xdr:nvSpPr>
        <xdr:cNvPr id="244919" name="フリーフォーム: 図形 244918">
          <a:extLst>
            <a:ext uri="{FF2B5EF4-FFF2-40B4-BE49-F238E27FC236}">
              <a16:creationId xmlns:a16="http://schemas.microsoft.com/office/drawing/2014/main" id="{BF94C4F7-C1FC-42E9-A15E-76AF1633ECCF}"/>
            </a:ext>
          </a:extLst>
        </xdr:cNvPr>
        <xdr:cNvSpPr>
          <a:spLocks noChangeAspect="1"/>
        </xdr:cNvSpPr>
      </xdr:nvSpPr>
      <xdr:spPr>
        <a:xfrm>
          <a:off x="354671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11</xdr:row>
      <xdr:rowOff>75750</xdr:rowOff>
    </xdr:from>
    <xdr:to>
      <xdr:col>51</xdr:col>
      <xdr:colOff>203403</xdr:colOff>
      <xdr:row>16</xdr:row>
      <xdr:rowOff>136501</xdr:rowOff>
    </xdr:to>
    <xdr:sp macro="" textlink="">
      <xdr:nvSpPr>
        <xdr:cNvPr id="244920" name="フリーフォーム: 図形 244919">
          <a:extLst>
            <a:ext uri="{FF2B5EF4-FFF2-40B4-BE49-F238E27FC236}">
              <a16:creationId xmlns:a16="http://schemas.microsoft.com/office/drawing/2014/main" id="{6DD2B68F-5198-498C-9372-4F5CA0428AA2}"/>
            </a:ext>
          </a:extLst>
        </xdr:cNvPr>
        <xdr:cNvSpPr>
          <a:spLocks noChangeAspect="1"/>
        </xdr:cNvSpPr>
      </xdr:nvSpPr>
      <xdr:spPr>
        <a:xfrm>
          <a:off x="348912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5</xdr:row>
      <xdr:rowOff>114450</xdr:rowOff>
    </xdr:from>
    <xdr:to>
      <xdr:col>51</xdr:col>
      <xdr:colOff>347400</xdr:colOff>
      <xdr:row>11</xdr:row>
      <xdr:rowOff>21751</xdr:rowOff>
    </xdr:to>
    <xdr:sp macro="" textlink="">
      <xdr:nvSpPr>
        <xdr:cNvPr id="244921" name="フリーフォーム: 図形 244920">
          <a:extLst>
            <a:ext uri="{FF2B5EF4-FFF2-40B4-BE49-F238E27FC236}">
              <a16:creationId xmlns:a16="http://schemas.microsoft.com/office/drawing/2014/main" id="{DD6F7DDF-8800-4BC7-A795-192E9D6298B0}"/>
            </a:ext>
          </a:extLst>
        </xdr:cNvPr>
        <xdr:cNvSpPr>
          <a:spLocks noChangeAspect="1"/>
        </xdr:cNvSpPr>
      </xdr:nvSpPr>
      <xdr:spPr>
        <a:xfrm>
          <a:off x="350711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10</xdr:row>
      <xdr:rowOff>139200</xdr:rowOff>
    </xdr:from>
    <xdr:to>
      <xdr:col>51</xdr:col>
      <xdr:colOff>617402</xdr:colOff>
      <xdr:row>11</xdr:row>
      <xdr:rowOff>111751</xdr:rowOff>
    </xdr:to>
    <xdr:sp macro="" textlink="">
      <xdr:nvSpPr>
        <xdr:cNvPr id="244922" name="フリーフォーム: 図形 244921">
          <a:extLst>
            <a:ext uri="{FF2B5EF4-FFF2-40B4-BE49-F238E27FC236}">
              <a16:creationId xmlns:a16="http://schemas.microsoft.com/office/drawing/2014/main" id="{5D09D35F-DA6F-4370-BF68-A70FD050CC2D}"/>
            </a:ext>
          </a:extLst>
        </xdr:cNvPr>
        <xdr:cNvSpPr>
          <a:spLocks noChangeAspect="1"/>
        </xdr:cNvSpPr>
      </xdr:nvSpPr>
      <xdr:spPr>
        <a:xfrm>
          <a:off x="351432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10</xdr:row>
      <xdr:rowOff>139200</xdr:rowOff>
    </xdr:from>
    <xdr:to>
      <xdr:col>52</xdr:col>
      <xdr:colOff>435602</xdr:colOff>
      <xdr:row>11</xdr:row>
      <xdr:rowOff>111751</xdr:rowOff>
    </xdr:to>
    <xdr:sp macro="" textlink="">
      <xdr:nvSpPr>
        <xdr:cNvPr id="244923" name="フリーフォーム: 図形 244922">
          <a:extLst>
            <a:ext uri="{FF2B5EF4-FFF2-40B4-BE49-F238E27FC236}">
              <a16:creationId xmlns:a16="http://schemas.microsoft.com/office/drawing/2014/main" id="{13F2ED17-0912-4758-BF47-28D09E6C9258}"/>
            </a:ext>
          </a:extLst>
        </xdr:cNvPr>
        <xdr:cNvSpPr>
          <a:spLocks noChangeAspect="1"/>
        </xdr:cNvSpPr>
      </xdr:nvSpPr>
      <xdr:spPr>
        <a:xfrm>
          <a:off x="356472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6</xdr:row>
      <xdr:rowOff>51000</xdr:rowOff>
    </xdr:from>
    <xdr:to>
      <xdr:col>51</xdr:col>
      <xdr:colOff>635401</xdr:colOff>
      <xdr:row>11</xdr:row>
      <xdr:rowOff>3751</xdr:rowOff>
    </xdr:to>
    <xdr:sp macro="" textlink="">
      <xdr:nvSpPr>
        <xdr:cNvPr id="244924" name="フリーフォーム: 図形 244923">
          <a:extLst>
            <a:ext uri="{FF2B5EF4-FFF2-40B4-BE49-F238E27FC236}">
              <a16:creationId xmlns:a16="http://schemas.microsoft.com/office/drawing/2014/main" id="{BDD02D9C-17A6-4008-A954-679DBA9503E6}"/>
            </a:ext>
          </a:extLst>
        </xdr:cNvPr>
        <xdr:cNvSpPr>
          <a:spLocks noChangeAspect="1"/>
        </xdr:cNvSpPr>
      </xdr:nvSpPr>
      <xdr:spPr>
        <a:xfrm>
          <a:off x="353412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5</xdr:row>
      <xdr:rowOff>114450</xdr:rowOff>
    </xdr:from>
    <xdr:to>
      <xdr:col>52</xdr:col>
      <xdr:colOff>201601</xdr:colOff>
      <xdr:row>10</xdr:row>
      <xdr:rowOff>157201</xdr:rowOff>
    </xdr:to>
    <xdr:sp macro="" textlink="">
      <xdr:nvSpPr>
        <xdr:cNvPr id="244925" name="フリーフォーム: 図形 244924">
          <a:extLst>
            <a:ext uri="{FF2B5EF4-FFF2-40B4-BE49-F238E27FC236}">
              <a16:creationId xmlns:a16="http://schemas.microsoft.com/office/drawing/2014/main" id="{EB1B9EAD-E9D9-49AE-982E-F2794F8BB510}"/>
            </a:ext>
          </a:extLst>
        </xdr:cNvPr>
        <xdr:cNvSpPr>
          <a:spLocks noChangeAspect="1"/>
        </xdr:cNvSpPr>
      </xdr:nvSpPr>
      <xdr:spPr>
        <a:xfrm>
          <a:off x="356112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6</xdr:row>
      <xdr:rowOff>69000</xdr:rowOff>
    </xdr:from>
    <xdr:to>
      <xdr:col>52</xdr:col>
      <xdr:colOff>525600</xdr:colOff>
      <xdr:row>11</xdr:row>
      <xdr:rowOff>3751</xdr:rowOff>
    </xdr:to>
    <xdr:sp macro="" textlink="">
      <xdr:nvSpPr>
        <xdr:cNvPr id="244926" name="フリーフォーム: 図形 244925">
          <a:extLst>
            <a:ext uri="{FF2B5EF4-FFF2-40B4-BE49-F238E27FC236}">
              <a16:creationId xmlns:a16="http://schemas.microsoft.com/office/drawing/2014/main" id="{EFB2DAA0-2592-4523-9468-AF2150F9A0A2}"/>
            </a:ext>
          </a:extLst>
        </xdr:cNvPr>
        <xdr:cNvSpPr>
          <a:spLocks noChangeAspect="1"/>
        </xdr:cNvSpPr>
      </xdr:nvSpPr>
      <xdr:spPr>
        <a:xfrm>
          <a:off x="356652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11</xdr:row>
      <xdr:rowOff>75750</xdr:rowOff>
    </xdr:from>
    <xdr:to>
      <xdr:col>52</xdr:col>
      <xdr:colOff>237602</xdr:colOff>
      <xdr:row>15</xdr:row>
      <xdr:rowOff>163951</xdr:rowOff>
    </xdr:to>
    <xdr:sp macro="" textlink="">
      <xdr:nvSpPr>
        <xdr:cNvPr id="244927" name="フリーフォーム: 図形 244926">
          <a:extLst>
            <a:ext uri="{FF2B5EF4-FFF2-40B4-BE49-F238E27FC236}">
              <a16:creationId xmlns:a16="http://schemas.microsoft.com/office/drawing/2014/main" id="{256483D0-8292-40B4-BCB9-CE3BF9604DD8}"/>
            </a:ext>
          </a:extLst>
        </xdr:cNvPr>
        <xdr:cNvSpPr>
          <a:spLocks noChangeAspect="1"/>
        </xdr:cNvSpPr>
      </xdr:nvSpPr>
      <xdr:spPr>
        <a:xfrm>
          <a:off x="356291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11</xdr:row>
      <xdr:rowOff>93750</xdr:rowOff>
    </xdr:from>
    <xdr:to>
      <xdr:col>51</xdr:col>
      <xdr:colOff>653400</xdr:colOff>
      <xdr:row>16</xdr:row>
      <xdr:rowOff>118501</xdr:rowOff>
    </xdr:to>
    <xdr:sp macro="" textlink="">
      <xdr:nvSpPr>
        <xdr:cNvPr id="244928" name="フリーフォーム: 図形 244927">
          <a:extLst>
            <a:ext uri="{FF2B5EF4-FFF2-40B4-BE49-F238E27FC236}">
              <a16:creationId xmlns:a16="http://schemas.microsoft.com/office/drawing/2014/main" id="{70CE4AB2-4810-4F62-B694-E23F015948EF}"/>
            </a:ext>
          </a:extLst>
        </xdr:cNvPr>
        <xdr:cNvSpPr>
          <a:spLocks noChangeAspect="1"/>
        </xdr:cNvSpPr>
      </xdr:nvSpPr>
      <xdr:spPr>
        <a:xfrm>
          <a:off x="353952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11</xdr:row>
      <xdr:rowOff>75750</xdr:rowOff>
    </xdr:from>
    <xdr:to>
      <xdr:col>51</xdr:col>
      <xdr:colOff>617402</xdr:colOff>
      <xdr:row>16</xdr:row>
      <xdr:rowOff>10501</xdr:rowOff>
    </xdr:to>
    <xdr:sp macro="" textlink="">
      <xdr:nvSpPr>
        <xdr:cNvPr id="244929" name="フリーフォーム: 図形 244928">
          <a:extLst>
            <a:ext uri="{FF2B5EF4-FFF2-40B4-BE49-F238E27FC236}">
              <a16:creationId xmlns:a16="http://schemas.microsoft.com/office/drawing/2014/main" id="{DC865E98-3905-4B8D-B69E-D7C9C07F8A92}"/>
            </a:ext>
          </a:extLst>
        </xdr:cNvPr>
        <xdr:cNvSpPr>
          <a:spLocks noChangeAspect="1"/>
        </xdr:cNvSpPr>
      </xdr:nvSpPr>
      <xdr:spPr>
        <a:xfrm>
          <a:off x="350711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5</xdr:row>
      <xdr:rowOff>42450</xdr:rowOff>
    </xdr:from>
    <xdr:to>
      <xdr:col>54</xdr:col>
      <xdr:colOff>550801</xdr:colOff>
      <xdr:row>6</xdr:row>
      <xdr:rowOff>15001</xdr:rowOff>
    </xdr:to>
    <xdr:sp macro="" textlink="">
      <xdr:nvSpPr>
        <xdr:cNvPr id="244930" name="フリーフォーム: 図形 244929">
          <a:extLst>
            <a:ext uri="{FF2B5EF4-FFF2-40B4-BE49-F238E27FC236}">
              <a16:creationId xmlns:a16="http://schemas.microsoft.com/office/drawing/2014/main" id="{C5757C39-27A0-4FF8-8D06-9145799F9DC1}"/>
            </a:ext>
          </a:extLst>
        </xdr:cNvPr>
        <xdr:cNvSpPr>
          <a:spLocks noChangeAspect="1"/>
        </xdr:cNvSpPr>
      </xdr:nvSpPr>
      <xdr:spPr>
        <a:xfrm>
          <a:off x="371160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5</xdr:row>
      <xdr:rowOff>42450</xdr:rowOff>
    </xdr:from>
    <xdr:to>
      <xdr:col>55</xdr:col>
      <xdr:colOff>405000</xdr:colOff>
      <xdr:row>6</xdr:row>
      <xdr:rowOff>15001</xdr:rowOff>
    </xdr:to>
    <xdr:sp macro="" textlink="">
      <xdr:nvSpPr>
        <xdr:cNvPr id="244931" name="フリーフォーム: 図形 244930">
          <a:extLst>
            <a:ext uri="{FF2B5EF4-FFF2-40B4-BE49-F238E27FC236}">
              <a16:creationId xmlns:a16="http://schemas.microsoft.com/office/drawing/2014/main" id="{63640C99-EB18-4328-AD6B-30D2F5DFC021}"/>
            </a:ext>
          </a:extLst>
        </xdr:cNvPr>
        <xdr:cNvSpPr>
          <a:spLocks noChangeAspect="1"/>
        </xdr:cNvSpPr>
      </xdr:nvSpPr>
      <xdr:spPr>
        <a:xfrm>
          <a:off x="376559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5</xdr:row>
      <xdr:rowOff>114450</xdr:rowOff>
    </xdr:from>
    <xdr:to>
      <xdr:col>55</xdr:col>
      <xdr:colOff>477001</xdr:colOff>
      <xdr:row>11</xdr:row>
      <xdr:rowOff>21751</xdr:rowOff>
    </xdr:to>
    <xdr:sp macro="" textlink="">
      <xdr:nvSpPr>
        <xdr:cNvPr id="244932" name="フリーフォーム: 図形 244931">
          <a:extLst>
            <a:ext uri="{FF2B5EF4-FFF2-40B4-BE49-F238E27FC236}">
              <a16:creationId xmlns:a16="http://schemas.microsoft.com/office/drawing/2014/main" id="{28952188-CD55-4000-BF45-6C205059C9AE}"/>
            </a:ext>
          </a:extLst>
        </xdr:cNvPr>
        <xdr:cNvSpPr>
          <a:spLocks noChangeAspect="1"/>
        </xdr:cNvSpPr>
      </xdr:nvSpPr>
      <xdr:spPr>
        <a:xfrm>
          <a:off x="379079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11</xdr:row>
      <xdr:rowOff>75750</xdr:rowOff>
    </xdr:from>
    <xdr:to>
      <xdr:col>55</xdr:col>
      <xdr:colOff>297000</xdr:colOff>
      <xdr:row>16</xdr:row>
      <xdr:rowOff>136501</xdr:rowOff>
    </xdr:to>
    <xdr:sp macro="" textlink="">
      <xdr:nvSpPr>
        <xdr:cNvPr id="244933" name="フリーフォーム: 図形 244932">
          <a:extLst>
            <a:ext uri="{FF2B5EF4-FFF2-40B4-BE49-F238E27FC236}">
              <a16:creationId xmlns:a16="http://schemas.microsoft.com/office/drawing/2014/main" id="{52EC3ACD-9807-4471-A420-771CF47744D1}"/>
            </a:ext>
          </a:extLst>
        </xdr:cNvPr>
        <xdr:cNvSpPr>
          <a:spLocks noChangeAspect="1"/>
        </xdr:cNvSpPr>
      </xdr:nvSpPr>
      <xdr:spPr>
        <a:xfrm>
          <a:off x="377280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16</xdr:row>
      <xdr:rowOff>64500</xdr:rowOff>
    </xdr:from>
    <xdr:to>
      <xdr:col>54</xdr:col>
      <xdr:colOff>226800</xdr:colOff>
      <xdr:row>17</xdr:row>
      <xdr:rowOff>37051</xdr:rowOff>
    </xdr:to>
    <xdr:sp macro="" textlink="">
      <xdr:nvSpPr>
        <xdr:cNvPr id="244934" name="フリーフォーム: 図形 244933">
          <a:extLst>
            <a:ext uri="{FF2B5EF4-FFF2-40B4-BE49-F238E27FC236}">
              <a16:creationId xmlns:a16="http://schemas.microsoft.com/office/drawing/2014/main" id="{C5387B3F-35F0-4174-92B1-602F95904D30}"/>
            </a:ext>
          </a:extLst>
        </xdr:cNvPr>
        <xdr:cNvSpPr>
          <a:spLocks noChangeAspect="1"/>
        </xdr:cNvSpPr>
      </xdr:nvSpPr>
      <xdr:spPr>
        <a:xfrm>
          <a:off x="367740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16</xdr:row>
      <xdr:rowOff>64500</xdr:rowOff>
    </xdr:from>
    <xdr:to>
      <xdr:col>55</xdr:col>
      <xdr:colOff>45000</xdr:colOff>
      <xdr:row>17</xdr:row>
      <xdr:rowOff>37051</xdr:rowOff>
    </xdr:to>
    <xdr:sp macro="" textlink="">
      <xdr:nvSpPr>
        <xdr:cNvPr id="244935" name="フリーフォーム: 図形 244934">
          <a:extLst>
            <a:ext uri="{FF2B5EF4-FFF2-40B4-BE49-F238E27FC236}">
              <a16:creationId xmlns:a16="http://schemas.microsoft.com/office/drawing/2014/main" id="{D0116869-B50A-4E7B-96FB-004D45466ED0}"/>
            </a:ext>
          </a:extLst>
        </xdr:cNvPr>
        <xdr:cNvSpPr>
          <a:spLocks noChangeAspect="1"/>
        </xdr:cNvSpPr>
      </xdr:nvSpPr>
      <xdr:spPr>
        <a:xfrm>
          <a:off x="372959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11</xdr:row>
      <xdr:rowOff>75750</xdr:rowOff>
    </xdr:from>
    <xdr:to>
      <xdr:col>53</xdr:col>
      <xdr:colOff>660603</xdr:colOff>
      <xdr:row>16</xdr:row>
      <xdr:rowOff>136501</xdr:rowOff>
    </xdr:to>
    <xdr:sp macro="" textlink="">
      <xdr:nvSpPr>
        <xdr:cNvPr id="244936" name="フリーフォーム: 図形 244935">
          <a:extLst>
            <a:ext uri="{FF2B5EF4-FFF2-40B4-BE49-F238E27FC236}">
              <a16:creationId xmlns:a16="http://schemas.microsoft.com/office/drawing/2014/main" id="{CB564B60-CEB9-4516-898C-5960AFF80C14}"/>
            </a:ext>
          </a:extLst>
        </xdr:cNvPr>
        <xdr:cNvSpPr>
          <a:spLocks noChangeAspect="1"/>
        </xdr:cNvSpPr>
      </xdr:nvSpPr>
      <xdr:spPr>
        <a:xfrm>
          <a:off x="367200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5</xdr:row>
      <xdr:rowOff>114450</xdr:rowOff>
    </xdr:from>
    <xdr:to>
      <xdr:col>54</xdr:col>
      <xdr:colOff>118800</xdr:colOff>
      <xdr:row>11</xdr:row>
      <xdr:rowOff>21751</xdr:rowOff>
    </xdr:to>
    <xdr:sp macro="" textlink="">
      <xdr:nvSpPr>
        <xdr:cNvPr id="244937" name="フリーフォーム: 図形 244936">
          <a:extLst>
            <a:ext uri="{FF2B5EF4-FFF2-40B4-BE49-F238E27FC236}">
              <a16:creationId xmlns:a16="http://schemas.microsoft.com/office/drawing/2014/main" id="{6AC3F204-242E-4A16-9D31-BEAFC5A6A0DE}"/>
            </a:ext>
          </a:extLst>
        </xdr:cNvPr>
        <xdr:cNvSpPr>
          <a:spLocks noChangeAspect="1"/>
        </xdr:cNvSpPr>
      </xdr:nvSpPr>
      <xdr:spPr>
        <a:xfrm>
          <a:off x="368999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10</xdr:row>
      <xdr:rowOff>139200</xdr:rowOff>
    </xdr:from>
    <xdr:to>
      <xdr:col>54</xdr:col>
      <xdr:colOff>388802</xdr:colOff>
      <xdr:row>11</xdr:row>
      <xdr:rowOff>111751</xdr:rowOff>
    </xdr:to>
    <xdr:sp macro="" textlink="">
      <xdr:nvSpPr>
        <xdr:cNvPr id="244938" name="フリーフォーム: 図形 244937">
          <a:extLst>
            <a:ext uri="{FF2B5EF4-FFF2-40B4-BE49-F238E27FC236}">
              <a16:creationId xmlns:a16="http://schemas.microsoft.com/office/drawing/2014/main" id="{73797936-2B26-4839-9AB3-076586235F37}"/>
            </a:ext>
          </a:extLst>
        </xdr:cNvPr>
        <xdr:cNvSpPr>
          <a:spLocks noChangeAspect="1"/>
        </xdr:cNvSpPr>
      </xdr:nvSpPr>
      <xdr:spPr>
        <a:xfrm>
          <a:off x="369720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10</xdr:row>
      <xdr:rowOff>139200</xdr:rowOff>
    </xdr:from>
    <xdr:to>
      <xdr:col>55</xdr:col>
      <xdr:colOff>207002</xdr:colOff>
      <xdr:row>11</xdr:row>
      <xdr:rowOff>111751</xdr:rowOff>
    </xdr:to>
    <xdr:sp macro="" textlink="">
      <xdr:nvSpPr>
        <xdr:cNvPr id="244939" name="フリーフォーム: 図形 244938">
          <a:extLst>
            <a:ext uri="{FF2B5EF4-FFF2-40B4-BE49-F238E27FC236}">
              <a16:creationId xmlns:a16="http://schemas.microsoft.com/office/drawing/2014/main" id="{7B01B3BF-B604-4F7C-AAF4-8E3D57C0BEE7}"/>
            </a:ext>
          </a:extLst>
        </xdr:cNvPr>
        <xdr:cNvSpPr>
          <a:spLocks noChangeAspect="1"/>
        </xdr:cNvSpPr>
      </xdr:nvSpPr>
      <xdr:spPr>
        <a:xfrm>
          <a:off x="374760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6</xdr:row>
      <xdr:rowOff>51000</xdr:rowOff>
    </xdr:from>
    <xdr:to>
      <xdr:col>54</xdr:col>
      <xdr:colOff>406801</xdr:colOff>
      <xdr:row>11</xdr:row>
      <xdr:rowOff>3751</xdr:rowOff>
    </xdr:to>
    <xdr:sp macro="" textlink="">
      <xdr:nvSpPr>
        <xdr:cNvPr id="244940" name="フリーフォーム: 図形 244939">
          <a:extLst>
            <a:ext uri="{FF2B5EF4-FFF2-40B4-BE49-F238E27FC236}">
              <a16:creationId xmlns:a16="http://schemas.microsoft.com/office/drawing/2014/main" id="{638497B6-6E13-4CEB-BEF2-050D76822F32}"/>
            </a:ext>
          </a:extLst>
        </xdr:cNvPr>
        <xdr:cNvSpPr>
          <a:spLocks noChangeAspect="1"/>
        </xdr:cNvSpPr>
      </xdr:nvSpPr>
      <xdr:spPr>
        <a:xfrm>
          <a:off x="371700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5</xdr:row>
      <xdr:rowOff>114450</xdr:rowOff>
    </xdr:from>
    <xdr:to>
      <xdr:col>54</xdr:col>
      <xdr:colOff>658801</xdr:colOff>
      <xdr:row>10</xdr:row>
      <xdr:rowOff>157201</xdr:rowOff>
    </xdr:to>
    <xdr:sp macro="" textlink="">
      <xdr:nvSpPr>
        <xdr:cNvPr id="244941" name="フリーフォーム: 図形 244940">
          <a:extLst>
            <a:ext uri="{FF2B5EF4-FFF2-40B4-BE49-F238E27FC236}">
              <a16:creationId xmlns:a16="http://schemas.microsoft.com/office/drawing/2014/main" id="{C6DB3D2A-CC13-4AB8-8ADB-F115CAE2A4B8}"/>
            </a:ext>
          </a:extLst>
        </xdr:cNvPr>
        <xdr:cNvSpPr>
          <a:spLocks noChangeAspect="1"/>
        </xdr:cNvSpPr>
      </xdr:nvSpPr>
      <xdr:spPr>
        <a:xfrm>
          <a:off x="374400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6</xdr:row>
      <xdr:rowOff>69000</xdr:rowOff>
    </xdr:from>
    <xdr:to>
      <xdr:col>55</xdr:col>
      <xdr:colOff>297000</xdr:colOff>
      <xdr:row>11</xdr:row>
      <xdr:rowOff>3751</xdr:rowOff>
    </xdr:to>
    <xdr:sp macro="" textlink="">
      <xdr:nvSpPr>
        <xdr:cNvPr id="244942" name="フリーフォーム: 図形 244941">
          <a:extLst>
            <a:ext uri="{FF2B5EF4-FFF2-40B4-BE49-F238E27FC236}">
              <a16:creationId xmlns:a16="http://schemas.microsoft.com/office/drawing/2014/main" id="{19C721E3-EB63-4AEF-BF6C-C66B9CA2FCC8}"/>
            </a:ext>
          </a:extLst>
        </xdr:cNvPr>
        <xdr:cNvSpPr>
          <a:spLocks noChangeAspect="1"/>
        </xdr:cNvSpPr>
      </xdr:nvSpPr>
      <xdr:spPr>
        <a:xfrm>
          <a:off x="374940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11</xdr:row>
      <xdr:rowOff>75750</xdr:rowOff>
    </xdr:from>
    <xdr:to>
      <xdr:col>55</xdr:col>
      <xdr:colOff>9002</xdr:colOff>
      <xdr:row>15</xdr:row>
      <xdr:rowOff>163951</xdr:rowOff>
    </xdr:to>
    <xdr:sp macro="" textlink="">
      <xdr:nvSpPr>
        <xdr:cNvPr id="244943" name="フリーフォーム: 図形 244942">
          <a:extLst>
            <a:ext uri="{FF2B5EF4-FFF2-40B4-BE49-F238E27FC236}">
              <a16:creationId xmlns:a16="http://schemas.microsoft.com/office/drawing/2014/main" id="{83E21C72-AA55-4D7B-A5AB-AC0AFBA7E8C8}"/>
            </a:ext>
          </a:extLst>
        </xdr:cNvPr>
        <xdr:cNvSpPr>
          <a:spLocks noChangeAspect="1"/>
        </xdr:cNvSpPr>
      </xdr:nvSpPr>
      <xdr:spPr>
        <a:xfrm>
          <a:off x="374579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11</xdr:row>
      <xdr:rowOff>93750</xdr:rowOff>
    </xdr:from>
    <xdr:to>
      <xdr:col>54</xdr:col>
      <xdr:colOff>424800</xdr:colOff>
      <xdr:row>16</xdr:row>
      <xdr:rowOff>118501</xdr:rowOff>
    </xdr:to>
    <xdr:sp macro="" textlink="">
      <xdr:nvSpPr>
        <xdr:cNvPr id="244944" name="フリーフォーム: 図形 244943">
          <a:extLst>
            <a:ext uri="{FF2B5EF4-FFF2-40B4-BE49-F238E27FC236}">
              <a16:creationId xmlns:a16="http://schemas.microsoft.com/office/drawing/2014/main" id="{E020A148-65F6-42CD-87B4-B1BB4D524B54}"/>
            </a:ext>
          </a:extLst>
        </xdr:cNvPr>
        <xdr:cNvSpPr>
          <a:spLocks noChangeAspect="1"/>
        </xdr:cNvSpPr>
      </xdr:nvSpPr>
      <xdr:spPr>
        <a:xfrm>
          <a:off x="372240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11</xdr:row>
      <xdr:rowOff>75750</xdr:rowOff>
    </xdr:from>
    <xdr:to>
      <xdr:col>54</xdr:col>
      <xdr:colOff>388802</xdr:colOff>
      <xdr:row>16</xdr:row>
      <xdr:rowOff>10501</xdr:rowOff>
    </xdr:to>
    <xdr:sp macro="" textlink="">
      <xdr:nvSpPr>
        <xdr:cNvPr id="244945" name="フリーフォーム: 図形 244944">
          <a:extLst>
            <a:ext uri="{FF2B5EF4-FFF2-40B4-BE49-F238E27FC236}">
              <a16:creationId xmlns:a16="http://schemas.microsoft.com/office/drawing/2014/main" id="{8C191CC1-D32C-45B3-A34A-BA74F33F7C3C}"/>
            </a:ext>
          </a:extLst>
        </xdr:cNvPr>
        <xdr:cNvSpPr>
          <a:spLocks noChangeAspect="1"/>
        </xdr:cNvSpPr>
      </xdr:nvSpPr>
      <xdr:spPr>
        <a:xfrm>
          <a:off x="368999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5</xdr:row>
      <xdr:rowOff>42450</xdr:rowOff>
    </xdr:from>
    <xdr:to>
      <xdr:col>57</xdr:col>
      <xdr:colOff>322201</xdr:colOff>
      <xdr:row>6</xdr:row>
      <xdr:rowOff>15001</xdr:rowOff>
    </xdr:to>
    <xdr:sp macro="" textlink="">
      <xdr:nvSpPr>
        <xdr:cNvPr id="244946" name="フリーフォーム: 図形 244945">
          <a:extLst>
            <a:ext uri="{FF2B5EF4-FFF2-40B4-BE49-F238E27FC236}">
              <a16:creationId xmlns:a16="http://schemas.microsoft.com/office/drawing/2014/main" id="{41C9471A-CD17-43C9-88F0-E41AC3E94CE5}"/>
            </a:ext>
          </a:extLst>
        </xdr:cNvPr>
        <xdr:cNvSpPr>
          <a:spLocks noChangeAspect="1"/>
        </xdr:cNvSpPr>
      </xdr:nvSpPr>
      <xdr:spPr>
        <a:xfrm>
          <a:off x="389448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5</xdr:row>
      <xdr:rowOff>42450</xdr:rowOff>
    </xdr:from>
    <xdr:to>
      <xdr:col>58</xdr:col>
      <xdr:colOff>176400</xdr:colOff>
      <xdr:row>6</xdr:row>
      <xdr:rowOff>15001</xdr:rowOff>
    </xdr:to>
    <xdr:sp macro="" textlink="">
      <xdr:nvSpPr>
        <xdr:cNvPr id="244947" name="フリーフォーム: 図形 244946">
          <a:extLst>
            <a:ext uri="{FF2B5EF4-FFF2-40B4-BE49-F238E27FC236}">
              <a16:creationId xmlns:a16="http://schemas.microsoft.com/office/drawing/2014/main" id="{3B9BFCE8-EB3A-49C5-B131-3367DA5885B4}"/>
            </a:ext>
          </a:extLst>
        </xdr:cNvPr>
        <xdr:cNvSpPr>
          <a:spLocks noChangeAspect="1"/>
        </xdr:cNvSpPr>
      </xdr:nvSpPr>
      <xdr:spPr>
        <a:xfrm>
          <a:off x="394847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5</xdr:row>
      <xdr:rowOff>114450</xdr:rowOff>
    </xdr:from>
    <xdr:to>
      <xdr:col>58</xdr:col>
      <xdr:colOff>248401</xdr:colOff>
      <xdr:row>11</xdr:row>
      <xdr:rowOff>21751</xdr:rowOff>
    </xdr:to>
    <xdr:sp macro="" textlink="">
      <xdr:nvSpPr>
        <xdr:cNvPr id="244948" name="フリーフォーム: 図形 244947">
          <a:extLst>
            <a:ext uri="{FF2B5EF4-FFF2-40B4-BE49-F238E27FC236}">
              <a16:creationId xmlns:a16="http://schemas.microsoft.com/office/drawing/2014/main" id="{74DD760D-2C3E-4EE6-9999-546D30C8BAAB}"/>
            </a:ext>
          </a:extLst>
        </xdr:cNvPr>
        <xdr:cNvSpPr>
          <a:spLocks noChangeAspect="1"/>
        </xdr:cNvSpPr>
      </xdr:nvSpPr>
      <xdr:spPr>
        <a:xfrm>
          <a:off x="397367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11</xdr:row>
      <xdr:rowOff>75750</xdr:rowOff>
    </xdr:from>
    <xdr:to>
      <xdr:col>58</xdr:col>
      <xdr:colOff>68400</xdr:colOff>
      <xdr:row>16</xdr:row>
      <xdr:rowOff>136501</xdr:rowOff>
    </xdr:to>
    <xdr:sp macro="" textlink="">
      <xdr:nvSpPr>
        <xdr:cNvPr id="244949" name="フリーフォーム: 図形 244948">
          <a:extLst>
            <a:ext uri="{FF2B5EF4-FFF2-40B4-BE49-F238E27FC236}">
              <a16:creationId xmlns:a16="http://schemas.microsoft.com/office/drawing/2014/main" id="{A1253915-D895-4D92-A0CD-689783E9A725}"/>
            </a:ext>
          </a:extLst>
        </xdr:cNvPr>
        <xdr:cNvSpPr>
          <a:spLocks noChangeAspect="1"/>
        </xdr:cNvSpPr>
      </xdr:nvSpPr>
      <xdr:spPr>
        <a:xfrm>
          <a:off x="395568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16</xdr:row>
      <xdr:rowOff>64500</xdr:rowOff>
    </xdr:from>
    <xdr:to>
      <xdr:col>56</xdr:col>
      <xdr:colOff>684000</xdr:colOff>
      <xdr:row>17</xdr:row>
      <xdr:rowOff>37051</xdr:rowOff>
    </xdr:to>
    <xdr:sp macro="" textlink="">
      <xdr:nvSpPr>
        <xdr:cNvPr id="244950" name="フリーフォーム: 図形 244949">
          <a:extLst>
            <a:ext uri="{FF2B5EF4-FFF2-40B4-BE49-F238E27FC236}">
              <a16:creationId xmlns:a16="http://schemas.microsoft.com/office/drawing/2014/main" id="{B45EB6DE-9751-4A57-AB98-19F643F1E4DB}"/>
            </a:ext>
          </a:extLst>
        </xdr:cNvPr>
        <xdr:cNvSpPr>
          <a:spLocks noChangeAspect="1"/>
        </xdr:cNvSpPr>
      </xdr:nvSpPr>
      <xdr:spPr>
        <a:xfrm>
          <a:off x="386028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16</xdr:row>
      <xdr:rowOff>64500</xdr:rowOff>
    </xdr:from>
    <xdr:to>
      <xdr:col>57</xdr:col>
      <xdr:colOff>502200</xdr:colOff>
      <xdr:row>17</xdr:row>
      <xdr:rowOff>37051</xdr:rowOff>
    </xdr:to>
    <xdr:sp macro="" textlink="">
      <xdr:nvSpPr>
        <xdr:cNvPr id="244951" name="フリーフォーム: 図形 244950">
          <a:extLst>
            <a:ext uri="{FF2B5EF4-FFF2-40B4-BE49-F238E27FC236}">
              <a16:creationId xmlns:a16="http://schemas.microsoft.com/office/drawing/2014/main" id="{099E1AF1-2BAC-4B29-B17A-0A9A8C2ED399}"/>
            </a:ext>
          </a:extLst>
        </xdr:cNvPr>
        <xdr:cNvSpPr>
          <a:spLocks noChangeAspect="1"/>
        </xdr:cNvSpPr>
      </xdr:nvSpPr>
      <xdr:spPr>
        <a:xfrm>
          <a:off x="391247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11</xdr:row>
      <xdr:rowOff>75750</xdr:rowOff>
    </xdr:from>
    <xdr:to>
      <xdr:col>56</xdr:col>
      <xdr:colOff>432003</xdr:colOff>
      <xdr:row>16</xdr:row>
      <xdr:rowOff>136501</xdr:rowOff>
    </xdr:to>
    <xdr:sp macro="" textlink="">
      <xdr:nvSpPr>
        <xdr:cNvPr id="244952" name="フリーフォーム: 図形 244951">
          <a:extLst>
            <a:ext uri="{FF2B5EF4-FFF2-40B4-BE49-F238E27FC236}">
              <a16:creationId xmlns:a16="http://schemas.microsoft.com/office/drawing/2014/main" id="{15CD3363-7C8D-4B49-AE14-1FB81596B891}"/>
            </a:ext>
          </a:extLst>
        </xdr:cNvPr>
        <xdr:cNvSpPr>
          <a:spLocks noChangeAspect="1"/>
        </xdr:cNvSpPr>
      </xdr:nvSpPr>
      <xdr:spPr>
        <a:xfrm>
          <a:off x="385488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5</xdr:row>
      <xdr:rowOff>114450</xdr:rowOff>
    </xdr:from>
    <xdr:to>
      <xdr:col>56</xdr:col>
      <xdr:colOff>576000</xdr:colOff>
      <xdr:row>11</xdr:row>
      <xdr:rowOff>21751</xdr:rowOff>
    </xdr:to>
    <xdr:sp macro="" textlink="">
      <xdr:nvSpPr>
        <xdr:cNvPr id="244953" name="フリーフォーム: 図形 244952">
          <a:extLst>
            <a:ext uri="{FF2B5EF4-FFF2-40B4-BE49-F238E27FC236}">
              <a16:creationId xmlns:a16="http://schemas.microsoft.com/office/drawing/2014/main" id="{FCC9767A-DA64-4BD2-8676-7F317775D7B4}"/>
            </a:ext>
          </a:extLst>
        </xdr:cNvPr>
        <xdr:cNvSpPr>
          <a:spLocks noChangeAspect="1"/>
        </xdr:cNvSpPr>
      </xdr:nvSpPr>
      <xdr:spPr>
        <a:xfrm>
          <a:off x="387287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10</xdr:row>
      <xdr:rowOff>139200</xdr:rowOff>
    </xdr:from>
    <xdr:to>
      <xdr:col>57</xdr:col>
      <xdr:colOff>160202</xdr:colOff>
      <xdr:row>11</xdr:row>
      <xdr:rowOff>111751</xdr:rowOff>
    </xdr:to>
    <xdr:sp macro="" textlink="">
      <xdr:nvSpPr>
        <xdr:cNvPr id="244954" name="フリーフォーム: 図形 244953">
          <a:extLst>
            <a:ext uri="{FF2B5EF4-FFF2-40B4-BE49-F238E27FC236}">
              <a16:creationId xmlns:a16="http://schemas.microsoft.com/office/drawing/2014/main" id="{656931CC-6F51-4440-8266-BE47B4166F09}"/>
            </a:ext>
          </a:extLst>
        </xdr:cNvPr>
        <xdr:cNvSpPr>
          <a:spLocks noChangeAspect="1"/>
        </xdr:cNvSpPr>
      </xdr:nvSpPr>
      <xdr:spPr>
        <a:xfrm>
          <a:off x="388008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10</xdr:row>
      <xdr:rowOff>139200</xdr:rowOff>
    </xdr:from>
    <xdr:to>
      <xdr:col>57</xdr:col>
      <xdr:colOff>664202</xdr:colOff>
      <xdr:row>11</xdr:row>
      <xdr:rowOff>111751</xdr:rowOff>
    </xdr:to>
    <xdr:sp macro="" textlink="">
      <xdr:nvSpPr>
        <xdr:cNvPr id="244955" name="フリーフォーム: 図形 244954">
          <a:extLst>
            <a:ext uri="{FF2B5EF4-FFF2-40B4-BE49-F238E27FC236}">
              <a16:creationId xmlns:a16="http://schemas.microsoft.com/office/drawing/2014/main" id="{4160C120-9548-4F48-BC06-EB3A6D849402}"/>
            </a:ext>
          </a:extLst>
        </xdr:cNvPr>
        <xdr:cNvSpPr>
          <a:spLocks noChangeAspect="1"/>
        </xdr:cNvSpPr>
      </xdr:nvSpPr>
      <xdr:spPr>
        <a:xfrm>
          <a:off x="393048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6</xdr:row>
      <xdr:rowOff>51000</xdr:rowOff>
    </xdr:from>
    <xdr:to>
      <xdr:col>57</xdr:col>
      <xdr:colOff>178201</xdr:colOff>
      <xdr:row>11</xdr:row>
      <xdr:rowOff>3751</xdr:rowOff>
    </xdr:to>
    <xdr:sp macro="" textlink="">
      <xdr:nvSpPr>
        <xdr:cNvPr id="244956" name="フリーフォーム: 図形 244955">
          <a:extLst>
            <a:ext uri="{FF2B5EF4-FFF2-40B4-BE49-F238E27FC236}">
              <a16:creationId xmlns:a16="http://schemas.microsoft.com/office/drawing/2014/main" id="{6523F328-2859-4175-B195-AFEEB15CBBCC}"/>
            </a:ext>
          </a:extLst>
        </xdr:cNvPr>
        <xdr:cNvSpPr>
          <a:spLocks noChangeAspect="1"/>
        </xdr:cNvSpPr>
      </xdr:nvSpPr>
      <xdr:spPr>
        <a:xfrm>
          <a:off x="389988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5</xdr:row>
      <xdr:rowOff>114450</xdr:rowOff>
    </xdr:from>
    <xdr:to>
      <xdr:col>57</xdr:col>
      <xdr:colOff>430201</xdr:colOff>
      <xdr:row>10</xdr:row>
      <xdr:rowOff>157201</xdr:rowOff>
    </xdr:to>
    <xdr:sp macro="" textlink="">
      <xdr:nvSpPr>
        <xdr:cNvPr id="244957" name="フリーフォーム: 図形 244956">
          <a:extLst>
            <a:ext uri="{FF2B5EF4-FFF2-40B4-BE49-F238E27FC236}">
              <a16:creationId xmlns:a16="http://schemas.microsoft.com/office/drawing/2014/main" id="{A565782D-A428-481D-9C9A-8DD6027A5A89}"/>
            </a:ext>
          </a:extLst>
        </xdr:cNvPr>
        <xdr:cNvSpPr>
          <a:spLocks noChangeAspect="1"/>
        </xdr:cNvSpPr>
      </xdr:nvSpPr>
      <xdr:spPr>
        <a:xfrm>
          <a:off x="392688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6</xdr:row>
      <xdr:rowOff>69000</xdr:rowOff>
    </xdr:from>
    <xdr:to>
      <xdr:col>58</xdr:col>
      <xdr:colOff>68400</xdr:colOff>
      <xdr:row>11</xdr:row>
      <xdr:rowOff>3751</xdr:rowOff>
    </xdr:to>
    <xdr:sp macro="" textlink="">
      <xdr:nvSpPr>
        <xdr:cNvPr id="244958" name="フリーフォーム: 図形 244957">
          <a:extLst>
            <a:ext uri="{FF2B5EF4-FFF2-40B4-BE49-F238E27FC236}">
              <a16:creationId xmlns:a16="http://schemas.microsoft.com/office/drawing/2014/main" id="{1D54A73A-2B95-4A98-8056-B0C2CCF7699A}"/>
            </a:ext>
          </a:extLst>
        </xdr:cNvPr>
        <xdr:cNvSpPr>
          <a:spLocks noChangeAspect="1"/>
        </xdr:cNvSpPr>
      </xdr:nvSpPr>
      <xdr:spPr>
        <a:xfrm>
          <a:off x="393228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11</xdr:row>
      <xdr:rowOff>75750</xdr:rowOff>
    </xdr:from>
    <xdr:to>
      <xdr:col>57</xdr:col>
      <xdr:colOff>466202</xdr:colOff>
      <xdr:row>15</xdr:row>
      <xdr:rowOff>163951</xdr:rowOff>
    </xdr:to>
    <xdr:sp macro="" textlink="">
      <xdr:nvSpPr>
        <xdr:cNvPr id="244959" name="フリーフォーム: 図形 244958">
          <a:extLst>
            <a:ext uri="{FF2B5EF4-FFF2-40B4-BE49-F238E27FC236}">
              <a16:creationId xmlns:a16="http://schemas.microsoft.com/office/drawing/2014/main" id="{C798DE28-13FE-45F1-AA27-5E4E057A2907}"/>
            </a:ext>
          </a:extLst>
        </xdr:cNvPr>
        <xdr:cNvSpPr>
          <a:spLocks noChangeAspect="1"/>
        </xdr:cNvSpPr>
      </xdr:nvSpPr>
      <xdr:spPr>
        <a:xfrm>
          <a:off x="392867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11</xdr:row>
      <xdr:rowOff>93750</xdr:rowOff>
    </xdr:from>
    <xdr:to>
      <xdr:col>57</xdr:col>
      <xdr:colOff>196200</xdr:colOff>
      <xdr:row>16</xdr:row>
      <xdr:rowOff>118501</xdr:rowOff>
    </xdr:to>
    <xdr:sp macro="" textlink="">
      <xdr:nvSpPr>
        <xdr:cNvPr id="244960" name="フリーフォーム: 図形 244959">
          <a:extLst>
            <a:ext uri="{FF2B5EF4-FFF2-40B4-BE49-F238E27FC236}">
              <a16:creationId xmlns:a16="http://schemas.microsoft.com/office/drawing/2014/main" id="{9B6B7141-3C4D-45F1-B189-3DFDCF2B66E9}"/>
            </a:ext>
          </a:extLst>
        </xdr:cNvPr>
        <xdr:cNvSpPr>
          <a:spLocks noChangeAspect="1"/>
        </xdr:cNvSpPr>
      </xdr:nvSpPr>
      <xdr:spPr>
        <a:xfrm>
          <a:off x="390528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11</xdr:row>
      <xdr:rowOff>75750</xdr:rowOff>
    </xdr:from>
    <xdr:to>
      <xdr:col>57</xdr:col>
      <xdr:colOff>160202</xdr:colOff>
      <xdr:row>16</xdr:row>
      <xdr:rowOff>10501</xdr:rowOff>
    </xdr:to>
    <xdr:sp macro="" textlink="">
      <xdr:nvSpPr>
        <xdr:cNvPr id="244961" name="フリーフォーム: 図形 244960">
          <a:extLst>
            <a:ext uri="{FF2B5EF4-FFF2-40B4-BE49-F238E27FC236}">
              <a16:creationId xmlns:a16="http://schemas.microsoft.com/office/drawing/2014/main" id="{49AF24CA-7148-4A69-960A-0307DF298F5C}"/>
            </a:ext>
          </a:extLst>
        </xdr:cNvPr>
        <xdr:cNvSpPr>
          <a:spLocks noChangeAspect="1"/>
        </xdr:cNvSpPr>
      </xdr:nvSpPr>
      <xdr:spPr>
        <a:xfrm>
          <a:off x="387287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5</xdr:row>
      <xdr:rowOff>42450</xdr:rowOff>
    </xdr:from>
    <xdr:to>
      <xdr:col>60</xdr:col>
      <xdr:colOff>93601</xdr:colOff>
      <xdr:row>6</xdr:row>
      <xdr:rowOff>15001</xdr:rowOff>
    </xdr:to>
    <xdr:sp macro="" textlink="">
      <xdr:nvSpPr>
        <xdr:cNvPr id="244962" name="フリーフォーム: 図形 244961">
          <a:extLst>
            <a:ext uri="{FF2B5EF4-FFF2-40B4-BE49-F238E27FC236}">
              <a16:creationId xmlns:a16="http://schemas.microsoft.com/office/drawing/2014/main" id="{7140E0A5-FE26-4906-B829-6EB688E5C93E}"/>
            </a:ext>
          </a:extLst>
        </xdr:cNvPr>
        <xdr:cNvSpPr>
          <a:spLocks noChangeAspect="1"/>
        </xdr:cNvSpPr>
      </xdr:nvSpPr>
      <xdr:spPr>
        <a:xfrm>
          <a:off x="407736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5</xdr:row>
      <xdr:rowOff>42450</xdr:rowOff>
    </xdr:from>
    <xdr:to>
      <xdr:col>60</xdr:col>
      <xdr:colOff>633600</xdr:colOff>
      <xdr:row>6</xdr:row>
      <xdr:rowOff>15001</xdr:rowOff>
    </xdr:to>
    <xdr:sp macro="" textlink="">
      <xdr:nvSpPr>
        <xdr:cNvPr id="244963" name="フリーフォーム: 図形 244962">
          <a:extLst>
            <a:ext uri="{FF2B5EF4-FFF2-40B4-BE49-F238E27FC236}">
              <a16:creationId xmlns:a16="http://schemas.microsoft.com/office/drawing/2014/main" id="{AA13CA0D-F582-4B05-BDED-B84E46B20193}"/>
            </a:ext>
          </a:extLst>
        </xdr:cNvPr>
        <xdr:cNvSpPr>
          <a:spLocks noChangeAspect="1"/>
        </xdr:cNvSpPr>
      </xdr:nvSpPr>
      <xdr:spPr>
        <a:xfrm>
          <a:off x="413135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5</xdr:row>
      <xdr:rowOff>114450</xdr:rowOff>
    </xdr:from>
    <xdr:to>
      <xdr:col>61</xdr:col>
      <xdr:colOff>19801</xdr:colOff>
      <xdr:row>11</xdr:row>
      <xdr:rowOff>21751</xdr:rowOff>
    </xdr:to>
    <xdr:sp macro="" textlink="">
      <xdr:nvSpPr>
        <xdr:cNvPr id="244964" name="フリーフォーム: 図形 244963">
          <a:extLst>
            <a:ext uri="{FF2B5EF4-FFF2-40B4-BE49-F238E27FC236}">
              <a16:creationId xmlns:a16="http://schemas.microsoft.com/office/drawing/2014/main" id="{8EF59F86-606B-49A5-B7C3-AD112F7A7C64}"/>
            </a:ext>
          </a:extLst>
        </xdr:cNvPr>
        <xdr:cNvSpPr>
          <a:spLocks noChangeAspect="1"/>
        </xdr:cNvSpPr>
      </xdr:nvSpPr>
      <xdr:spPr>
        <a:xfrm>
          <a:off x="415655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11</xdr:row>
      <xdr:rowOff>75750</xdr:rowOff>
    </xdr:from>
    <xdr:to>
      <xdr:col>60</xdr:col>
      <xdr:colOff>525600</xdr:colOff>
      <xdr:row>16</xdr:row>
      <xdr:rowOff>136501</xdr:rowOff>
    </xdr:to>
    <xdr:sp macro="" textlink="">
      <xdr:nvSpPr>
        <xdr:cNvPr id="244965" name="フリーフォーム: 図形 244964">
          <a:extLst>
            <a:ext uri="{FF2B5EF4-FFF2-40B4-BE49-F238E27FC236}">
              <a16:creationId xmlns:a16="http://schemas.microsoft.com/office/drawing/2014/main" id="{34456C2A-0A7D-4E70-8B45-5AB02DEF37EF}"/>
            </a:ext>
          </a:extLst>
        </xdr:cNvPr>
        <xdr:cNvSpPr>
          <a:spLocks noChangeAspect="1"/>
        </xdr:cNvSpPr>
      </xdr:nvSpPr>
      <xdr:spPr>
        <a:xfrm>
          <a:off x="413856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16</xdr:row>
      <xdr:rowOff>64500</xdr:rowOff>
    </xdr:from>
    <xdr:to>
      <xdr:col>59</xdr:col>
      <xdr:colOff>455400</xdr:colOff>
      <xdr:row>17</xdr:row>
      <xdr:rowOff>37051</xdr:rowOff>
    </xdr:to>
    <xdr:sp macro="" textlink="">
      <xdr:nvSpPr>
        <xdr:cNvPr id="244966" name="フリーフォーム: 図形 244965">
          <a:extLst>
            <a:ext uri="{FF2B5EF4-FFF2-40B4-BE49-F238E27FC236}">
              <a16:creationId xmlns:a16="http://schemas.microsoft.com/office/drawing/2014/main" id="{84529A89-158E-4437-9421-05BF0323B109}"/>
            </a:ext>
          </a:extLst>
        </xdr:cNvPr>
        <xdr:cNvSpPr>
          <a:spLocks noChangeAspect="1"/>
        </xdr:cNvSpPr>
      </xdr:nvSpPr>
      <xdr:spPr>
        <a:xfrm>
          <a:off x="404316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16</xdr:row>
      <xdr:rowOff>64500</xdr:rowOff>
    </xdr:from>
    <xdr:to>
      <xdr:col>60</xdr:col>
      <xdr:colOff>273600</xdr:colOff>
      <xdr:row>17</xdr:row>
      <xdr:rowOff>37051</xdr:rowOff>
    </xdr:to>
    <xdr:sp macro="" textlink="">
      <xdr:nvSpPr>
        <xdr:cNvPr id="244967" name="フリーフォーム: 図形 244966">
          <a:extLst>
            <a:ext uri="{FF2B5EF4-FFF2-40B4-BE49-F238E27FC236}">
              <a16:creationId xmlns:a16="http://schemas.microsoft.com/office/drawing/2014/main" id="{741FD10F-7222-45D8-9882-3E72376741A7}"/>
            </a:ext>
          </a:extLst>
        </xdr:cNvPr>
        <xdr:cNvSpPr>
          <a:spLocks noChangeAspect="1"/>
        </xdr:cNvSpPr>
      </xdr:nvSpPr>
      <xdr:spPr>
        <a:xfrm>
          <a:off x="409535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11</xdr:row>
      <xdr:rowOff>75750</xdr:rowOff>
    </xdr:from>
    <xdr:to>
      <xdr:col>59</xdr:col>
      <xdr:colOff>203403</xdr:colOff>
      <xdr:row>16</xdr:row>
      <xdr:rowOff>136501</xdr:rowOff>
    </xdr:to>
    <xdr:sp macro="" textlink="">
      <xdr:nvSpPr>
        <xdr:cNvPr id="244968" name="フリーフォーム: 図形 244967">
          <a:extLst>
            <a:ext uri="{FF2B5EF4-FFF2-40B4-BE49-F238E27FC236}">
              <a16:creationId xmlns:a16="http://schemas.microsoft.com/office/drawing/2014/main" id="{0AFFF850-9C69-4F99-980D-AB415BB7F719}"/>
            </a:ext>
          </a:extLst>
        </xdr:cNvPr>
        <xdr:cNvSpPr>
          <a:spLocks noChangeAspect="1"/>
        </xdr:cNvSpPr>
      </xdr:nvSpPr>
      <xdr:spPr>
        <a:xfrm>
          <a:off x="403776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5</xdr:row>
      <xdr:rowOff>114450</xdr:rowOff>
    </xdr:from>
    <xdr:to>
      <xdr:col>59</xdr:col>
      <xdr:colOff>347400</xdr:colOff>
      <xdr:row>11</xdr:row>
      <xdr:rowOff>21751</xdr:rowOff>
    </xdr:to>
    <xdr:sp macro="" textlink="">
      <xdr:nvSpPr>
        <xdr:cNvPr id="244969" name="フリーフォーム: 図形 244968">
          <a:extLst>
            <a:ext uri="{FF2B5EF4-FFF2-40B4-BE49-F238E27FC236}">
              <a16:creationId xmlns:a16="http://schemas.microsoft.com/office/drawing/2014/main" id="{3F814965-801E-478A-940F-59E469610DBF}"/>
            </a:ext>
          </a:extLst>
        </xdr:cNvPr>
        <xdr:cNvSpPr>
          <a:spLocks noChangeAspect="1"/>
        </xdr:cNvSpPr>
      </xdr:nvSpPr>
      <xdr:spPr>
        <a:xfrm>
          <a:off x="405575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10</xdr:row>
      <xdr:rowOff>139200</xdr:rowOff>
    </xdr:from>
    <xdr:to>
      <xdr:col>59</xdr:col>
      <xdr:colOff>617402</xdr:colOff>
      <xdr:row>11</xdr:row>
      <xdr:rowOff>111751</xdr:rowOff>
    </xdr:to>
    <xdr:sp macro="" textlink="">
      <xdr:nvSpPr>
        <xdr:cNvPr id="244970" name="フリーフォーム: 図形 244969">
          <a:extLst>
            <a:ext uri="{FF2B5EF4-FFF2-40B4-BE49-F238E27FC236}">
              <a16:creationId xmlns:a16="http://schemas.microsoft.com/office/drawing/2014/main" id="{0E58CD5A-5174-47CB-A8B3-2B2EB6EB3C91}"/>
            </a:ext>
          </a:extLst>
        </xdr:cNvPr>
        <xdr:cNvSpPr>
          <a:spLocks noChangeAspect="1"/>
        </xdr:cNvSpPr>
      </xdr:nvSpPr>
      <xdr:spPr>
        <a:xfrm>
          <a:off x="406296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10</xdr:row>
      <xdr:rowOff>139200</xdr:rowOff>
    </xdr:from>
    <xdr:to>
      <xdr:col>60</xdr:col>
      <xdr:colOff>435602</xdr:colOff>
      <xdr:row>11</xdr:row>
      <xdr:rowOff>111751</xdr:rowOff>
    </xdr:to>
    <xdr:sp macro="" textlink="">
      <xdr:nvSpPr>
        <xdr:cNvPr id="244971" name="フリーフォーム: 図形 244970">
          <a:extLst>
            <a:ext uri="{FF2B5EF4-FFF2-40B4-BE49-F238E27FC236}">
              <a16:creationId xmlns:a16="http://schemas.microsoft.com/office/drawing/2014/main" id="{DE4BA729-D846-4BCA-8B77-5311C72ED465}"/>
            </a:ext>
          </a:extLst>
        </xdr:cNvPr>
        <xdr:cNvSpPr>
          <a:spLocks noChangeAspect="1"/>
        </xdr:cNvSpPr>
      </xdr:nvSpPr>
      <xdr:spPr>
        <a:xfrm>
          <a:off x="411336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6</xdr:row>
      <xdr:rowOff>51000</xdr:rowOff>
    </xdr:from>
    <xdr:to>
      <xdr:col>59</xdr:col>
      <xdr:colOff>635401</xdr:colOff>
      <xdr:row>11</xdr:row>
      <xdr:rowOff>3751</xdr:rowOff>
    </xdr:to>
    <xdr:sp macro="" textlink="">
      <xdr:nvSpPr>
        <xdr:cNvPr id="244972" name="フリーフォーム: 図形 244971">
          <a:extLst>
            <a:ext uri="{FF2B5EF4-FFF2-40B4-BE49-F238E27FC236}">
              <a16:creationId xmlns:a16="http://schemas.microsoft.com/office/drawing/2014/main" id="{01758C5E-B96D-4BD1-AB37-263929B1D202}"/>
            </a:ext>
          </a:extLst>
        </xdr:cNvPr>
        <xdr:cNvSpPr>
          <a:spLocks noChangeAspect="1"/>
        </xdr:cNvSpPr>
      </xdr:nvSpPr>
      <xdr:spPr>
        <a:xfrm>
          <a:off x="408276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5</xdr:row>
      <xdr:rowOff>114450</xdr:rowOff>
    </xdr:from>
    <xdr:to>
      <xdr:col>60</xdr:col>
      <xdr:colOff>201601</xdr:colOff>
      <xdr:row>10</xdr:row>
      <xdr:rowOff>157201</xdr:rowOff>
    </xdr:to>
    <xdr:sp macro="" textlink="">
      <xdr:nvSpPr>
        <xdr:cNvPr id="244973" name="フリーフォーム: 図形 244972">
          <a:extLst>
            <a:ext uri="{FF2B5EF4-FFF2-40B4-BE49-F238E27FC236}">
              <a16:creationId xmlns:a16="http://schemas.microsoft.com/office/drawing/2014/main" id="{0820F179-72E5-459A-B8EB-961AE14607B2}"/>
            </a:ext>
          </a:extLst>
        </xdr:cNvPr>
        <xdr:cNvSpPr>
          <a:spLocks noChangeAspect="1"/>
        </xdr:cNvSpPr>
      </xdr:nvSpPr>
      <xdr:spPr>
        <a:xfrm>
          <a:off x="410976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6</xdr:row>
      <xdr:rowOff>69000</xdr:rowOff>
    </xdr:from>
    <xdr:to>
      <xdr:col>60</xdr:col>
      <xdr:colOff>525600</xdr:colOff>
      <xdr:row>11</xdr:row>
      <xdr:rowOff>3751</xdr:rowOff>
    </xdr:to>
    <xdr:sp macro="" textlink="">
      <xdr:nvSpPr>
        <xdr:cNvPr id="244974" name="フリーフォーム: 図形 244973">
          <a:extLst>
            <a:ext uri="{FF2B5EF4-FFF2-40B4-BE49-F238E27FC236}">
              <a16:creationId xmlns:a16="http://schemas.microsoft.com/office/drawing/2014/main" id="{195AC686-61D2-4056-A63A-0BBD0F9B35B8}"/>
            </a:ext>
          </a:extLst>
        </xdr:cNvPr>
        <xdr:cNvSpPr>
          <a:spLocks noChangeAspect="1"/>
        </xdr:cNvSpPr>
      </xdr:nvSpPr>
      <xdr:spPr>
        <a:xfrm>
          <a:off x="411516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11</xdr:row>
      <xdr:rowOff>75750</xdr:rowOff>
    </xdr:from>
    <xdr:to>
      <xdr:col>60</xdr:col>
      <xdr:colOff>237602</xdr:colOff>
      <xdr:row>15</xdr:row>
      <xdr:rowOff>163951</xdr:rowOff>
    </xdr:to>
    <xdr:sp macro="" textlink="">
      <xdr:nvSpPr>
        <xdr:cNvPr id="244975" name="フリーフォーム: 図形 244974">
          <a:extLst>
            <a:ext uri="{FF2B5EF4-FFF2-40B4-BE49-F238E27FC236}">
              <a16:creationId xmlns:a16="http://schemas.microsoft.com/office/drawing/2014/main" id="{26EE7FFC-858A-4733-956D-92AE6FA1B38D}"/>
            </a:ext>
          </a:extLst>
        </xdr:cNvPr>
        <xdr:cNvSpPr>
          <a:spLocks noChangeAspect="1"/>
        </xdr:cNvSpPr>
      </xdr:nvSpPr>
      <xdr:spPr>
        <a:xfrm>
          <a:off x="411155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11</xdr:row>
      <xdr:rowOff>93750</xdr:rowOff>
    </xdr:from>
    <xdr:to>
      <xdr:col>59</xdr:col>
      <xdr:colOff>653400</xdr:colOff>
      <xdr:row>16</xdr:row>
      <xdr:rowOff>118501</xdr:rowOff>
    </xdr:to>
    <xdr:sp macro="" textlink="">
      <xdr:nvSpPr>
        <xdr:cNvPr id="244976" name="フリーフォーム: 図形 244975">
          <a:extLst>
            <a:ext uri="{FF2B5EF4-FFF2-40B4-BE49-F238E27FC236}">
              <a16:creationId xmlns:a16="http://schemas.microsoft.com/office/drawing/2014/main" id="{10A52C78-43F9-4208-B079-8423D376A483}"/>
            </a:ext>
          </a:extLst>
        </xdr:cNvPr>
        <xdr:cNvSpPr>
          <a:spLocks noChangeAspect="1"/>
        </xdr:cNvSpPr>
      </xdr:nvSpPr>
      <xdr:spPr>
        <a:xfrm>
          <a:off x="408816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11</xdr:row>
      <xdr:rowOff>75750</xdr:rowOff>
    </xdr:from>
    <xdr:to>
      <xdr:col>59</xdr:col>
      <xdr:colOff>617402</xdr:colOff>
      <xdr:row>16</xdr:row>
      <xdr:rowOff>10501</xdr:rowOff>
    </xdr:to>
    <xdr:sp macro="" textlink="">
      <xdr:nvSpPr>
        <xdr:cNvPr id="244977" name="フリーフォーム: 図形 244976">
          <a:extLst>
            <a:ext uri="{FF2B5EF4-FFF2-40B4-BE49-F238E27FC236}">
              <a16:creationId xmlns:a16="http://schemas.microsoft.com/office/drawing/2014/main" id="{F22E58A9-F631-4948-87E3-4B13B5DF4D9C}"/>
            </a:ext>
          </a:extLst>
        </xdr:cNvPr>
        <xdr:cNvSpPr>
          <a:spLocks noChangeAspect="1"/>
        </xdr:cNvSpPr>
      </xdr:nvSpPr>
      <xdr:spPr>
        <a:xfrm>
          <a:off x="405575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5</xdr:row>
      <xdr:rowOff>42450</xdr:rowOff>
    </xdr:from>
    <xdr:to>
      <xdr:col>62</xdr:col>
      <xdr:colOff>550801</xdr:colOff>
      <xdr:row>6</xdr:row>
      <xdr:rowOff>15001</xdr:rowOff>
    </xdr:to>
    <xdr:sp macro="" textlink="">
      <xdr:nvSpPr>
        <xdr:cNvPr id="244978" name="フリーフォーム: 図形 244977">
          <a:extLst>
            <a:ext uri="{FF2B5EF4-FFF2-40B4-BE49-F238E27FC236}">
              <a16:creationId xmlns:a16="http://schemas.microsoft.com/office/drawing/2014/main" id="{5E062758-2D21-4A7A-8709-EF132BC81348}"/>
            </a:ext>
          </a:extLst>
        </xdr:cNvPr>
        <xdr:cNvSpPr>
          <a:spLocks noChangeAspect="1"/>
        </xdr:cNvSpPr>
      </xdr:nvSpPr>
      <xdr:spPr>
        <a:xfrm>
          <a:off x="426024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5</xdr:row>
      <xdr:rowOff>42450</xdr:rowOff>
    </xdr:from>
    <xdr:to>
      <xdr:col>63</xdr:col>
      <xdr:colOff>405000</xdr:colOff>
      <xdr:row>6</xdr:row>
      <xdr:rowOff>15001</xdr:rowOff>
    </xdr:to>
    <xdr:sp macro="" textlink="">
      <xdr:nvSpPr>
        <xdr:cNvPr id="244979" name="フリーフォーム: 図形 244978">
          <a:extLst>
            <a:ext uri="{FF2B5EF4-FFF2-40B4-BE49-F238E27FC236}">
              <a16:creationId xmlns:a16="http://schemas.microsoft.com/office/drawing/2014/main" id="{85C6C9F7-28E7-491E-9607-949418F26E7E}"/>
            </a:ext>
          </a:extLst>
        </xdr:cNvPr>
        <xdr:cNvSpPr>
          <a:spLocks noChangeAspect="1"/>
        </xdr:cNvSpPr>
      </xdr:nvSpPr>
      <xdr:spPr>
        <a:xfrm>
          <a:off x="431423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5</xdr:row>
      <xdr:rowOff>114450</xdr:rowOff>
    </xdr:from>
    <xdr:to>
      <xdr:col>63</xdr:col>
      <xdr:colOff>477001</xdr:colOff>
      <xdr:row>11</xdr:row>
      <xdr:rowOff>21751</xdr:rowOff>
    </xdr:to>
    <xdr:sp macro="" textlink="">
      <xdr:nvSpPr>
        <xdr:cNvPr id="244980" name="フリーフォーム: 図形 244979">
          <a:extLst>
            <a:ext uri="{FF2B5EF4-FFF2-40B4-BE49-F238E27FC236}">
              <a16:creationId xmlns:a16="http://schemas.microsoft.com/office/drawing/2014/main" id="{501D52E7-2B4A-424B-8AD5-EE92953AFBBB}"/>
            </a:ext>
          </a:extLst>
        </xdr:cNvPr>
        <xdr:cNvSpPr>
          <a:spLocks noChangeAspect="1"/>
        </xdr:cNvSpPr>
      </xdr:nvSpPr>
      <xdr:spPr>
        <a:xfrm>
          <a:off x="433943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11</xdr:row>
      <xdr:rowOff>75750</xdr:rowOff>
    </xdr:from>
    <xdr:to>
      <xdr:col>63</xdr:col>
      <xdr:colOff>297000</xdr:colOff>
      <xdr:row>16</xdr:row>
      <xdr:rowOff>136501</xdr:rowOff>
    </xdr:to>
    <xdr:sp macro="" textlink="">
      <xdr:nvSpPr>
        <xdr:cNvPr id="244981" name="フリーフォーム: 図形 244980">
          <a:extLst>
            <a:ext uri="{FF2B5EF4-FFF2-40B4-BE49-F238E27FC236}">
              <a16:creationId xmlns:a16="http://schemas.microsoft.com/office/drawing/2014/main" id="{2D021AE3-FF39-4DD8-BDD8-87983FD44397}"/>
            </a:ext>
          </a:extLst>
        </xdr:cNvPr>
        <xdr:cNvSpPr>
          <a:spLocks noChangeAspect="1"/>
        </xdr:cNvSpPr>
      </xdr:nvSpPr>
      <xdr:spPr>
        <a:xfrm>
          <a:off x="432144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16</xdr:row>
      <xdr:rowOff>64500</xdr:rowOff>
    </xdr:from>
    <xdr:to>
      <xdr:col>62</xdr:col>
      <xdr:colOff>226800</xdr:colOff>
      <xdr:row>17</xdr:row>
      <xdr:rowOff>37051</xdr:rowOff>
    </xdr:to>
    <xdr:sp macro="" textlink="">
      <xdr:nvSpPr>
        <xdr:cNvPr id="244982" name="フリーフォーム: 図形 244981">
          <a:extLst>
            <a:ext uri="{FF2B5EF4-FFF2-40B4-BE49-F238E27FC236}">
              <a16:creationId xmlns:a16="http://schemas.microsoft.com/office/drawing/2014/main" id="{3B5087E8-14B5-4B4E-A7BC-52B403FDECAE}"/>
            </a:ext>
          </a:extLst>
        </xdr:cNvPr>
        <xdr:cNvSpPr>
          <a:spLocks noChangeAspect="1"/>
        </xdr:cNvSpPr>
      </xdr:nvSpPr>
      <xdr:spPr>
        <a:xfrm>
          <a:off x="422604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16</xdr:row>
      <xdr:rowOff>64500</xdr:rowOff>
    </xdr:from>
    <xdr:to>
      <xdr:col>63</xdr:col>
      <xdr:colOff>45000</xdr:colOff>
      <xdr:row>17</xdr:row>
      <xdr:rowOff>37051</xdr:rowOff>
    </xdr:to>
    <xdr:sp macro="" textlink="">
      <xdr:nvSpPr>
        <xdr:cNvPr id="244983" name="フリーフォーム: 図形 244982">
          <a:extLst>
            <a:ext uri="{FF2B5EF4-FFF2-40B4-BE49-F238E27FC236}">
              <a16:creationId xmlns:a16="http://schemas.microsoft.com/office/drawing/2014/main" id="{592B9460-1BC6-4E0F-A21C-22C61151C95B}"/>
            </a:ext>
          </a:extLst>
        </xdr:cNvPr>
        <xdr:cNvSpPr>
          <a:spLocks noChangeAspect="1"/>
        </xdr:cNvSpPr>
      </xdr:nvSpPr>
      <xdr:spPr>
        <a:xfrm>
          <a:off x="427823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11</xdr:row>
      <xdr:rowOff>75750</xdr:rowOff>
    </xdr:from>
    <xdr:to>
      <xdr:col>61</xdr:col>
      <xdr:colOff>660603</xdr:colOff>
      <xdr:row>16</xdr:row>
      <xdr:rowOff>136501</xdr:rowOff>
    </xdr:to>
    <xdr:sp macro="" textlink="">
      <xdr:nvSpPr>
        <xdr:cNvPr id="244984" name="フリーフォーム: 図形 244983">
          <a:extLst>
            <a:ext uri="{FF2B5EF4-FFF2-40B4-BE49-F238E27FC236}">
              <a16:creationId xmlns:a16="http://schemas.microsoft.com/office/drawing/2014/main" id="{4A1BF439-0B9A-483C-8C48-C3E454902F99}"/>
            </a:ext>
          </a:extLst>
        </xdr:cNvPr>
        <xdr:cNvSpPr>
          <a:spLocks noChangeAspect="1"/>
        </xdr:cNvSpPr>
      </xdr:nvSpPr>
      <xdr:spPr>
        <a:xfrm>
          <a:off x="422064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5</xdr:row>
      <xdr:rowOff>114450</xdr:rowOff>
    </xdr:from>
    <xdr:to>
      <xdr:col>62</xdr:col>
      <xdr:colOff>118800</xdr:colOff>
      <xdr:row>11</xdr:row>
      <xdr:rowOff>21751</xdr:rowOff>
    </xdr:to>
    <xdr:sp macro="" textlink="">
      <xdr:nvSpPr>
        <xdr:cNvPr id="244985" name="フリーフォーム: 図形 244984">
          <a:extLst>
            <a:ext uri="{FF2B5EF4-FFF2-40B4-BE49-F238E27FC236}">
              <a16:creationId xmlns:a16="http://schemas.microsoft.com/office/drawing/2014/main" id="{5F2BC1D6-FF30-4818-B455-60BBDE803A9B}"/>
            </a:ext>
          </a:extLst>
        </xdr:cNvPr>
        <xdr:cNvSpPr>
          <a:spLocks noChangeAspect="1"/>
        </xdr:cNvSpPr>
      </xdr:nvSpPr>
      <xdr:spPr>
        <a:xfrm>
          <a:off x="423863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10</xdr:row>
      <xdr:rowOff>139200</xdr:rowOff>
    </xdr:from>
    <xdr:to>
      <xdr:col>62</xdr:col>
      <xdr:colOff>388802</xdr:colOff>
      <xdr:row>11</xdr:row>
      <xdr:rowOff>111751</xdr:rowOff>
    </xdr:to>
    <xdr:sp macro="" textlink="">
      <xdr:nvSpPr>
        <xdr:cNvPr id="244986" name="フリーフォーム: 図形 244985">
          <a:extLst>
            <a:ext uri="{FF2B5EF4-FFF2-40B4-BE49-F238E27FC236}">
              <a16:creationId xmlns:a16="http://schemas.microsoft.com/office/drawing/2014/main" id="{270B3F85-AEE8-4EF7-BF42-FFE87A5A0EE0}"/>
            </a:ext>
          </a:extLst>
        </xdr:cNvPr>
        <xdr:cNvSpPr>
          <a:spLocks noChangeAspect="1"/>
        </xdr:cNvSpPr>
      </xdr:nvSpPr>
      <xdr:spPr>
        <a:xfrm>
          <a:off x="424584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10</xdr:row>
      <xdr:rowOff>139200</xdr:rowOff>
    </xdr:from>
    <xdr:to>
      <xdr:col>63</xdr:col>
      <xdr:colOff>207002</xdr:colOff>
      <xdr:row>11</xdr:row>
      <xdr:rowOff>111751</xdr:rowOff>
    </xdr:to>
    <xdr:sp macro="" textlink="">
      <xdr:nvSpPr>
        <xdr:cNvPr id="244987" name="フリーフォーム: 図形 244986">
          <a:extLst>
            <a:ext uri="{FF2B5EF4-FFF2-40B4-BE49-F238E27FC236}">
              <a16:creationId xmlns:a16="http://schemas.microsoft.com/office/drawing/2014/main" id="{F1C9793B-1206-4E08-8A83-4EB52B3C8B9F}"/>
            </a:ext>
          </a:extLst>
        </xdr:cNvPr>
        <xdr:cNvSpPr>
          <a:spLocks noChangeAspect="1"/>
        </xdr:cNvSpPr>
      </xdr:nvSpPr>
      <xdr:spPr>
        <a:xfrm>
          <a:off x="429624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6</xdr:row>
      <xdr:rowOff>51000</xdr:rowOff>
    </xdr:from>
    <xdr:to>
      <xdr:col>62</xdr:col>
      <xdr:colOff>406801</xdr:colOff>
      <xdr:row>11</xdr:row>
      <xdr:rowOff>3751</xdr:rowOff>
    </xdr:to>
    <xdr:sp macro="" textlink="">
      <xdr:nvSpPr>
        <xdr:cNvPr id="244988" name="フリーフォーム: 図形 244987">
          <a:extLst>
            <a:ext uri="{FF2B5EF4-FFF2-40B4-BE49-F238E27FC236}">
              <a16:creationId xmlns:a16="http://schemas.microsoft.com/office/drawing/2014/main" id="{344B879C-C768-41C6-88C4-DC17FE8BD974}"/>
            </a:ext>
          </a:extLst>
        </xdr:cNvPr>
        <xdr:cNvSpPr>
          <a:spLocks noChangeAspect="1"/>
        </xdr:cNvSpPr>
      </xdr:nvSpPr>
      <xdr:spPr>
        <a:xfrm>
          <a:off x="426564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5</xdr:row>
      <xdr:rowOff>114450</xdr:rowOff>
    </xdr:from>
    <xdr:to>
      <xdr:col>62</xdr:col>
      <xdr:colOff>658801</xdr:colOff>
      <xdr:row>10</xdr:row>
      <xdr:rowOff>157201</xdr:rowOff>
    </xdr:to>
    <xdr:sp macro="" textlink="">
      <xdr:nvSpPr>
        <xdr:cNvPr id="244989" name="フリーフォーム: 図形 244988">
          <a:extLst>
            <a:ext uri="{FF2B5EF4-FFF2-40B4-BE49-F238E27FC236}">
              <a16:creationId xmlns:a16="http://schemas.microsoft.com/office/drawing/2014/main" id="{7FBE52D5-8148-4C9C-90BB-CE2113AF48F7}"/>
            </a:ext>
          </a:extLst>
        </xdr:cNvPr>
        <xdr:cNvSpPr>
          <a:spLocks noChangeAspect="1"/>
        </xdr:cNvSpPr>
      </xdr:nvSpPr>
      <xdr:spPr>
        <a:xfrm>
          <a:off x="429264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6</xdr:row>
      <xdr:rowOff>69000</xdr:rowOff>
    </xdr:from>
    <xdr:to>
      <xdr:col>63</xdr:col>
      <xdr:colOff>297000</xdr:colOff>
      <xdr:row>11</xdr:row>
      <xdr:rowOff>3751</xdr:rowOff>
    </xdr:to>
    <xdr:sp macro="" textlink="">
      <xdr:nvSpPr>
        <xdr:cNvPr id="244990" name="フリーフォーム: 図形 244989">
          <a:extLst>
            <a:ext uri="{FF2B5EF4-FFF2-40B4-BE49-F238E27FC236}">
              <a16:creationId xmlns:a16="http://schemas.microsoft.com/office/drawing/2014/main" id="{9DEA41B7-53FA-46F8-BEBD-DDA532781CBC}"/>
            </a:ext>
          </a:extLst>
        </xdr:cNvPr>
        <xdr:cNvSpPr>
          <a:spLocks noChangeAspect="1"/>
        </xdr:cNvSpPr>
      </xdr:nvSpPr>
      <xdr:spPr>
        <a:xfrm>
          <a:off x="429804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11</xdr:row>
      <xdr:rowOff>75750</xdr:rowOff>
    </xdr:from>
    <xdr:to>
      <xdr:col>63</xdr:col>
      <xdr:colOff>9002</xdr:colOff>
      <xdr:row>15</xdr:row>
      <xdr:rowOff>163951</xdr:rowOff>
    </xdr:to>
    <xdr:sp macro="" textlink="">
      <xdr:nvSpPr>
        <xdr:cNvPr id="244991" name="フリーフォーム: 図形 244990">
          <a:extLst>
            <a:ext uri="{FF2B5EF4-FFF2-40B4-BE49-F238E27FC236}">
              <a16:creationId xmlns:a16="http://schemas.microsoft.com/office/drawing/2014/main" id="{7871DB75-5910-4D4F-B981-AFC18F6FFBDC}"/>
            </a:ext>
          </a:extLst>
        </xdr:cNvPr>
        <xdr:cNvSpPr>
          <a:spLocks noChangeAspect="1"/>
        </xdr:cNvSpPr>
      </xdr:nvSpPr>
      <xdr:spPr>
        <a:xfrm>
          <a:off x="429443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11</xdr:row>
      <xdr:rowOff>93750</xdr:rowOff>
    </xdr:from>
    <xdr:to>
      <xdr:col>62</xdr:col>
      <xdr:colOff>424800</xdr:colOff>
      <xdr:row>16</xdr:row>
      <xdr:rowOff>118501</xdr:rowOff>
    </xdr:to>
    <xdr:sp macro="" textlink="">
      <xdr:nvSpPr>
        <xdr:cNvPr id="244992" name="フリーフォーム: 図形 244991">
          <a:extLst>
            <a:ext uri="{FF2B5EF4-FFF2-40B4-BE49-F238E27FC236}">
              <a16:creationId xmlns:a16="http://schemas.microsoft.com/office/drawing/2014/main" id="{AF0F036F-1121-4C55-808F-5E5E790834F3}"/>
            </a:ext>
          </a:extLst>
        </xdr:cNvPr>
        <xdr:cNvSpPr>
          <a:spLocks noChangeAspect="1"/>
        </xdr:cNvSpPr>
      </xdr:nvSpPr>
      <xdr:spPr>
        <a:xfrm>
          <a:off x="427104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11</xdr:row>
      <xdr:rowOff>75750</xdr:rowOff>
    </xdr:from>
    <xdr:to>
      <xdr:col>62</xdr:col>
      <xdr:colOff>388802</xdr:colOff>
      <xdr:row>16</xdr:row>
      <xdr:rowOff>10501</xdr:rowOff>
    </xdr:to>
    <xdr:sp macro="" textlink="">
      <xdr:nvSpPr>
        <xdr:cNvPr id="244993" name="フリーフォーム: 図形 244992">
          <a:extLst>
            <a:ext uri="{FF2B5EF4-FFF2-40B4-BE49-F238E27FC236}">
              <a16:creationId xmlns:a16="http://schemas.microsoft.com/office/drawing/2014/main" id="{4BC2D5C8-0AEA-4AC6-9A1F-09CD084B1DCC}"/>
            </a:ext>
          </a:extLst>
        </xdr:cNvPr>
        <xdr:cNvSpPr>
          <a:spLocks noChangeAspect="1"/>
        </xdr:cNvSpPr>
      </xdr:nvSpPr>
      <xdr:spPr>
        <a:xfrm>
          <a:off x="423863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5</xdr:row>
      <xdr:rowOff>42450</xdr:rowOff>
    </xdr:from>
    <xdr:to>
      <xdr:col>65</xdr:col>
      <xdr:colOff>322201</xdr:colOff>
      <xdr:row>6</xdr:row>
      <xdr:rowOff>15001</xdr:rowOff>
    </xdr:to>
    <xdr:sp macro="" textlink="">
      <xdr:nvSpPr>
        <xdr:cNvPr id="244994" name="フリーフォーム: 図形 244993">
          <a:extLst>
            <a:ext uri="{FF2B5EF4-FFF2-40B4-BE49-F238E27FC236}">
              <a16:creationId xmlns:a16="http://schemas.microsoft.com/office/drawing/2014/main" id="{3D9AF072-B218-48A2-83C5-F538A217E28A}"/>
            </a:ext>
          </a:extLst>
        </xdr:cNvPr>
        <xdr:cNvSpPr>
          <a:spLocks noChangeAspect="1"/>
        </xdr:cNvSpPr>
      </xdr:nvSpPr>
      <xdr:spPr>
        <a:xfrm>
          <a:off x="444312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5</xdr:row>
      <xdr:rowOff>42450</xdr:rowOff>
    </xdr:from>
    <xdr:to>
      <xdr:col>66</xdr:col>
      <xdr:colOff>176400</xdr:colOff>
      <xdr:row>6</xdr:row>
      <xdr:rowOff>15001</xdr:rowOff>
    </xdr:to>
    <xdr:sp macro="" textlink="">
      <xdr:nvSpPr>
        <xdr:cNvPr id="244995" name="フリーフォーム: 図形 244994">
          <a:extLst>
            <a:ext uri="{FF2B5EF4-FFF2-40B4-BE49-F238E27FC236}">
              <a16:creationId xmlns:a16="http://schemas.microsoft.com/office/drawing/2014/main" id="{D8664C22-D40F-400B-8AC2-3E6F4FA3B022}"/>
            </a:ext>
          </a:extLst>
        </xdr:cNvPr>
        <xdr:cNvSpPr>
          <a:spLocks noChangeAspect="1"/>
        </xdr:cNvSpPr>
      </xdr:nvSpPr>
      <xdr:spPr>
        <a:xfrm>
          <a:off x="449711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5</xdr:row>
      <xdr:rowOff>114450</xdr:rowOff>
    </xdr:from>
    <xdr:to>
      <xdr:col>66</xdr:col>
      <xdr:colOff>248401</xdr:colOff>
      <xdr:row>11</xdr:row>
      <xdr:rowOff>21751</xdr:rowOff>
    </xdr:to>
    <xdr:sp macro="" textlink="">
      <xdr:nvSpPr>
        <xdr:cNvPr id="244996" name="フリーフォーム: 図形 244995">
          <a:extLst>
            <a:ext uri="{FF2B5EF4-FFF2-40B4-BE49-F238E27FC236}">
              <a16:creationId xmlns:a16="http://schemas.microsoft.com/office/drawing/2014/main" id="{AAF5463C-2F27-4439-85F0-A6EE1E5D89E9}"/>
            </a:ext>
          </a:extLst>
        </xdr:cNvPr>
        <xdr:cNvSpPr>
          <a:spLocks noChangeAspect="1"/>
        </xdr:cNvSpPr>
      </xdr:nvSpPr>
      <xdr:spPr>
        <a:xfrm>
          <a:off x="452231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11</xdr:row>
      <xdr:rowOff>75750</xdr:rowOff>
    </xdr:from>
    <xdr:to>
      <xdr:col>66</xdr:col>
      <xdr:colOff>68400</xdr:colOff>
      <xdr:row>16</xdr:row>
      <xdr:rowOff>136501</xdr:rowOff>
    </xdr:to>
    <xdr:sp macro="" textlink="">
      <xdr:nvSpPr>
        <xdr:cNvPr id="244997" name="フリーフォーム: 図形 244996">
          <a:extLst>
            <a:ext uri="{FF2B5EF4-FFF2-40B4-BE49-F238E27FC236}">
              <a16:creationId xmlns:a16="http://schemas.microsoft.com/office/drawing/2014/main" id="{A000C248-2640-4167-ABFE-868B3CC0C881}"/>
            </a:ext>
          </a:extLst>
        </xdr:cNvPr>
        <xdr:cNvSpPr>
          <a:spLocks noChangeAspect="1"/>
        </xdr:cNvSpPr>
      </xdr:nvSpPr>
      <xdr:spPr>
        <a:xfrm>
          <a:off x="450432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16</xdr:row>
      <xdr:rowOff>64500</xdr:rowOff>
    </xdr:from>
    <xdr:to>
      <xdr:col>64</xdr:col>
      <xdr:colOff>684000</xdr:colOff>
      <xdr:row>17</xdr:row>
      <xdr:rowOff>37051</xdr:rowOff>
    </xdr:to>
    <xdr:sp macro="" textlink="">
      <xdr:nvSpPr>
        <xdr:cNvPr id="244998" name="フリーフォーム: 図形 244997">
          <a:extLst>
            <a:ext uri="{FF2B5EF4-FFF2-40B4-BE49-F238E27FC236}">
              <a16:creationId xmlns:a16="http://schemas.microsoft.com/office/drawing/2014/main" id="{A3A940DC-599F-426B-8854-7F03544A0640}"/>
            </a:ext>
          </a:extLst>
        </xdr:cNvPr>
        <xdr:cNvSpPr>
          <a:spLocks noChangeAspect="1"/>
        </xdr:cNvSpPr>
      </xdr:nvSpPr>
      <xdr:spPr>
        <a:xfrm>
          <a:off x="440892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16</xdr:row>
      <xdr:rowOff>64500</xdr:rowOff>
    </xdr:from>
    <xdr:to>
      <xdr:col>65</xdr:col>
      <xdr:colOff>502200</xdr:colOff>
      <xdr:row>17</xdr:row>
      <xdr:rowOff>37051</xdr:rowOff>
    </xdr:to>
    <xdr:sp macro="" textlink="">
      <xdr:nvSpPr>
        <xdr:cNvPr id="244999" name="フリーフォーム: 図形 244998">
          <a:extLst>
            <a:ext uri="{FF2B5EF4-FFF2-40B4-BE49-F238E27FC236}">
              <a16:creationId xmlns:a16="http://schemas.microsoft.com/office/drawing/2014/main" id="{BFE84032-E717-443D-B4E1-8881A4325E09}"/>
            </a:ext>
          </a:extLst>
        </xdr:cNvPr>
        <xdr:cNvSpPr>
          <a:spLocks noChangeAspect="1"/>
        </xdr:cNvSpPr>
      </xdr:nvSpPr>
      <xdr:spPr>
        <a:xfrm>
          <a:off x="446111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11</xdr:row>
      <xdr:rowOff>75750</xdr:rowOff>
    </xdr:from>
    <xdr:to>
      <xdr:col>64</xdr:col>
      <xdr:colOff>432003</xdr:colOff>
      <xdr:row>16</xdr:row>
      <xdr:rowOff>136501</xdr:rowOff>
    </xdr:to>
    <xdr:sp macro="" textlink="">
      <xdr:nvSpPr>
        <xdr:cNvPr id="245000" name="フリーフォーム: 図形 244999">
          <a:extLst>
            <a:ext uri="{FF2B5EF4-FFF2-40B4-BE49-F238E27FC236}">
              <a16:creationId xmlns:a16="http://schemas.microsoft.com/office/drawing/2014/main" id="{4284A7A5-655C-4344-BE35-22E8713F05F6}"/>
            </a:ext>
          </a:extLst>
        </xdr:cNvPr>
        <xdr:cNvSpPr>
          <a:spLocks noChangeAspect="1"/>
        </xdr:cNvSpPr>
      </xdr:nvSpPr>
      <xdr:spPr>
        <a:xfrm>
          <a:off x="440352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5</xdr:row>
      <xdr:rowOff>114450</xdr:rowOff>
    </xdr:from>
    <xdr:to>
      <xdr:col>64</xdr:col>
      <xdr:colOff>576000</xdr:colOff>
      <xdr:row>11</xdr:row>
      <xdr:rowOff>21751</xdr:rowOff>
    </xdr:to>
    <xdr:sp macro="" textlink="">
      <xdr:nvSpPr>
        <xdr:cNvPr id="245001" name="フリーフォーム: 図形 245000">
          <a:extLst>
            <a:ext uri="{FF2B5EF4-FFF2-40B4-BE49-F238E27FC236}">
              <a16:creationId xmlns:a16="http://schemas.microsoft.com/office/drawing/2014/main" id="{D410CF3A-5F58-425A-B495-36493D7D1A53}"/>
            </a:ext>
          </a:extLst>
        </xdr:cNvPr>
        <xdr:cNvSpPr>
          <a:spLocks noChangeAspect="1"/>
        </xdr:cNvSpPr>
      </xdr:nvSpPr>
      <xdr:spPr>
        <a:xfrm>
          <a:off x="442151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10</xdr:row>
      <xdr:rowOff>139200</xdr:rowOff>
    </xdr:from>
    <xdr:to>
      <xdr:col>65</xdr:col>
      <xdr:colOff>160202</xdr:colOff>
      <xdr:row>11</xdr:row>
      <xdr:rowOff>111751</xdr:rowOff>
    </xdr:to>
    <xdr:sp macro="" textlink="">
      <xdr:nvSpPr>
        <xdr:cNvPr id="245002" name="フリーフォーム: 図形 245001">
          <a:extLst>
            <a:ext uri="{FF2B5EF4-FFF2-40B4-BE49-F238E27FC236}">
              <a16:creationId xmlns:a16="http://schemas.microsoft.com/office/drawing/2014/main" id="{8E662675-1D91-4A4B-8FB6-7D91BEF8AB1F}"/>
            </a:ext>
          </a:extLst>
        </xdr:cNvPr>
        <xdr:cNvSpPr>
          <a:spLocks noChangeAspect="1"/>
        </xdr:cNvSpPr>
      </xdr:nvSpPr>
      <xdr:spPr>
        <a:xfrm>
          <a:off x="442872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10</xdr:row>
      <xdr:rowOff>139200</xdr:rowOff>
    </xdr:from>
    <xdr:to>
      <xdr:col>65</xdr:col>
      <xdr:colOff>664202</xdr:colOff>
      <xdr:row>11</xdr:row>
      <xdr:rowOff>111751</xdr:rowOff>
    </xdr:to>
    <xdr:sp macro="" textlink="">
      <xdr:nvSpPr>
        <xdr:cNvPr id="245003" name="フリーフォーム: 図形 245002">
          <a:extLst>
            <a:ext uri="{FF2B5EF4-FFF2-40B4-BE49-F238E27FC236}">
              <a16:creationId xmlns:a16="http://schemas.microsoft.com/office/drawing/2014/main" id="{C6B556E6-F3B3-47BD-8CBF-47FFED0A24F9}"/>
            </a:ext>
          </a:extLst>
        </xdr:cNvPr>
        <xdr:cNvSpPr>
          <a:spLocks noChangeAspect="1"/>
        </xdr:cNvSpPr>
      </xdr:nvSpPr>
      <xdr:spPr>
        <a:xfrm>
          <a:off x="447912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6</xdr:row>
      <xdr:rowOff>51000</xdr:rowOff>
    </xdr:from>
    <xdr:to>
      <xdr:col>65</xdr:col>
      <xdr:colOff>178201</xdr:colOff>
      <xdr:row>11</xdr:row>
      <xdr:rowOff>3751</xdr:rowOff>
    </xdr:to>
    <xdr:sp macro="" textlink="">
      <xdr:nvSpPr>
        <xdr:cNvPr id="245004" name="フリーフォーム: 図形 245003">
          <a:extLst>
            <a:ext uri="{FF2B5EF4-FFF2-40B4-BE49-F238E27FC236}">
              <a16:creationId xmlns:a16="http://schemas.microsoft.com/office/drawing/2014/main" id="{55872CF4-52C5-4DB1-A4A5-C6DBCA0BDBD7}"/>
            </a:ext>
          </a:extLst>
        </xdr:cNvPr>
        <xdr:cNvSpPr>
          <a:spLocks noChangeAspect="1"/>
        </xdr:cNvSpPr>
      </xdr:nvSpPr>
      <xdr:spPr>
        <a:xfrm>
          <a:off x="444852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5</xdr:row>
      <xdr:rowOff>114450</xdr:rowOff>
    </xdr:from>
    <xdr:to>
      <xdr:col>65</xdr:col>
      <xdr:colOff>430201</xdr:colOff>
      <xdr:row>10</xdr:row>
      <xdr:rowOff>157201</xdr:rowOff>
    </xdr:to>
    <xdr:sp macro="" textlink="">
      <xdr:nvSpPr>
        <xdr:cNvPr id="245005" name="フリーフォーム: 図形 245004">
          <a:extLst>
            <a:ext uri="{FF2B5EF4-FFF2-40B4-BE49-F238E27FC236}">
              <a16:creationId xmlns:a16="http://schemas.microsoft.com/office/drawing/2014/main" id="{4E00472D-821F-4EAD-B1A6-FDCEC01558E5}"/>
            </a:ext>
          </a:extLst>
        </xdr:cNvPr>
        <xdr:cNvSpPr>
          <a:spLocks noChangeAspect="1"/>
        </xdr:cNvSpPr>
      </xdr:nvSpPr>
      <xdr:spPr>
        <a:xfrm>
          <a:off x="447552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6</xdr:row>
      <xdr:rowOff>69000</xdr:rowOff>
    </xdr:from>
    <xdr:to>
      <xdr:col>66</xdr:col>
      <xdr:colOff>68400</xdr:colOff>
      <xdr:row>11</xdr:row>
      <xdr:rowOff>3751</xdr:rowOff>
    </xdr:to>
    <xdr:sp macro="" textlink="">
      <xdr:nvSpPr>
        <xdr:cNvPr id="245006" name="フリーフォーム: 図形 245005">
          <a:extLst>
            <a:ext uri="{FF2B5EF4-FFF2-40B4-BE49-F238E27FC236}">
              <a16:creationId xmlns:a16="http://schemas.microsoft.com/office/drawing/2014/main" id="{8C14022E-B0DC-4C6E-8278-F5326AA637EE}"/>
            </a:ext>
          </a:extLst>
        </xdr:cNvPr>
        <xdr:cNvSpPr>
          <a:spLocks noChangeAspect="1"/>
        </xdr:cNvSpPr>
      </xdr:nvSpPr>
      <xdr:spPr>
        <a:xfrm>
          <a:off x="448092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11</xdr:row>
      <xdr:rowOff>75750</xdr:rowOff>
    </xdr:from>
    <xdr:to>
      <xdr:col>65</xdr:col>
      <xdr:colOff>466202</xdr:colOff>
      <xdr:row>15</xdr:row>
      <xdr:rowOff>163951</xdr:rowOff>
    </xdr:to>
    <xdr:sp macro="" textlink="">
      <xdr:nvSpPr>
        <xdr:cNvPr id="245007" name="フリーフォーム: 図形 245006">
          <a:extLst>
            <a:ext uri="{FF2B5EF4-FFF2-40B4-BE49-F238E27FC236}">
              <a16:creationId xmlns:a16="http://schemas.microsoft.com/office/drawing/2014/main" id="{4D1BCBD5-35F4-4619-9173-1C83AA74BD9B}"/>
            </a:ext>
          </a:extLst>
        </xdr:cNvPr>
        <xdr:cNvSpPr>
          <a:spLocks noChangeAspect="1"/>
        </xdr:cNvSpPr>
      </xdr:nvSpPr>
      <xdr:spPr>
        <a:xfrm>
          <a:off x="447731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11</xdr:row>
      <xdr:rowOff>93750</xdr:rowOff>
    </xdr:from>
    <xdr:to>
      <xdr:col>65</xdr:col>
      <xdr:colOff>196200</xdr:colOff>
      <xdr:row>16</xdr:row>
      <xdr:rowOff>118501</xdr:rowOff>
    </xdr:to>
    <xdr:sp macro="" textlink="">
      <xdr:nvSpPr>
        <xdr:cNvPr id="245008" name="フリーフォーム: 図形 245007">
          <a:extLst>
            <a:ext uri="{FF2B5EF4-FFF2-40B4-BE49-F238E27FC236}">
              <a16:creationId xmlns:a16="http://schemas.microsoft.com/office/drawing/2014/main" id="{04390076-0256-4796-80CA-82131526EF34}"/>
            </a:ext>
          </a:extLst>
        </xdr:cNvPr>
        <xdr:cNvSpPr>
          <a:spLocks noChangeAspect="1"/>
        </xdr:cNvSpPr>
      </xdr:nvSpPr>
      <xdr:spPr>
        <a:xfrm>
          <a:off x="445392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11</xdr:row>
      <xdr:rowOff>75750</xdr:rowOff>
    </xdr:from>
    <xdr:to>
      <xdr:col>65</xdr:col>
      <xdr:colOff>160202</xdr:colOff>
      <xdr:row>16</xdr:row>
      <xdr:rowOff>10501</xdr:rowOff>
    </xdr:to>
    <xdr:sp macro="" textlink="">
      <xdr:nvSpPr>
        <xdr:cNvPr id="245009" name="フリーフォーム: 図形 245008">
          <a:extLst>
            <a:ext uri="{FF2B5EF4-FFF2-40B4-BE49-F238E27FC236}">
              <a16:creationId xmlns:a16="http://schemas.microsoft.com/office/drawing/2014/main" id="{CB70C770-D3E4-4345-AAD1-0275E2787E9A}"/>
            </a:ext>
          </a:extLst>
        </xdr:cNvPr>
        <xdr:cNvSpPr>
          <a:spLocks noChangeAspect="1"/>
        </xdr:cNvSpPr>
      </xdr:nvSpPr>
      <xdr:spPr>
        <a:xfrm>
          <a:off x="442151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5</xdr:row>
      <xdr:rowOff>42450</xdr:rowOff>
    </xdr:from>
    <xdr:to>
      <xdr:col>68</xdr:col>
      <xdr:colOff>93601</xdr:colOff>
      <xdr:row>6</xdr:row>
      <xdr:rowOff>15001</xdr:rowOff>
    </xdr:to>
    <xdr:sp macro="" textlink="">
      <xdr:nvSpPr>
        <xdr:cNvPr id="245010" name="フリーフォーム: 図形 245009">
          <a:extLst>
            <a:ext uri="{FF2B5EF4-FFF2-40B4-BE49-F238E27FC236}">
              <a16:creationId xmlns:a16="http://schemas.microsoft.com/office/drawing/2014/main" id="{36FFDD7F-7E92-458C-8850-035AE09938D4}"/>
            </a:ext>
          </a:extLst>
        </xdr:cNvPr>
        <xdr:cNvSpPr>
          <a:spLocks noChangeAspect="1"/>
        </xdr:cNvSpPr>
      </xdr:nvSpPr>
      <xdr:spPr>
        <a:xfrm>
          <a:off x="462600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5</xdr:row>
      <xdr:rowOff>42450</xdr:rowOff>
    </xdr:from>
    <xdr:to>
      <xdr:col>68</xdr:col>
      <xdr:colOff>633600</xdr:colOff>
      <xdr:row>6</xdr:row>
      <xdr:rowOff>15001</xdr:rowOff>
    </xdr:to>
    <xdr:sp macro="" textlink="">
      <xdr:nvSpPr>
        <xdr:cNvPr id="245011" name="フリーフォーム: 図形 245010">
          <a:extLst>
            <a:ext uri="{FF2B5EF4-FFF2-40B4-BE49-F238E27FC236}">
              <a16:creationId xmlns:a16="http://schemas.microsoft.com/office/drawing/2014/main" id="{1FB80037-9FF3-4E12-8186-8319F9B0721D}"/>
            </a:ext>
          </a:extLst>
        </xdr:cNvPr>
        <xdr:cNvSpPr>
          <a:spLocks noChangeAspect="1"/>
        </xdr:cNvSpPr>
      </xdr:nvSpPr>
      <xdr:spPr>
        <a:xfrm>
          <a:off x="467999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5</xdr:row>
      <xdr:rowOff>114450</xdr:rowOff>
    </xdr:from>
    <xdr:to>
      <xdr:col>69</xdr:col>
      <xdr:colOff>19801</xdr:colOff>
      <xdr:row>11</xdr:row>
      <xdr:rowOff>21751</xdr:rowOff>
    </xdr:to>
    <xdr:sp macro="" textlink="">
      <xdr:nvSpPr>
        <xdr:cNvPr id="245012" name="フリーフォーム: 図形 245011">
          <a:extLst>
            <a:ext uri="{FF2B5EF4-FFF2-40B4-BE49-F238E27FC236}">
              <a16:creationId xmlns:a16="http://schemas.microsoft.com/office/drawing/2014/main" id="{CAE65C8F-2A8C-4AC8-8FD3-915CFAF935A8}"/>
            </a:ext>
          </a:extLst>
        </xdr:cNvPr>
        <xdr:cNvSpPr>
          <a:spLocks noChangeAspect="1"/>
        </xdr:cNvSpPr>
      </xdr:nvSpPr>
      <xdr:spPr>
        <a:xfrm>
          <a:off x="470519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11</xdr:row>
      <xdr:rowOff>75750</xdr:rowOff>
    </xdr:from>
    <xdr:to>
      <xdr:col>68</xdr:col>
      <xdr:colOff>525600</xdr:colOff>
      <xdr:row>16</xdr:row>
      <xdr:rowOff>136501</xdr:rowOff>
    </xdr:to>
    <xdr:sp macro="" textlink="">
      <xdr:nvSpPr>
        <xdr:cNvPr id="245013" name="フリーフォーム: 図形 245012">
          <a:extLst>
            <a:ext uri="{FF2B5EF4-FFF2-40B4-BE49-F238E27FC236}">
              <a16:creationId xmlns:a16="http://schemas.microsoft.com/office/drawing/2014/main" id="{657AAA48-7B80-4EB8-8313-B975A4EC08CB}"/>
            </a:ext>
          </a:extLst>
        </xdr:cNvPr>
        <xdr:cNvSpPr>
          <a:spLocks noChangeAspect="1"/>
        </xdr:cNvSpPr>
      </xdr:nvSpPr>
      <xdr:spPr>
        <a:xfrm>
          <a:off x="468720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16</xdr:row>
      <xdr:rowOff>64500</xdr:rowOff>
    </xdr:from>
    <xdr:to>
      <xdr:col>67</xdr:col>
      <xdr:colOff>455400</xdr:colOff>
      <xdr:row>17</xdr:row>
      <xdr:rowOff>37051</xdr:rowOff>
    </xdr:to>
    <xdr:sp macro="" textlink="">
      <xdr:nvSpPr>
        <xdr:cNvPr id="245014" name="フリーフォーム: 図形 245013">
          <a:extLst>
            <a:ext uri="{FF2B5EF4-FFF2-40B4-BE49-F238E27FC236}">
              <a16:creationId xmlns:a16="http://schemas.microsoft.com/office/drawing/2014/main" id="{AFFB24DE-CB35-405E-99AF-261EC76E5C03}"/>
            </a:ext>
          </a:extLst>
        </xdr:cNvPr>
        <xdr:cNvSpPr>
          <a:spLocks noChangeAspect="1"/>
        </xdr:cNvSpPr>
      </xdr:nvSpPr>
      <xdr:spPr>
        <a:xfrm>
          <a:off x="459180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16</xdr:row>
      <xdr:rowOff>64500</xdr:rowOff>
    </xdr:from>
    <xdr:to>
      <xdr:col>68</xdr:col>
      <xdr:colOff>273600</xdr:colOff>
      <xdr:row>17</xdr:row>
      <xdr:rowOff>37051</xdr:rowOff>
    </xdr:to>
    <xdr:sp macro="" textlink="">
      <xdr:nvSpPr>
        <xdr:cNvPr id="245015" name="フリーフォーム: 図形 245014">
          <a:extLst>
            <a:ext uri="{FF2B5EF4-FFF2-40B4-BE49-F238E27FC236}">
              <a16:creationId xmlns:a16="http://schemas.microsoft.com/office/drawing/2014/main" id="{EDDAA96B-72B3-489B-9092-AE4B72492D3D}"/>
            </a:ext>
          </a:extLst>
        </xdr:cNvPr>
        <xdr:cNvSpPr>
          <a:spLocks noChangeAspect="1"/>
        </xdr:cNvSpPr>
      </xdr:nvSpPr>
      <xdr:spPr>
        <a:xfrm>
          <a:off x="464399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11</xdr:row>
      <xdr:rowOff>75750</xdr:rowOff>
    </xdr:from>
    <xdr:to>
      <xdr:col>67</xdr:col>
      <xdr:colOff>203403</xdr:colOff>
      <xdr:row>16</xdr:row>
      <xdr:rowOff>136501</xdr:rowOff>
    </xdr:to>
    <xdr:sp macro="" textlink="">
      <xdr:nvSpPr>
        <xdr:cNvPr id="245016" name="フリーフォーム: 図形 245015">
          <a:extLst>
            <a:ext uri="{FF2B5EF4-FFF2-40B4-BE49-F238E27FC236}">
              <a16:creationId xmlns:a16="http://schemas.microsoft.com/office/drawing/2014/main" id="{A503EDAB-839C-4DC0-9D17-81BBE071FCAA}"/>
            </a:ext>
          </a:extLst>
        </xdr:cNvPr>
        <xdr:cNvSpPr>
          <a:spLocks noChangeAspect="1"/>
        </xdr:cNvSpPr>
      </xdr:nvSpPr>
      <xdr:spPr>
        <a:xfrm>
          <a:off x="458640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5</xdr:row>
      <xdr:rowOff>114450</xdr:rowOff>
    </xdr:from>
    <xdr:to>
      <xdr:col>67</xdr:col>
      <xdr:colOff>347400</xdr:colOff>
      <xdr:row>11</xdr:row>
      <xdr:rowOff>21751</xdr:rowOff>
    </xdr:to>
    <xdr:sp macro="" textlink="">
      <xdr:nvSpPr>
        <xdr:cNvPr id="245017" name="フリーフォーム: 図形 245016">
          <a:extLst>
            <a:ext uri="{FF2B5EF4-FFF2-40B4-BE49-F238E27FC236}">
              <a16:creationId xmlns:a16="http://schemas.microsoft.com/office/drawing/2014/main" id="{B44BC157-240E-44E3-AA93-1F90F42497AF}"/>
            </a:ext>
          </a:extLst>
        </xdr:cNvPr>
        <xdr:cNvSpPr>
          <a:spLocks noChangeAspect="1"/>
        </xdr:cNvSpPr>
      </xdr:nvSpPr>
      <xdr:spPr>
        <a:xfrm>
          <a:off x="460439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10</xdr:row>
      <xdr:rowOff>139200</xdr:rowOff>
    </xdr:from>
    <xdr:to>
      <xdr:col>67</xdr:col>
      <xdr:colOff>617402</xdr:colOff>
      <xdr:row>11</xdr:row>
      <xdr:rowOff>111751</xdr:rowOff>
    </xdr:to>
    <xdr:sp macro="" textlink="">
      <xdr:nvSpPr>
        <xdr:cNvPr id="245018" name="フリーフォーム: 図形 245017">
          <a:extLst>
            <a:ext uri="{FF2B5EF4-FFF2-40B4-BE49-F238E27FC236}">
              <a16:creationId xmlns:a16="http://schemas.microsoft.com/office/drawing/2014/main" id="{6FF40321-3489-4428-9380-319F9D9F0D73}"/>
            </a:ext>
          </a:extLst>
        </xdr:cNvPr>
        <xdr:cNvSpPr>
          <a:spLocks noChangeAspect="1"/>
        </xdr:cNvSpPr>
      </xdr:nvSpPr>
      <xdr:spPr>
        <a:xfrm>
          <a:off x="461160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10</xdr:row>
      <xdr:rowOff>139200</xdr:rowOff>
    </xdr:from>
    <xdr:to>
      <xdr:col>68</xdr:col>
      <xdr:colOff>435602</xdr:colOff>
      <xdr:row>11</xdr:row>
      <xdr:rowOff>111751</xdr:rowOff>
    </xdr:to>
    <xdr:sp macro="" textlink="">
      <xdr:nvSpPr>
        <xdr:cNvPr id="245019" name="フリーフォーム: 図形 245018">
          <a:extLst>
            <a:ext uri="{FF2B5EF4-FFF2-40B4-BE49-F238E27FC236}">
              <a16:creationId xmlns:a16="http://schemas.microsoft.com/office/drawing/2014/main" id="{42D57CCF-3AE3-4105-BDD6-74EF282FE783}"/>
            </a:ext>
          </a:extLst>
        </xdr:cNvPr>
        <xdr:cNvSpPr>
          <a:spLocks noChangeAspect="1"/>
        </xdr:cNvSpPr>
      </xdr:nvSpPr>
      <xdr:spPr>
        <a:xfrm>
          <a:off x="466200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6</xdr:row>
      <xdr:rowOff>51000</xdr:rowOff>
    </xdr:from>
    <xdr:to>
      <xdr:col>67</xdr:col>
      <xdr:colOff>635401</xdr:colOff>
      <xdr:row>11</xdr:row>
      <xdr:rowOff>3751</xdr:rowOff>
    </xdr:to>
    <xdr:sp macro="" textlink="">
      <xdr:nvSpPr>
        <xdr:cNvPr id="245020" name="フリーフォーム: 図形 245019">
          <a:extLst>
            <a:ext uri="{FF2B5EF4-FFF2-40B4-BE49-F238E27FC236}">
              <a16:creationId xmlns:a16="http://schemas.microsoft.com/office/drawing/2014/main" id="{78DBBECF-D46D-4B3E-9CAB-F6170612F261}"/>
            </a:ext>
          </a:extLst>
        </xdr:cNvPr>
        <xdr:cNvSpPr>
          <a:spLocks noChangeAspect="1"/>
        </xdr:cNvSpPr>
      </xdr:nvSpPr>
      <xdr:spPr>
        <a:xfrm>
          <a:off x="463140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5</xdr:row>
      <xdr:rowOff>114450</xdr:rowOff>
    </xdr:from>
    <xdr:to>
      <xdr:col>68</xdr:col>
      <xdr:colOff>201601</xdr:colOff>
      <xdr:row>10</xdr:row>
      <xdr:rowOff>157201</xdr:rowOff>
    </xdr:to>
    <xdr:sp macro="" textlink="">
      <xdr:nvSpPr>
        <xdr:cNvPr id="245021" name="フリーフォーム: 図形 245020">
          <a:extLst>
            <a:ext uri="{FF2B5EF4-FFF2-40B4-BE49-F238E27FC236}">
              <a16:creationId xmlns:a16="http://schemas.microsoft.com/office/drawing/2014/main" id="{4BB1C5F6-1437-4EFC-BF62-BA01CC4F2150}"/>
            </a:ext>
          </a:extLst>
        </xdr:cNvPr>
        <xdr:cNvSpPr>
          <a:spLocks noChangeAspect="1"/>
        </xdr:cNvSpPr>
      </xdr:nvSpPr>
      <xdr:spPr>
        <a:xfrm>
          <a:off x="465840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6</xdr:row>
      <xdr:rowOff>69000</xdr:rowOff>
    </xdr:from>
    <xdr:to>
      <xdr:col>68</xdr:col>
      <xdr:colOff>525600</xdr:colOff>
      <xdr:row>11</xdr:row>
      <xdr:rowOff>3751</xdr:rowOff>
    </xdr:to>
    <xdr:sp macro="" textlink="">
      <xdr:nvSpPr>
        <xdr:cNvPr id="245022" name="フリーフォーム: 図形 245021">
          <a:extLst>
            <a:ext uri="{FF2B5EF4-FFF2-40B4-BE49-F238E27FC236}">
              <a16:creationId xmlns:a16="http://schemas.microsoft.com/office/drawing/2014/main" id="{C1BA83B4-8406-4767-A36D-89DF3F54EAC6}"/>
            </a:ext>
          </a:extLst>
        </xdr:cNvPr>
        <xdr:cNvSpPr>
          <a:spLocks noChangeAspect="1"/>
        </xdr:cNvSpPr>
      </xdr:nvSpPr>
      <xdr:spPr>
        <a:xfrm>
          <a:off x="466380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11</xdr:row>
      <xdr:rowOff>75750</xdr:rowOff>
    </xdr:from>
    <xdr:to>
      <xdr:col>68</xdr:col>
      <xdr:colOff>237602</xdr:colOff>
      <xdr:row>15</xdr:row>
      <xdr:rowOff>163951</xdr:rowOff>
    </xdr:to>
    <xdr:sp macro="" textlink="">
      <xdr:nvSpPr>
        <xdr:cNvPr id="245023" name="フリーフォーム: 図形 245022">
          <a:extLst>
            <a:ext uri="{FF2B5EF4-FFF2-40B4-BE49-F238E27FC236}">
              <a16:creationId xmlns:a16="http://schemas.microsoft.com/office/drawing/2014/main" id="{B14EB1C2-02B9-47D4-A664-A21B858BA41D}"/>
            </a:ext>
          </a:extLst>
        </xdr:cNvPr>
        <xdr:cNvSpPr>
          <a:spLocks noChangeAspect="1"/>
        </xdr:cNvSpPr>
      </xdr:nvSpPr>
      <xdr:spPr>
        <a:xfrm>
          <a:off x="466019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11</xdr:row>
      <xdr:rowOff>93750</xdr:rowOff>
    </xdr:from>
    <xdr:to>
      <xdr:col>67</xdr:col>
      <xdr:colOff>653400</xdr:colOff>
      <xdr:row>16</xdr:row>
      <xdr:rowOff>118501</xdr:rowOff>
    </xdr:to>
    <xdr:sp macro="" textlink="">
      <xdr:nvSpPr>
        <xdr:cNvPr id="245024" name="フリーフォーム: 図形 245023">
          <a:extLst>
            <a:ext uri="{FF2B5EF4-FFF2-40B4-BE49-F238E27FC236}">
              <a16:creationId xmlns:a16="http://schemas.microsoft.com/office/drawing/2014/main" id="{6775260F-98D9-4FFE-AC9E-5C48B0B210F7}"/>
            </a:ext>
          </a:extLst>
        </xdr:cNvPr>
        <xdr:cNvSpPr>
          <a:spLocks noChangeAspect="1"/>
        </xdr:cNvSpPr>
      </xdr:nvSpPr>
      <xdr:spPr>
        <a:xfrm>
          <a:off x="463680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11</xdr:row>
      <xdr:rowOff>75750</xdr:rowOff>
    </xdr:from>
    <xdr:to>
      <xdr:col>67</xdr:col>
      <xdr:colOff>617402</xdr:colOff>
      <xdr:row>16</xdr:row>
      <xdr:rowOff>10501</xdr:rowOff>
    </xdr:to>
    <xdr:sp macro="" textlink="">
      <xdr:nvSpPr>
        <xdr:cNvPr id="245025" name="フリーフォーム: 図形 245024">
          <a:extLst>
            <a:ext uri="{FF2B5EF4-FFF2-40B4-BE49-F238E27FC236}">
              <a16:creationId xmlns:a16="http://schemas.microsoft.com/office/drawing/2014/main" id="{9DDE3452-EFFD-435C-B897-61B7006B1CC3}"/>
            </a:ext>
          </a:extLst>
        </xdr:cNvPr>
        <xdr:cNvSpPr>
          <a:spLocks noChangeAspect="1"/>
        </xdr:cNvSpPr>
      </xdr:nvSpPr>
      <xdr:spPr>
        <a:xfrm>
          <a:off x="460439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5</xdr:row>
      <xdr:rowOff>42450</xdr:rowOff>
    </xdr:from>
    <xdr:to>
      <xdr:col>70</xdr:col>
      <xdr:colOff>550801</xdr:colOff>
      <xdr:row>6</xdr:row>
      <xdr:rowOff>15001</xdr:rowOff>
    </xdr:to>
    <xdr:sp macro="" textlink="">
      <xdr:nvSpPr>
        <xdr:cNvPr id="245026" name="フリーフォーム: 図形 245025">
          <a:extLst>
            <a:ext uri="{FF2B5EF4-FFF2-40B4-BE49-F238E27FC236}">
              <a16:creationId xmlns:a16="http://schemas.microsoft.com/office/drawing/2014/main" id="{5F9AA90E-AD78-446D-B9A3-E54E6B209844}"/>
            </a:ext>
          </a:extLst>
        </xdr:cNvPr>
        <xdr:cNvSpPr>
          <a:spLocks noChangeAspect="1"/>
        </xdr:cNvSpPr>
      </xdr:nvSpPr>
      <xdr:spPr>
        <a:xfrm>
          <a:off x="480888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5</xdr:row>
      <xdr:rowOff>42450</xdr:rowOff>
    </xdr:from>
    <xdr:to>
      <xdr:col>71</xdr:col>
      <xdr:colOff>405000</xdr:colOff>
      <xdr:row>6</xdr:row>
      <xdr:rowOff>15001</xdr:rowOff>
    </xdr:to>
    <xdr:sp macro="" textlink="">
      <xdr:nvSpPr>
        <xdr:cNvPr id="245027" name="フリーフォーム: 図形 245026">
          <a:extLst>
            <a:ext uri="{FF2B5EF4-FFF2-40B4-BE49-F238E27FC236}">
              <a16:creationId xmlns:a16="http://schemas.microsoft.com/office/drawing/2014/main" id="{98B89858-5EA0-41F4-AD65-A6E48F1EEE57}"/>
            </a:ext>
          </a:extLst>
        </xdr:cNvPr>
        <xdr:cNvSpPr>
          <a:spLocks noChangeAspect="1"/>
        </xdr:cNvSpPr>
      </xdr:nvSpPr>
      <xdr:spPr>
        <a:xfrm>
          <a:off x="486287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5</xdr:row>
      <xdr:rowOff>114450</xdr:rowOff>
    </xdr:from>
    <xdr:to>
      <xdr:col>71</xdr:col>
      <xdr:colOff>477001</xdr:colOff>
      <xdr:row>11</xdr:row>
      <xdr:rowOff>21751</xdr:rowOff>
    </xdr:to>
    <xdr:sp macro="" textlink="">
      <xdr:nvSpPr>
        <xdr:cNvPr id="245028" name="フリーフォーム: 図形 245027">
          <a:extLst>
            <a:ext uri="{FF2B5EF4-FFF2-40B4-BE49-F238E27FC236}">
              <a16:creationId xmlns:a16="http://schemas.microsoft.com/office/drawing/2014/main" id="{D9B7875D-DE28-4F68-A98C-91E14118F5B9}"/>
            </a:ext>
          </a:extLst>
        </xdr:cNvPr>
        <xdr:cNvSpPr>
          <a:spLocks noChangeAspect="1"/>
        </xdr:cNvSpPr>
      </xdr:nvSpPr>
      <xdr:spPr>
        <a:xfrm>
          <a:off x="488807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11</xdr:row>
      <xdr:rowOff>75750</xdr:rowOff>
    </xdr:from>
    <xdr:to>
      <xdr:col>71</xdr:col>
      <xdr:colOff>297000</xdr:colOff>
      <xdr:row>16</xdr:row>
      <xdr:rowOff>136501</xdr:rowOff>
    </xdr:to>
    <xdr:sp macro="" textlink="">
      <xdr:nvSpPr>
        <xdr:cNvPr id="245029" name="フリーフォーム: 図形 245028">
          <a:extLst>
            <a:ext uri="{FF2B5EF4-FFF2-40B4-BE49-F238E27FC236}">
              <a16:creationId xmlns:a16="http://schemas.microsoft.com/office/drawing/2014/main" id="{5D3564EB-54F3-49FF-BC76-EA93C52D3E16}"/>
            </a:ext>
          </a:extLst>
        </xdr:cNvPr>
        <xdr:cNvSpPr>
          <a:spLocks noChangeAspect="1"/>
        </xdr:cNvSpPr>
      </xdr:nvSpPr>
      <xdr:spPr>
        <a:xfrm>
          <a:off x="487008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16</xdr:row>
      <xdr:rowOff>64500</xdr:rowOff>
    </xdr:from>
    <xdr:to>
      <xdr:col>70</xdr:col>
      <xdr:colOff>226800</xdr:colOff>
      <xdr:row>17</xdr:row>
      <xdr:rowOff>37051</xdr:rowOff>
    </xdr:to>
    <xdr:sp macro="" textlink="">
      <xdr:nvSpPr>
        <xdr:cNvPr id="245030" name="フリーフォーム: 図形 245029">
          <a:extLst>
            <a:ext uri="{FF2B5EF4-FFF2-40B4-BE49-F238E27FC236}">
              <a16:creationId xmlns:a16="http://schemas.microsoft.com/office/drawing/2014/main" id="{220BB881-6AEA-4DAD-9B97-885EE8455A9D}"/>
            </a:ext>
          </a:extLst>
        </xdr:cNvPr>
        <xdr:cNvSpPr>
          <a:spLocks noChangeAspect="1"/>
        </xdr:cNvSpPr>
      </xdr:nvSpPr>
      <xdr:spPr>
        <a:xfrm>
          <a:off x="477468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16</xdr:row>
      <xdr:rowOff>64500</xdr:rowOff>
    </xdr:from>
    <xdr:to>
      <xdr:col>71</xdr:col>
      <xdr:colOff>45000</xdr:colOff>
      <xdr:row>17</xdr:row>
      <xdr:rowOff>37051</xdr:rowOff>
    </xdr:to>
    <xdr:sp macro="" textlink="">
      <xdr:nvSpPr>
        <xdr:cNvPr id="245031" name="フリーフォーム: 図形 245030">
          <a:extLst>
            <a:ext uri="{FF2B5EF4-FFF2-40B4-BE49-F238E27FC236}">
              <a16:creationId xmlns:a16="http://schemas.microsoft.com/office/drawing/2014/main" id="{1B482DBE-CC7D-4B2D-9DB7-49464FB7117B}"/>
            </a:ext>
          </a:extLst>
        </xdr:cNvPr>
        <xdr:cNvSpPr>
          <a:spLocks noChangeAspect="1"/>
        </xdr:cNvSpPr>
      </xdr:nvSpPr>
      <xdr:spPr>
        <a:xfrm>
          <a:off x="482687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11</xdr:row>
      <xdr:rowOff>75750</xdr:rowOff>
    </xdr:from>
    <xdr:to>
      <xdr:col>69</xdr:col>
      <xdr:colOff>660603</xdr:colOff>
      <xdr:row>16</xdr:row>
      <xdr:rowOff>136501</xdr:rowOff>
    </xdr:to>
    <xdr:sp macro="" textlink="">
      <xdr:nvSpPr>
        <xdr:cNvPr id="245032" name="フリーフォーム: 図形 245031">
          <a:extLst>
            <a:ext uri="{FF2B5EF4-FFF2-40B4-BE49-F238E27FC236}">
              <a16:creationId xmlns:a16="http://schemas.microsoft.com/office/drawing/2014/main" id="{7DA19272-BB77-4BE1-BF7B-8D2F863329D1}"/>
            </a:ext>
          </a:extLst>
        </xdr:cNvPr>
        <xdr:cNvSpPr>
          <a:spLocks noChangeAspect="1"/>
        </xdr:cNvSpPr>
      </xdr:nvSpPr>
      <xdr:spPr>
        <a:xfrm>
          <a:off x="476928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5</xdr:row>
      <xdr:rowOff>114450</xdr:rowOff>
    </xdr:from>
    <xdr:to>
      <xdr:col>70</xdr:col>
      <xdr:colOff>118800</xdr:colOff>
      <xdr:row>11</xdr:row>
      <xdr:rowOff>21751</xdr:rowOff>
    </xdr:to>
    <xdr:sp macro="" textlink="">
      <xdr:nvSpPr>
        <xdr:cNvPr id="245033" name="フリーフォーム: 図形 245032">
          <a:extLst>
            <a:ext uri="{FF2B5EF4-FFF2-40B4-BE49-F238E27FC236}">
              <a16:creationId xmlns:a16="http://schemas.microsoft.com/office/drawing/2014/main" id="{01861546-32F3-4D5B-B9EE-84FB7384643B}"/>
            </a:ext>
          </a:extLst>
        </xdr:cNvPr>
        <xdr:cNvSpPr>
          <a:spLocks noChangeAspect="1"/>
        </xdr:cNvSpPr>
      </xdr:nvSpPr>
      <xdr:spPr>
        <a:xfrm>
          <a:off x="478727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10</xdr:row>
      <xdr:rowOff>139200</xdr:rowOff>
    </xdr:from>
    <xdr:to>
      <xdr:col>70</xdr:col>
      <xdr:colOff>388802</xdr:colOff>
      <xdr:row>11</xdr:row>
      <xdr:rowOff>111751</xdr:rowOff>
    </xdr:to>
    <xdr:sp macro="" textlink="">
      <xdr:nvSpPr>
        <xdr:cNvPr id="245034" name="フリーフォーム: 図形 245033">
          <a:extLst>
            <a:ext uri="{FF2B5EF4-FFF2-40B4-BE49-F238E27FC236}">
              <a16:creationId xmlns:a16="http://schemas.microsoft.com/office/drawing/2014/main" id="{664AF094-BE56-46CF-96CC-37440C333F82}"/>
            </a:ext>
          </a:extLst>
        </xdr:cNvPr>
        <xdr:cNvSpPr>
          <a:spLocks noChangeAspect="1"/>
        </xdr:cNvSpPr>
      </xdr:nvSpPr>
      <xdr:spPr>
        <a:xfrm>
          <a:off x="479448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10</xdr:row>
      <xdr:rowOff>139200</xdr:rowOff>
    </xdr:from>
    <xdr:to>
      <xdr:col>71</xdr:col>
      <xdr:colOff>207002</xdr:colOff>
      <xdr:row>11</xdr:row>
      <xdr:rowOff>111751</xdr:rowOff>
    </xdr:to>
    <xdr:sp macro="" textlink="">
      <xdr:nvSpPr>
        <xdr:cNvPr id="245035" name="フリーフォーム: 図形 245034">
          <a:extLst>
            <a:ext uri="{FF2B5EF4-FFF2-40B4-BE49-F238E27FC236}">
              <a16:creationId xmlns:a16="http://schemas.microsoft.com/office/drawing/2014/main" id="{8D805E11-FD80-47C7-875D-D85F5EC4AB72}"/>
            </a:ext>
          </a:extLst>
        </xdr:cNvPr>
        <xdr:cNvSpPr>
          <a:spLocks noChangeAspect="1"/>
        </xdr:cNvSpPr>
      </xdr:nvSpPr>
      <xdr:spPr>
        <a:xfrm>
          <a:off x="484488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6</xdr:row>
      <xdr:rowOff>51000</xdr:rowOff>
    </xdr:from>
    <xdr:to>
      <xdr:col>70</xdr:col>
      <xdr:colOff>406801</xdr:colOff>
      <xdr:row>11</xdr:row>
      <xdr:rowOff>3751</xdr:rowOff>
    </xdr:to>
    <xdr:sp macro="" textlink="">
      <xdr:nvSpPr>
        <xdr:cNvPr id="245036" name="フリーフォーム: 図形 245035">
          <a:extLst>
            <a:ext uri="{FF2B5EF4-FFF2-40B4-BE49-F238E27FC236}">
              <a16:creationId xmlns:a16="http://schemas.microsoft.com/office/drawing/2014/main" id="{928396BF-DF10-46AE-A5EE-01748A992424}"/>
            </a:ext>
          </a:extLst>
        </xdr:cNvPr>
        <xdr:cNvSpPr>
          <a:spLocks noChangeAspect="1"/>
        </xdr:cNvSpPr>
      </xdr:nvSpPr>
      <xdr:spPr>
        <a:xfrm>
          <a:off x="481428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5</xdr:row>
      <xdr:rowOff>114450</xdr:rowOff>
    </xdr:from>
    <xdr:to>
      <xdr:col>70</xdr:col>
      <xdr:colOff>658801</xdr:colOff>
      <xdr:row>10</xdr:row>
      <xdr:rowOff>157201</xdr:rowOff>
    </xdr:to>
    <xdr:sp macro="" textlink="">
      <xdr:nvSpPr>
        <xdr:cNvPr id="245037" name="フリーフォーム: 図形 245036">
          <a:extLst>
            <a:ext uri="{FF2B5EF4-FFF2-40B4-BE49-F238E27FC236}">
              <a16:creationId xmlns:a16="http://schemas.microsoft.com/office/drawing/2014/main" id="{313C57E6-8751-4539-AA58-29C5554DD2E4}"/>
            </a:ext>
          </a:extLst>
        </xdr:cNvPr>
        <xdr:cNvSpPr>
          <a:spLocks noChangeAspect="1"/>
        </xdr:cNvSpPr>
      </xdr:nvSpPr>
      <xdr:spPr>
        <a:xfrm>
          <a:off x="484128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6</xdr:row>
      <xdr:rowOff>69000</xdr:rowOff>
    </xdr:from>
    <xdr:to>
      <xdr:col>71</xdr:col>
      <xdr:colOff>297000</xdr:colOff>
      <xdr:row>11</xdr:row>
      <xdr:rowOff>3751</xdr:rowOff>
    </xdr:to>
    <xdr:sp macro="" textlink="">
      <xdr:nvSpPr>
        <xdr:cNvPr id="245038" name="フリーフォーム: 図形 245037">
          <a:extLst>
            <a:ext uri="{FF2B5EF4-FFF2-40B4-BE49-F238E27FC236}">
              <a16:creationId xmlns:a16="http://schemas.microsoft.com/office/drawing/2014/main" id="{7A3569EE-BDD9-4CA0-8407-0BC9F5064DEC}"/>
            </a:ext>
          </a:extLst>
        </xdr:cNvPr>
        <xdr:cNvSpPr>
          <a:spLocks noChangeAspect="1"/>
        </xdr:cNvSpPr>
      </xdr:nvSpPr>
      <xdr:spPr>
        <a:xfrm>
          <a:off x="484668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11</xdr:row>
      <xdr:rowOff>75750</xdr:rowOff>
    </xdr:from>
    <xdr:to>
      <xdr:col>71</xdr:col>
      <xdr:colOff>9002</xdr:colOff>
      <xdr:row>15</xdr:row>
      <xdr:rowOff>163951</xdr:rowOff>
    </xdr:to>
    <xdr:sp macro="" textlink="">
      <xdr:nvSpPr>
        <xdr:cNvPr id="245039" name="フリーフォーム: 図形 245038">
          <a:extLst>
            <a:ext uri="{FF2B5EF4-FFF2-40B4-BE49-F238E27FC236}">
              <a16:creationId xmlns:a16="http://schemas.microsoft.com/office/drawing/2014/main" id="{577EF736-FA02-439F-B04B-D4B67C1018CD}"/>
            </a:ext>
          </a:extLst>
        </xdr:cNvPr>
        <xdr:cNvSpPr>
          <a:spLocks noChangeAspect="1"/>
        </xdr:cNvSpPr>
      </xdr:nvSpPr>
      <xdr:spPr>
        <a:xfrm>
          <a:off x="484307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11</xdr:row>
      <xdr:rowOff>93750</xdr:rowOff>
    </xdr:from>
    <xdr:to>
      <xdr:col>70</xdr:col>
      <xdr:colOff>424800</xdr:colOff>
      <xdr:row>16</xdr:row>
      <xdr:rowOff>118501</xdr:rowOff>
    </xdr:to>
    <xdr:sp macro="" textlink="">
      <xdr:nvSpPr>
        <xdr:cNvPr id="245040" name="フリーフォーム: 図形 245039">
          <a:extLst>
            <a:ext uri="{FF2B5EF4-FFF2-40B4-BE49-F238E27FC236}">
              <a16:creationId xmlns:a16="http://schemas.microsoft.com/office/drawing/2014/main" id="{9FA8B0BC-500E-4C0F-9A29-DEF14516DEAD}"/>
            </a:ext>
          </a:extLst>
        </xdr:cNvPr>
        <xdr:cNvSpPr>
          <a:spLocks noChangeAspect="1"/>
        </xdr:cNvSpPr>
      </xdr:nvSpPr>
      <xdr:spPr>
        <a:xfrm>
          <a:off x="481968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11</xdr:row>
      <xdr:rowOff>75750</xdr:rowOff>
    </xdr:from>
    <xdr:to>
      <xdr:col>70</xdr:col>
      <xdr:colOff>388802</xdr:colOff>
      <xdr:row>16</xdr:row>
      <xdr:rowOff>10501</xdr:rowOff>
    </xdr:to>
    <xdr:sp macro="" textlink="">
      <xdr:nvSpPr>
        <xdr:cNvPr id="245041" name="フリーフォーム: 図形 245040">
          <a:extLst>
            <a:ext uri="{FF2B5EF4-FFF2-40B4-BE49-F238E27FC236}">
              <a16:creationId xmlns:a16="http://schemas.microsoft.com/office/drawing/2014/main" id="{54FB7C1F-6F4B-4AB8-A806-3666F02867FC}"/>
            </a:ext>
          </a:extLst>
        </xdr:cNvPr>
        <xdr:cNvSpPr>
          <a:spLocks noChangeAspect="1"/>
        </xdr:cNvSpPr>
      </xdr:nvSpPr>
      <xdr:spPr>
        <a:xfrm>
          <a:off x="478727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5</xdr:row>
      <xdr:rowOff>42450</xdr:rowOff>
    </xdr:from>
    <xdr:to>
      <xdr:col>73</xdr:col>
      <xdr:colOff>322201</xdr:colOff>
      <xdr:row>6</xdr:row>
      <xdr:rowOff>15001</xdr:rowOff>
    </xdr:to>
    <xdr:sp macro="" textlink="">
      <xdr:nvSpPr>
        <xdr:cNvPr id="245042" name="フリーフォーム: 図形 245041">
          <a:extLst>
            <a:ext uri="{FF2B5EF4-FFF2-40B4-BE49-F238E27FC236}">
              <a16:creationId xmlns:a16="http://schemas.microsoft.com/office/drawing/2014/main" id="{42039790-BECD-4C07-A503-3DA0F0C4B4E1}"/>
            </a:ext>
          </a:extLst>
        </xdr:cNvPr>
        <xdr:cNvSpPr>
          <a:spLocks noChangeAspect="1"/>
        </xdr:cNvSpPr>
      </xdr:nvSpPr>
      <xdr:spPr>
        <a:xfrm>
          <a:off x="49917601" y="11664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5</xdr:row>
      <xdr:rowOff>42450</xdr:rowOff>
    </xdr:from>
    <xdr:to>
      <xdr:col>74</xdr:col>
      <xdr:colOff>176400</xdr:colOff>
      <xdr:row>6</xdr:row>
      <xdr:rowOff>15001</xdr:rowOff>
    </xdr:to>
    <xdr:sp macro="" textlink="">
      <xdr:nvSpPr>
        <xdr:cNvPr id="245043" name="フリーフォーム: 図形 245042">
          <a:extLst>
            <a:ext uri="{FF2B5EF4-FFF2-40B4-BE49-F238E27FC236}">
              <a16:creationId xmlns:a16="http://schemas.microsoft.com/office/drawing/2014/main" id="{38CBE8A1-72CD-40D3-B29B-81DA10687420}"/>
            </a:ext>
          </a:extLst>
        </xdr:cNvPr>
        <xdr:cNvSpPr>
          <a:spLocks noChangeAspect="1"/>
        </xdr:cNvSpPr>
      </xdr:nvSpPr>
      <xdr:spPr>
        <a:xfrm>
          <a:off x="50457599" y="11664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5</xdr:row>
      <xdr:rowOff>114450</xdr:rowOff>
    </xdr:from>
    <xdr:to>
      <xdr:col>74</xdr:col>
      <xdr:colOff>248401</xdr:colOff>
      <xdr:row>11</xdr:row>
      <xdr:rowOff>21751</xdr:rowOff>
    </xdr:to>
    <xdr:sp macro="" textlink="">
      <xdr:nvSpPr>
        <xdr:cNvPr id="245044" name="フリーフォーム: 図形 245043">
          <a:extLst>
            <a:ext uri="{FF2B5EF4-FFF2-40B4-BE49-F238E27FC236}">
              <a16:creationId xmlns:a16="http://schemas.microsoft.com/office/drawing/2014/main" id="{FB6D2283-D6CE-4565-B6D5-DF39A1B944A5}"/>
            </a:ext>
          </a:extLst>
        </xdr:cNvPr>
        <xdr:cNvSpPr>
          <a:spLocks noChangeAspect="1"/>
        </xdr:cNvSpPr>
      </xdr:nvSpPr>
      <xdr:spPr>
        <a:xfrm>
          <a:off x="50709599" y="12384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11</xdr:row>
      <xdr:rowOff>75750</xdr:rowOff>
    </xdr:from>
    <xdr:to>
      <xdr:col>74</xdr:col>
      <xdr:colOff>68400</xdr:colOff>
      <xdr:row>16</xdr:row>
      <xdr:rowOff>136501</xdr:rowOff>
    </xdr:to>
    <xdr:sp macro="" textlink="">
      <xdr:nvSpPr>
        <xdr:cNvPr id="245045" name="フリーフォーム: 図形 245044">
          <a:extLst>
            <a:ext uri="{FF2B5EF4-FFF2-40B4-BE49-F238E27FC236}">
              <a16:creationId xmlns:a16="http://schemas.microsoft.com/office/drawing/2014/main" id="{E6164EF8-2CAB-4C47-A217-EC2D08C8DE17}"/>
            </a:ext>
          </a:extLst>
        </xdr:cNvPr>
        <xdr:cNvSpPr>
          <a:spLocks noChangeAspect="1"/>
        </xdr:cNvSpPr>
      </xdr:nvSpPr>
      <xdr:spPr>
        <a:xfrm>
          <a:off x="50529601" y="22284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16</xdr:row>
      <xdr:rowOff>64500</xdr:rowOff>
    </xdr:from>
    <xdr:to>
      <xdr:col>72</xdr:col>
      <xdr:colOff>684000</xdr:colOff>
      <xdr:row>17</xdr:row>
      <xdr:rowOff>37051</xdr:rowOff>
    </xdr:to>
    <xdr:sp macro="" textlink="">
      <xdr:nvSpPr>
        <xdr:cNvPr id="245046" name="フリーフォーム: 図形 245045">
          <a:extLst>
            <a:ext uri="{FF2B5EF4-FFF2-40B4-BE49-F238E27FC236}">
              <a16:creationId xmlns:a16="http://schemas.microsoft.com/office/drawing/2014/main" id="{BE3DB687-C8BF-4793-8E68-502F981F16A2}"/>
            </a:ext>
          </a:extLst>
        </xdr:cNvPr>
        <xdr:cNvSpPr>
          <a:spLocks noChangeAspect="1"/>
        </xdr:cNvSpPr>
      </xdr:nvSpPr>
      <xdr:spPr>
        <a:xfrm>
          <a:off x="495756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16</xdr:row>
      <xdr:rowOff>64500</xdr:rowOff>
    </xdr:from>
    <xdr:to>
      <xdr:col>73</xdr:col>
      <xdr:colOff>502200</xdr:colOff>
      <xdr:row>17</xdr:row>
      <xdr:rowOff>37051</xdr:rowOff>
    </xdr:to>
    <xdr:sp macro="" textlink="">
      <xdr:nvSpPr>
        <xdr:cNvPr id="245047" name="フリーフォーム: 図形 245046">
          <a:extLst>
            <a:ext uri="{FF2B5EF4-FFF2-40B4-BE49-F238E27FC236}">
              <a16:creationId xmlns:a16="http://schemas.microsoft.com/office/drawing/2014/main" id="{614423DA-EACB-4971-B63D-4E3F5514F962}"/>
            </a:ext>
          </a:extLst>
        </xdr:cNvPr>
        <xdr:cNvSpPr>
          <a:spLocks noChangeAspect="1"/>
        </xdr:cNvSpPr>
      </xdr:nvSpPr>
      <xdr:spPr>
        <a:xfrm>
          <a:off x="50097599" y="3074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11</xdr:row>
      <xdr:rowOff>75750</xdr:rowOff>
    </xdr:from>
    <xdr:to>
      <xdr:col>72</xdr:col>
      <xdr:colOff>432003</xdr:colOff>
      <xdr:row>16</xdr:row>
      <xdr:rowOff>136501</xdr:rowOff>
    </xdr:to>
    <xdr:sp macro="" textlink="">
      <xdr:nvSpPr>
        <xdr:cNvPr id="245048" name="フリーフォーム: 図形 245047">
          <a:extLst>
            <a:ext uri="{FF2B5EF4-FFF2-40B4-BE49-F238E27FC236}">
              <a16:creationId xmlns:a16="http://schemas.microsoft.com/office/drawing/2014/main" id="{AA4C79E9-BCA2-429B-B265-9C7261CA32F0}"/>
            </a:ext>
          </a:extLst>
        </xdr:cNvPr>
        <xdr:cNvSpPr>
          <a:spLocks noChangeAspect="1"/>
        </xdr:cNvSpPr>
      </xdr:nvSpPr>
      <xdr:spPr>
        <a:xfrm>
          <a:off x="495216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5</xdr:row>
      <xdr:rowOff>114450</xdr:rowOff>
    </xdr:from>
    <xdr:to>
      <xdr:col>72</xdr:col>
      <xdr:colOff>576000</xdr:colOff>
      <xdr:row>11</xdr:row>
      <xdr:rowOff>21751</xdr:rowOff>
    </xdr:to>
    <xdr:sp macro="" textlink="">
      <xdr:nvSpPr>
        <xdr:cNvPr id="245049" name="フリーフォーム: 図形 245048">
          <a:extLst>
            <a:ext uri="{FF2B5EF4-FFF2-40B4-BE49-F238E27FC236}">
              <a16:creationId xmlns:a16="http://schemas.microsoft.com/office/drawing/2014/main" id="{B60FB439-B369-48C4-AE04-B5DE5FA12F4F}"/>
            </a:ext>
          </a:extLst>
        </xdr:cNvPr>
        <xdr:cNvSpPr>
          <a:spLocks noChangeAspect="1"/>
        </xdr:cNvSpPr>
      </xdr:nvSpPr>
      <xdr:spPr>
        <a:xfrm>
          <a:off x="497015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10</xdr:row>
      <xdr:rowOff>139200</xdr:rowOff>
    </xdr:from>
    <xdr:to>
      <xdr:col>73</xdr:col>
      <xdr:colOff>160202</xdr:colOff>
      <xdr:row>11</xdr:row>
      <xdr:rowOff>111751</xdr:rowOff>
    </xdr:to>
    <xdr:sp macro="" textlink="">
      <xdr:nvSpPr>
        <xdr:cNvPr id="245050" name="フリーフォーム: 図形 245049">
          <a:extLst>
            <a:ext uri="{FF2B5EF4-FFF2-40B4-BE49-F238E27FC236}">
              <a16:creationId xmlns:a16="http://schemas.microsoft.com/office/drawing/2014/main" id="{F6ECACF1-BB8C-4AD9-8FDE-100BBC73A014}"/>
            </a:ext>
          </a:extLst>
        </xdr:cNvPr>
        <xdr:cNvSpPr>
          <a:spLocks noChangeAspect="1"/>
        </xdr:cNvSpPr>
      </xdr:nvSpPr>
      <xdr:spPr>
        <a:xfrm>
          <a:off x="497736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10</xdr:row>
      <xdr:rowOff>139200</xdr:rowOff>
    </xdr:from>
    <xdr:to>
      <xdr:col>73</xdr:col>
      <xdr:colOff>664202</xdr:colOff>
      <xdr:row>11</xdr:row>
      <xdr:rowOff>111751</xdr:rowOff>
    </xdr:to>
    <xdr:sp macro="" textlink="">
      <xdr:nvSpPr>
        <xdr:cNvPr id="245051" name="フリーフォーム: 図形 245050">
          <a:extLst>
            <a:ext uri="{FF2B5EF4-FFF2-40B4-BE49-F238E27FC236}">
              <a16:creationId xmlns:a16="http://schemas.microsoft.com/office/drawing/2014/main" id="{F5FB444E-5BC6-4B72-BD85-DD1BBB13F48F}"/>
            </a:ext>
          </a:extLst>
        </xdr:cNvPr>
        <xdr:cNvSpPr>
          <a:spLocks noChangeAspect="1"/>
        </xdr:cNvSpPr>
      </xdr:nvSpPr>
      <xdr:spPr>
        <a:xfrm>
          <a:off x="50277601" y="21204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6</xdr:row>
      <xdr:rowOff>51000</xdr:rowOff>
    </xdr:from>
    <xdr:to>
      <xdr:col>73</xdr:col>
      <xdr:colOff>178201</xdr:colOff>
      <xdr:row>11</xdr:row>
      <xdr:rowOff>3751</xdr:rowOff>
    </xdr:to>
    <xdr:sp macro="" textlink="">
      <xdr:nvSpPr>
        <xdr:cNvPr id="245052" name="フリーフォーム: 図形 245051">
          <a:extLst>
            <a:ext uri="{FF2B5EF4-FFF2-40B4-BE49-F238E27FC236}">
              <a16:creationId xmlns:a16="http://schemas.microsoft.com/office/drawing/2014/main" id="{7F183F61-66DD-4484-B372-CF497B140B99}"/>
            </a:ext>
          </a:extLst>
        </xdr:cNvPr>
        <xdr:cNvSpPr>
          <a:spLocks noChangeAspect="1"/>
        </xdr:cNvSpPr>
      </xdr:nvSpPr>
      <xdr:spPr>
        <a:xfrm>
          <a:off x="49971601" y="13464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5</xdr:row>
      <xdr:rowOff>114450</xdr:rowOff>
    </xdr:from>
    <xdr:to>
      <xdr:col>73</xdr:col>
      <xdr:colOff>430201</xdr:colOff>
      <xdr:row>10</xdr:row>
      <xdr:rowOff>157201</xdr:rowOff>
    </xdr:to>
    <xdr:sp macro="" textlink="">
      <xdr:nvSpPr>
        <xdr:cNvPr id="245053" name="フリーフォーム: 図形 245052">
          <a:extLst>
            <a:ext uri="{FF2B5EF4-FFF2-40B4-BE49-F238E27FC236}">
              <a16:creationId xmlns:a16="http://schemas.microsoft.com/office/drawing/2014/main" id="{6141BBB6-3283-49B0-A45D-FED03D86924D}"/>
            </a:ext>
          </a:extLst>
        </xdr:cNvPr>
        <xdr:cNvSpPr>
          <a:spLocks noChangeAspect="1"/>
        </xdr:cNvSpPr>
      </xdr:nvSpPr>
      <xdr:spPr>
        <a:xfrm>
          <a:off x="50241600" y="12384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6</xdr:row>
      <xdr:rowOff>69000</xdr:rowOff>
    </xdr:from>
    <xdr:to>
      <xdr:col>74</xdr:col>
      <xdr:colOff>68400</xdr:colOff>
      <xdr:row>11</xdr:row>
      <xdr:rowOff>3751</xdr:rowOff>
    </xdr:to>
    <xdr:sp macro="" textlink="">
      <xdr:nvSpPr>
        <xdr:cNvPr id="245054" name="フリーフォーム: 図形 245053">
          <a:extLst>
            <a:ext uri="{FF2B5EF4-FFF2-40B4-BE49-F238E27FC236}">
              <a16:creationId xmlns:a16="http://schemas.microsoft.com/office/drawing/2014/main" id="{B9873645-E251-4A7D-8CED-54F2D08C54AA}"/>
            </a:ext>
          </a:extLst>
        </xdr:cNvPr>
        <xdr:cNvSpPr>
          <a:spLocks noChangeAspect="1"/>
        </xdr:cNvSpPr>
      </xdr:nvSpPr>
      <xdr:spPr>
        <a:xfrm>
          <a:off x="50295600" y="13644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11</xdr:row>
      <xdr:rowOff>75750</xdr:rowOff>
    </xdr:from>
    <xdr:to>
      <xdr:col>73</xdr:col>
      <xdr:colOff>466202</xdr:colOff>
      <xdr:row>15</xdr:row>
      <xdr:rowOff>163951</xdr:rowOff>
    </xdr:to>
    <xdr:sp macro="" textlink="">
      <xdr:nvSpPr>
        <xdr:cNvPr id="245055" name="フリーフォーム: 図形 245054">
          <a:extLst>
            <a:ext uri="{FF2B5EF4-FFF2-40B4-BE49-F238E27FC236}">
              <a16:creationId xmlns:a16="http://schemas.microsoft.com/office/drawing/2014/main" id="{F545DA6E-E34A-4E68-B9DD-021E1750FB68}"/>
            </a:ext>
          </a:extLst>
        </xdr:cNvPr>
        <xdr:cNvSpPr>
          <a:spLocks noChangeAspect="1"/>
        </xdr:cNvSpPr>
      </xdr:nvSpPr>
      <xdr:spPr>
        <a:xfrm>
          <a:off x="50259599" y="22284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11</xdr:row>
      <xdr:rowOff>93750</xdr:rowOff>
    </xdr:from>
    <xdr:to>
      <xdr:col>73</xdr:col>
      <xdr:colOff>196200</xdr:colOff>
      <xdr:row>16</xdr:row>
      <xdr:rowOff>118501</xdr:rowOff>
    </xdr:to>
    <xdr:sp macro="" textlink="">
      <xdr:nvSpPr>
        <xdr:cNvPr id="245056" name="フリーフォーム: 図形 245055">
          <a:extLst>
            <a:ext uri="{FF2B5EF4-FFF2-40B4-BE49-F238E27FC236}">
              <a16:creationId xmlns:a16="http://schemas.microsoft.com/office/drawing/2014/main" id="{2C95A8EF-B86C-49B6-9614-DBBAE81862F3}"/>
            </a:ext>
          </a:extLst>
        </xdr:cNvPr>
        <xdr:cNvSpPr>
          <a:spLocks noChangeAspect="1"/>
        </xdr:cNvSpPr>
      </xdr:nvSpPr>
      <xdr:spPr>
        <a:xfrm>
          <a:off x="50025601" y="22464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11</xdr:row>
      <xdr:rowOff>75750</xdr:rowOff>
    </xdr:from>
    <xdr:to>
      <xdr:col>73</xdr:col>
      <xdr:colOff>160202</xdr:colOff>
      <xdr:row>16</xdr:row>
      <xdr:rowOff>10501</xdr:rowOff>
    </xdr:to>
    <xdr:sp macro="" textlink="">
      <xdr:nvSpPr>
        <xdr:cNvPr id="245057" name="フリーフォーム: 図形 245056">
          <a:extLst>
            <a:ext uri="{FF2B5EF4-FFF2-40B4-BE49-F238E27FC236}">
              <a16:creationId xmlns:a16="http://schemas.microsoft.com/office/drawing/2014/main" id="{0B781AF0-4CE6-4E6F-96E6-413FCCE3E57B}"/>
            </a:ext>
          </a:extLst>
        </xdr:cNvPr>
        <xdr:cNvSpPr>
          <a:spLocks noChangeAspect="1"/>
        </xdr:cNvSpPr>
      </xdr:nvSpPr>
      <xdr:spPr>
        <a:xfrm>
          <a:off x="497015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5</xdr:row>
      <xdr:rowOff>42450</xdr:rowOff>
    </xdr:from>
    <xdr:to>
      <xdr:col>76</xdr:col>
      <xdr:colOff>93601</xdr:colOff>
      <xdr:row>6</xdr:row>
      <xdr:rowOff>15001</xdr:rowOff>
    </xdr:to>
    <xdr:sp macro="" textlink="">
      <xdr:nvSpPr>
        <xdr:cNvPr id="245058" name="フリーフォーム: 図形 245057">
          <a:extLst>
            <a:ext uri="{FF2B5EF4-FFF2-40B4-BE49-F238E27FC236}">
              <a16:creationId xmlns:a16="http://schemas.microsoft.com/office/drawing/2014/main" id="{48F27856-5F7E-435A-9717-39385EACD137}"/>
            </a:ext>
          </a:extLst>
        </xdr:cNvPr>
        <xdr:cNvSpPr>
          <a:spLocks noChangeAspect="1"/>
        </xdr:cNvSpPr>
      </xdr:nvSpPr>
      <xdr:spPr>
        <a:xfrm>
          <a:off x="51746401" y="1166400"/>
          <a:ext cx="468000" cy="144001"/>
        </a:xfrm>
        <a:custGeom>
          <a:avLst/>
          <a:gdLst/>
          <a:ahLst/>
          <a:cxnLst/>
          <a:rect l="0" t="0" r="0" b="0"/>
          <a:pathLst>
            <a:path w="468000" h="144001">
              <a:moveTo>
                <a:pt x="71999" y="0"/>
              </a:moveTo>
              <a:lnTo>
                <a:pt x="432002"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5</xdr:row>
      <xdr:rowOff>42450</xdr:rowOff>
    </xdr:from>
    <xdr:to>
      <xdr:col>76</xdr:col>
      <xdr:colOff>633600</xdr:colOff>
      <xdr:row>6</xdr:row>
      <xdr:rowOff>15001</xdr:rowOff>
    </xdr:to>
    <xdr:sp macro="" textlink="">
      <xdr:nvSpPr>
        <xdr:cNvPr id="245059" name="フリーフォーム: 図形 245058">
          <a:extLst>
            <a:ext uri="{FF2B5EF4-FFF2-40B4-BE49-F238E27FC236}">
              <a16:creationId xmlns:a16="http://schemas.microsoft.com/office/drawing/2014/main" id="{637B4D06-5C17-4BDB-8EF2-D546D32138F9}"/>
            </a:ext>
          </a:extLst>
        </xdr:cNvPr>
        <xdr:cNvSpPr>
          <a:spLocks noChangeAspect="1"/>
        </xdr:cNvSpPr>
      </xdr:nvSpPr>
      <xdr:spPr>
        <a:xfrm>
          <a:off x="52286402" y="11664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5</xdr:row>
      <xdr:rowOff>114450</xdr:rowOff>
    </xdr:from>
    <xdr:to>
      <xdr:col>77</xdr:col>
      <xdr:colOff>19801</xdr:colOff>
      <xdr:row>11</xdr:row>
      <xdr:rowOff>21751</xdr:rowOff>
    </xdr:to>
    <xdr:sp macro="" textlink="">
      <xdr:nvSpPr>
        <xdr:cNvPr id="245060" name="フリーフォーム: 図形 245059">
          <a:extLst>
            <a:ext uri="{FF2B5EF4-FFF2-40B4-BE49-F238E27FC236}">
              <a16:creationId xmlns:a16="http://schemas.microsoft.com/office/drawing/2014/main" id="{B6331DA5-9348-40B1-877A-43499144917F}"/>
            </a:ext>
          </a:extLst>
        </xdr:cNvPr>
        <xdr:cNvSpPr>
          <a:spLocks noChangeAspect="1"/>
        </xdr:cNvSpPr>
      </xdr:nvSpPr>
      <xdr:spPr>
        <a:xfrm>
          <a:off x="52538399" y="12384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11</xdr:row>
      <xdr:rowOff>75750</xdr:rowOff>
    </xdr:from>
    <xdr:to>
      <xdr:col>76</xdr:col>
      <xdr:colOff>525600</xdr:colOff>
      <xdr:row>16</xdr:row>
      <xdr:rowOff>136501</xdr:rowOff>
    </xdr:to>
    <xdr:sp macro="" textlink="">
      <xdr:nvSpPr>
        <xdr:cNvPr id="245061" name="フリーフォーム: 図形 245060">
          <a:extLst>
            <a:ext uri="{FF2B5EF4-FFF2-40B4-BE49-F238E27FC236}">
              <a16:creationId xmlns:a16="http://schemas.microsoft.com/office/drawing/2014/main" id="{E27CA09A-ABBD-44DB-BD85-F18574B3932B}"/>
            </a:ext>
          </a:extLst>
        </xdr:cNvPr>
        <xdr:cNvSpPr>
          <a:spLocks noChangeAspect="1"/>
        </xdr:cNvSpPr>
      </xdr:nvSpPr>
      <xdr:spPr>
        <a:xfrm>
          <a:off x="52358398" y="22284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16</xdr:row>
      <xdr:rowOff>64500</xdr:rowOff>
    </xdr:from>
    <xdr:to>
      <xdr:col>75</xdr:col>
      <xdr:colOff>455400</xdr:colOff>
      <xdr:row>17</xdr:row>
      <xdr:rowOff>37051</xdr:rowOff>
    </xdr:to>
    <xdr:sp macro="" textlink="">
      <xdr:nvSpPr>
        <xdr:cNvPr id="245062" name="フリーフォーム: 図形 245061">
          <a:extLst>
            <a:ext uri="{FF2B5EF4-FFF2-40B4-BE49-F238E27FC236}">
              <a16:creationId xmlns:a16="http://schemas.microsoft.com/office/drawing/2014/main" id="{0C51B346-8D93-4E8B-8477-FCCAB59DB267}"/>
            </a:ext>
          </a:extLst>
        </xdr:cNvPr>
        <xdr:cNvSpPr>
          <a:spLocks noChangeAspect="1"/>
        </xdr:cNvSpPr>
      </xdr:nvSpPr>
      <xdr:spPr>
        <a:xfrm>
          <a:off x="51404400" y="3074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16</xdr:row>
      <xdr:rowOff>64500</xdr:rowOff>
    </xdr:from>
    <xdr:to>
      <xdr:col>76</xdr:col>
      <xdr:colOff>273603</xdr:colOff>
      <xdr:row>17</xdr:row>
      <xdr:rowOff>37051</xdr:rowOff>
    </xdr:to>
    <xdr:sp macro="" textlink="">
      <xdr:nvSpPr>
        <xdr:cNvPr id="245063" name="フリーフォーム: 図形 245062">
          <a:extLst>
            <a:ext uri="{FF2B5EF4-FFF2-40B4-BE49-F238E27FC236}">
              <a16:creationId xmlns:a16="http://schemas.microsoft.com/office/drawing/2014/main" id="{E76F6B19-BB66-4505-B6B1-924DE584966F}"/>
            </a:ext>
          </a:extLst>
        </xdr:cNvPr>
        <xdr:cNvSpPr>
          <a:spLocks noChangeAspect="1"/>
        </xdr:cNvSpPr>
      </xdr:nvSpPr>
      <xdr:spPr>
        <a:xfrm>
          <a:off x="51926399" y="30744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11</xdr:row>
      <xdr:rowOff>75750</xdr:rowOff>
    </xdr:from>
    <xdr:to>
      <xdr:col>75</xdr:col>
      <xdr:colOff>203403</xdr:colOff>
      <xdr:row>16</xdr:row>
      <xdr:rowOff>136501</xdr:rowOff>
    </xdr:to>
    <xdr:sp macro="" textlink="">
      <xdr:nvSpPr>
        <xdr:cNvPr id="245064" name="フリーフォーム: 図形 245063">
          <a:extLst>
            <a:ext uri="{FF2B5EF4-FFF2-40B4-BE49-F238E27FC236}">
              <a16:creationId xmlns:a16="http://schemas.microsoft.com/office/drawing/2014/main" id="{315B0C62-4AFF-4CAD-905F-CC7D3EBC171F}"/>
            </a:ext>
          </a:extLst>
        </xdr:cNvPr>
        <xdr:cNvSpPr>
          <a:spLocks noChangeAspect="1"/>
        </xdr:cNvSpPr>
      </xdr:nvSpPr>
      <xdr:spPr>
        <a:xfrm>
          <a:off x="51350401" y="22284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5</xdr:row>
      <xdr:rowOff>114450</xdr:rowOff>
    </xdr:from>
    <xdr:to>
      <xdr:col>75</xdr:col>
      <xdr:colOff>347400</xdr:colOff>
      <xdr:row>11</xdr:row>
      <xdr:rowOff>21751</xdr:rowOff>
    </xdr:to>
    <xdr:sp macro="" textlink="">
      <xdr:nvSpPr>
        <xdr:cNvPr id="245065" name="フリーフォーム: 図形 245064">
          <a:extLst>
            <a:ext uri="{FF2B5EF4-FFF2-40B4-BE49-F238E27FC236}">
              <a16:creationId xmlns:a16="http://schemas.microsoft.com/office/drawing/2014/main" id="{B87060D0-A4D4-43E3-B3FA-A38B73EA1C6C}"/>
            </a:ext>
          </a:extLst>
        </xdr:cNvPr>
        <xdr:cNvSpPr>
          <a:spLocks noChangeAspect="1"/>
        </xdr:cNvSpPr>
      </xdr:nvSpPr>
      <xdr:spPr>
        <a:xfrm>
          <a:off x="51530399" y="12384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10</xdr:row>
      <xdr:rowOff>139200</xdr:rowOff>
    </xdr:from>
    <xdr:to>
      <xdr:col>75</xdr:col>
      <xdr:colOff>617402</xdr:colOff>
      <xdr:row>11</xdr:row>
      <xdr:rowOff>111751</xdr:rowOff>
    </xdr:to>
    <xdr:sp macro="" textlink="">
      <xdr:nvSpPr>
        <xdr:cNvPr id="245066" name="フリーフォーム: 図形 245065">
          <a:extLst>
            <a:ext uri="{FF2B5EF4-FFF2-40B4-BE49-F238E27FC236}">
              <a16:creationId xmlns:a16="http://schemas.microsoft.com/office/drawing/2014/main" id="{3AB3A86A-78B8-45BE-848D-09BE5678C569}"/>
            </a:ext>
          </a:extLst>
        </xdr:cNvPr>
        <xdr:cNvSpPr>
          <a:spLocks noChangeAspect="1"/>
        </xdr:cNvSpPr>
      </xdr:nvSpPr>
      <xdr:spPr>
        <a:xfrm>
          <a:off x="51602401" y="21204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10</xdr:row>
      <xdr:rowOff>139200</xdr:rowOff>
    </xdr:from>
    <xdr:to>
      <xdr:col>76</xdr:col>
      <xdr:colOff>435602</xdr:colOff>
      <xdr:row>11</xdr:row>
      <xdr:rowOff>111751</xdr:rowOff>
    </xdr:to>
    <xdr:sp macro="" textlink="">
      <xdr:nvSpPr>
        <xdr:cNvPr id="245067" name="フリーフォーム: 図形 245066">
          <a:extLst>
            <a:ext uri="{FF2B5EF4-FFF2-40B4-BE49-F238E27FC236}">
              <a16:creationId xmlns:a16="http://schemas.microsoft.com/office/drawing/2014/main" id="{E87F4B64-13A8-413D-8891-0D975C200F57}"/>
            </a:ext>
          </a:extLst>
        </xdr:cNvPr>
        <xdr:cNvSpPr>
          <a:spLocks noChangeAspect="1"/>
        </xdr:cNvSpPr>
      </xdr:nvSpPr>
      <xdr:spPr>
        <a:xfrm>
          <a:off x="52106401" y="21204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6</xdr:row>
      <xdr:rowOff>51000</xdr:rowOff>
    </xdr:from>
    <xdr:to>
      <xdr:col>75</xdr:col>
      <xdr:colOff>635404</xdr:colOff>
      <xdr:row>11</xdr:row>
      <xdr:rowOff>3751</xdr:rowOff>
    </xdr:to>
    <xdr:sp macro="" textlink="">
      <xdr:nvSpPr>
        <xdr:cNvPr id="245068" name="フリーフォーム: 図形 245067">
          <a:extLst>
            <a:ext uri="{FF2B5EF4-FFF2-40B4-BE49-F238E27FC236}">
              <a16:creationId xmlns:a16="http://schemas.microsoft.com/office/drawing/2014/main" id="{A93DE5E5-4896-4E46-A7A7-4F68A3A4848D}"/>
            </a:ext>
          </a:extLst>
        </xdr:cNvPr>
        <xdr:cNvSpPr>
          <a:spLocks noChangeAspect="1"/>
        </xdr:cNvSpPr>
      </xdr:nvSpPr>
      <xdr:spPr>
        <a:xfrm>
          <a:off x="51800401" y="1346400"/>
          <a:ext cx="270003" cy="810001"/>
        </a:xfrm>
        <a:custGeom>
          <a:avLst/>
          <a:gdLst/>
          <a:ahLst/>
          <a:cxnLst/>
          <a:rect l="0" t="0" r="0" b="0"/>
          <a:pathLst>
            <a:path w="270003" h="810001">
              <a:moveTo>
                <a:pt x="0" y="180000"/>
              </a:moveTo>
              <a:lnTo>
                <a:pt x="17999" y="0"/>
              </a:lnTo>
              <a:lnTo>
                <a:pt x="108000" y="108000"/>
              </a:lnTo>
              <a:lnTo>
                <a:pt x="215999" y="468000"/>
              </a:lnTo>
              <a:lnTo>
                <a:pt x="270002"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5</xdr:row>
      <xdr:rowOff>114450</xdr:rowOff>
    </xdr:from>
    <xdr:to>
      <xdr:col>76</xdr:col>
      <xdr:colOff>201601</xdr:colOff>
      <xdr:row>10</xdr:row>
      <xdr:rowOff>157201</xdr:rowOff>
    </xdr:to>
    <xdr:sp macro="" textlink="">
      <xdr:nvSpPr>
        <xdr:cNvPr id="245069" name="フリーフォーム: 図形 245068">
          <a:extLst>
            <a:ext uri="{FF2B5EF4-FFF2-40B4-BE49-F238E27FC236}">
              <a16:creationId xmlns:a16="http://schemas.microsoft.com/office/drawing/2014/main" id="{D808DBF4-DE5B-4EEB-A865-4261583E609A}"/>
            </a:ext>
          </a:extLst>
        </xdr:cNvPr>
        <xdr:cNvSpPr>
          <a:spLocks noChangeAspect="1"/>
        </xdr:cNvSpPr>
      </xdr:nvSpPr>
      <xdr:spPr>
        <a:xfrm>
          <a:off x="52070403" y="12384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6</xdr:row>
      <xdr:rowOff>69000</xdr:rowOff>
    </xdr:from>
    <xdr:to>
      <xdr:col>76</xdr:col>
      <xdr:colOff>525600</xdr:colOff>
      <xdr:row>11</xdr:row>
      <xdr:rowOff>3751</xdr:rowOff>
    </xdr:to>
    <xdr:sp macro="" textlink="">
      <xdr:nvSpPr>
        <xdr:cNvPr id="245070" name="フリーフォーム: 図形 245069">
          <a:extLst>
            <a:ext uri="{FF2B5EF4-FFF2-40B4-BE49-F238E27FC236}">
              <a16:creationId xmlns:a16="http://schemas.microsoft.com/office/drawing/2014/main" id="{AE683907-9107-4693-B920-5A584E57FBC2}"/>
            </a:ext>
          </a:extLst>
        </xdr:cNvPr>
        <xdr:cNvSpPr>
          <a:spLocks noChangeAspect="1"/>
        </xdr:cNvSpPr>
      </xdr:nvSpPr>
      <xdr:spPr>
        <a:xfrm>
          <a:off x="52124403" y="13644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11</xdr:row>
      <xdr:rowOff>75750</xdr:rowOff>
    </xdr:from>
    <xdr:to>
      <xdr:col>76</xdr:col>
      <xdr:colOff>237599</xdr:colOff>
      <xdr:row>15</xdr:row>
      <xdr:rowOff>163951</xdr:rowOff>
    </xdr:to>
    <xdr:sp macro="" textlink="">
      <xdr:nvSpPr>
        <xdr:cNvPr id="245071" name="フリーフォーム: 図形 245070">
          <a:extLst>
            <a:ext uri="{FF2B5EF4-FFF2-40B4-BE49-F238E27FC236}">
              <a16:creationId xmlns:a16="http://schemas.microsoft.com/office/drawing/2014/main" id="{52374AE2-41EB-416A-BF0A-05C36DA6B551}"/>
            </a:ext>
          </a:extLst>
        </xdr:cNvPr>
        <xdr:cNvSpPr>
          <a:spLocks noChangeAspect="1"/>
        </xdr:cNvSpPr>
      </xdr:nvSpPr>
      <xdr:spPr>
        <a:xfrm>
          <a:off x="52088399" y="22284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11</xdr:row>
      <xdr:rowOff>93750</xdr:rowOff>
    </xdr:from>
    <xdr:to>
      <xdr:col>75</xdr:col>
      <xdr:colOff>653400</xdr:colOff>
      <xdr:row>16</xdr:row>
      <xdr:rowOff>118501</xdr:rowOff>
    </xdr:to>
    <xdr:sp macro="" textlink="">
      <xdr:nvSpPr>
        <xdr:cNvPr id="245072" name="フリーフォーム: 図形 245071">
          <a:extLst>
            <a:ext uri="{FF2B5EF4-FFF2-40B4-BE49-F238E27FC236}">
              <a16:creationId xmlns:a16="http://schemas.microsoft.com/office/drawing/2014/main" id="{920271C7-E8D7-4FDD-9563-9CAC3150C931}"/>
            </a:ext>
          </a:extLst>
        </xdr:cNvPr>
        <xdr:cNvSpPr>
          <a:spLocks noChangeAspect="1"/>
        </xdr:cNvSpPr>
      </xdr:nvSpPr>
      <xdr:spPr>
        <a:xfrm>
          <a:off x="51854401" y="2246400"/>
          <a:ext cx="233999" cy="882001"/>
        </a:xfrm>
        <a:custGeom>
          <a:avLst/>
          <a:gdLst/>
          <a:ahLst/>
          <a:cxnLst/>
          <a:rect l="0" t="0" r="0" b="0"/>
          <a:pathLst>
            <a:path w="233999" h="882001">
              <a:moveTo>
                <a:pt x="107999" y="216000"/>
              </a:moveTo>
              <a:lnTo>
                <a:pt x="216002"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11</xdr:row>
      <xdr:rowOff>75750</xdr:rowOff>
    </xdr:from>
    <xdr:to>
      <xdr:col>75</xdr:col>
      <xdr:colOff>617402</xdr:colOff>
      <xdr:row>16</xdr:row>
      <xdr:rowOff>10501</xdr:rowOff>
    </xdr:to>
    <xdr:sp macro="" textlink="">
      <xdr:nvSpPr>
        <xdr:cNvPr id="245073" name="フリーフォーム: 図形 245072">
          <a:extLst>
            <a:ext uri="{FF2B5EF4-FFF2-40B4-BE49-F238E27FC236}">
              <a16:creationId xmlns:a16="http://schemas.microsoft.com/office/drawing/2014/main" id="{8C98F235-0108-47BE-8F51-ADF2290237D4}"/>
            </a:ext>
          </a:extLst>
        </xdr:cNvPr>
        <xdr:cNvSpPr>
          <a:spLocks noChangeAspect="1"/>
        </xdr:cNvSpPr>
      </xdr:nvSpPr>
      <xdr:spPr>
        <a:xfrm>
          <a:off x="51530399" y="22284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5</xdr:row>
      <xdr:rowOff>42450</xdr:rowOff>
    </xdr:from>
    <xdr:to>
      <xdr:col>78</xdr:col>
      <xdr:colOff>550801</xdr:colOff>
      <xdr:row>6</xdr:row>
      <xdr:rowOff>15001</xdr:rowOff>
    </xdr:to>
    <xdr:sp macro="" textlink="">
      <xdr:nvSpPr>
        <xdr:cNvPr id="245074" name="フリーフォーム: 図形 245073">
          <a:extLst>
            <a:ext uri="{FF2B5EF4-FFF2-40B4-BE49-F238E27FC236}">
              <a16:creationId xmlns:a16="http://schemas.microsoft.com/office/drawing/2014/main" id="{F905D442-5AA6-4A11-81AA-0D6EDAAD17C1}"/>
            </a:ext>
          </a:extLst>
        </xdr:cNvPr>
        <xdr:cNvSpPr>
          <a:spLocks noChangeAspect="1"/>
        </xdr:cNvSpPr>
      </xdr:nvSpPr>
      <xdr:spPr>
        <a:xfrm>
          <a:off x="53575198" y="11664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5</xdr:row>
      <xdr:rowOff>42450</xdr:rowOff>
    </xdr:from>
    <xdr:to>
      <xdr:col>79</xdr:col>
      <xdr:colOff>405000</xdr:colOff>
      <xdr:row>6</xdr:row>
      <xdr:rowOff>15001</xdr:rowOff>
    </xdr:to>
    <xdr:sp macro="" textlink="">
      <xdr:nvSpPr>
        <xdr:cNvPr id="245075" name="フリーフォーム: 図形 245074">
          <a:extLst>
            <a:ext uri="{FF2B5EF4-FFF2-40B4-BE49-F238E27FC236}">
              <a16:creationId xmlns:a16="http://schemas.microsoft.com/office/drawing/2014/main" id="{33FF158A-454B-47C2-8D57-205E42175D6A}"/>
            </a:ext>
          </a:extLst>
        </xdr:cNvPr>
        <xdr:cNvSpPr>
          <a:spLocks noChangeAspect="1"/>
        </xdr:cNvSpPr>
      </xdr:nvSpPr>
      <xdr:spPr>
        <a:xfrm>
          <a:off x="54115202" y="11664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5</xdr:row>
      <xdr:rowOff>114450</xdr:rowOff>
    </xdr:from>
    <xdr:to>
      <xdr:col>79</xdr:col>
      <xdr:colOff>477001</xdr:colOff>
      <xdr:row>11</xdr:row>
      <xdr:rowOff>21751</xdr:rowOff>
    </xdr:to>
    <xdr:sp macro="" textlink="">
      <xdr:nvSpPr>
        <xdr:cNvPr id="245076" name="フリーフォーム: 図形 245075">
          <a:extLst>
            <a:ext uri="{FF2B5EF4-FFF2-40B4-BE49-F238E27FC236}">
              <a16:creationId xmlns:a16="http://schemas.microsoft.com/office/drawing/2014/main" id="{2CD0DCCF-6A21-4E53-A4D4-F623DA069608}"/>
            </a:ext>
          </a:extLst>
        </xdr:cNvPr>
        <xdr:cNvSpPr>
          <a:spLocks noChangeAspect="1"/>
        </xdr:cNvSpPr>
      </xdr:nvSpPr>
      <xdr:spPr>
        <a:xfrm>
          <a:off x="54367199" y="12384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11</xdr:row>
      <xdr:rowOff>75750</xdr:rowOff>
    </xdr:from>
    <xdr:to>
      <xdr:col>79</xdr:col>
      <xdr:colOff>297000</xdr:colOff>
      <xdr:row>16</xdr:row>
      <xdr:rowOff>136501</xdr:rowOff>
    </xdr:to>
    <xdr:sp macro="" textlink="">
      <xdr:nvSpPr>
        <xdr:cNvPr id="245077" name="フリーフォーム: 図形 245076">
          <a:extLst>
            <a:ext uri="{FF2B5EF4-FFF2-40B4-BE49-F238E27FC236}">
              <a16:creationId xmlns:a16="http://schemas.microsoft.com/office/drawing/2014/main" id="{AD1DF16B-E313-4627-9B4A-32974AF437A3}"/>
            </a:ext>
          </a:extLst>
        </xdr:cNvPr>
        <xdr:cNvSpPr>
          <a:spLocks noChangeAspect="1"/>
        </xdr:cNvSpPr>
      </xdr:nvSpPr>
      <xdr:spPr>
        <a:xfrm>
          <a:off x="54187198" y="22284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16</xdr:row>
      <xdr:rowOff>64500</xdr:rowOff>
    </xdr:from>
    <xdr:to>
      <xdr:col>78</xdr:col>
      <xdr:colOff>226803</xdr:colOff>
      <xdr:row>17</xdr:row>
      <xdr:rowOff>37051</xdr:rowOff>
    </xdr:to>
    <xdr:sp macro="" textlink="">
      <xdr:nvSpPr>
        <xdr:cNvPr id="245078" name="フリーフォーム: 図形 245077">
          <a:extLst>
            <a:ext uri="{FF2B5EF4-FFF2-40B4-BE49-F238E27FC236}">
              <a16:creationId xmlns:a16="http://schemas.microsoft.com/office/drawing/2014/main" id="{E50279CF-3F4E-49F9-B764-137E511F6EF4}"/>
            </a:ext>
          </a:extLst>
        </xdr:cNvPr>
        <xdr:cNvSpPr>
          <a:spLocks noChangeAspect="1"/>
        </xdr:cNvSpPr>
      </xdr:nvSpPr>
      <xdr:spPr>
        <a:xfrm>
          <a:off x="53233197" y="30744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16</xdr:row>
      <xdr:rowOff>64500</xdr:rowOff>
    </xdr:from>
    <xdr:to>
      <xdr:col>79</xdr:col>
      <xdr:colOff>45003</xdr:colOff>
      <xdr:row>17</xdr:row>
      <xdr:rowOff>37051</xdr:rowOff>
    </xdr:to>
    <xdr:sp macro="" textlink="">
      <xdr:nvSpPr>
        <xdr:cNvPr id="245079" name="フリーフォーム: 図形 245078">
          <a:extLst>
            <a:ext uri="{FF2B5EF4-FFF2-40B4-BE49-F238E27FC236}">
              <a16:creationId xmlns:a16="http://schemas.microsoft.com/office/drawing/2014/main" id="{C9A8EC0B-8C0B-48D6-8E08-1494A7B6717E}"/>
            </a:ext>
          </a:extLst>
        </xdr:cNvPr>
        <xdr:cNvSpPr>
          <a:spLocks noChangeAspect="1"/>
        </xdr:cNvSpPr>
      </xdr:nvSpPr>
      <xdr:spPr>
        <a:xfrm>
          <a:off x="53755199" y="30744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11</xdr:row>
      <xdr:rowOff>75750</xdr:rowOff>
    </xdr:from>
    <xdr:to>
      <xdr:col>77</xdr:col>
      <xdr:colOff>660599</xdr:colOff>
      <xdr:row>16</xdr:row>
      <xdr:rowOff>136501</xdr:rowOff>
    </xdr:to>
    <xdr:sp macro="" textlink="">
      <xdr:nvSpPr>
        <xdr:cNvPr id="245080" name="フリーフォーム: 図形 245079">
          <a:extLst>
            <a:ext uri="{FF2B5EF4-FFF2-40B4-BE49-F238E27FC236}">
              <a16:creationId xmlns:a16="http://schemas.microsoft.com/office/drawing/2014/main" id="{1467D5BC-748E-48A1-A31C-DE7E9A4B1A63}"/>
            </a:ext>
          </a:extLst>
        </xdr:cNvPr>
        <xdr:cNvSpPr>
          <a:spLocks noChangeAspect="1"/>
        </xdr:cNvSpPr>
      </xdr:nvSpPr>
      <xdr:spPr>
        <a:xfrm>
          <a:off x="53179197" y="22284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5</xdr:row>
      <xdr:rowOff>114450</xdr:rowOff>
    </xdr:from>
    <xdr:to>
      <xdr:col>78</xdr:col>
      <xdr:colOff>118803</xdr:colOff>
      <xdr:row>11</xdr:row>
      <xdr:rowOff>21751</xdr:rowOff>
    </xdr:to>
    <xdr:sp macro="" textlink="">
      <xdr:nvSpPr>
        <xdr:cNvPr id="245081" name="フリーフォーム: 図形 245080">
          <a:extLst>
            <a:ext uri="{FF2B5EF4-FFF2-40B4-BE49-F238E27FC236}">
              <a16:creationId xmlns:a16="http://schemas.microsoft.com/office/drawing/2014/main" id="{BCA88B00-2248-47A4-B59B-6D03228BEB58}"/>
            </a:ext>
          </a:extLst>
        </xdr:cNvPr>
        <xdr:cNvSpPr>
          <a:spLocks noChangeAspect="1"/>
        </xdr:cNvSpPr>
      </xdr:nvSpPr>
      <xdr:spPr>
        <a:xfrm>
          <a:off x="53359199" y="12384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10</xdr:row>
      <xdr:rowOff>139200</xdr:rowOff>
    </xdr:from>
    <xdr:to>
      <xdr:col>78</xdr:col>
      <xdr:colOff>388802</xdr:colOff>
      <xdr:row>11</xdr:row>
      <xdr:rowOff>111751</xdr:rowOff>
    </xdr:to>
    <xdr:sp macro="" textlink="">
      <xdr:nvSpPr>
        <xdr:cNvPr id="245082" name="フリーフォーム: 図形 245081">
          <a:extLst>
            <a:ext uri="{FF2B5EF4-FFF2-40B4-BE49-F238E27FC236}">
              <a16:creationId xmlns:a16="http://schemas.microsoft.com/office/drawing/2014/main" id="{0F44299E-85F3-48AF-880F-8520AEEA5E3D}"/>
            </a:ext>
          </a:extLst>
        </xdr:cNvPr>
        <xdr:cNvSpPr>
          <a:spLocks noChangeAspect="1"/>
        </xdr:cNvSpPr>
      </xdr:nvSpPr>
      <xdr:spPr>
        <a:xfrm>
          <a:off x="53431201" y="21204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10</xdr:row>
      <xdr:rowOff>139200</xdr:rowOff>
    </xdr:from>
    <xdr:to>
      <xdr:col>79</xdr:col>
      <xdr:colOff>207002</xdr:colOff>
      <xdr:row>11</xdr:row>
      <xdr:rowOff>111751</xdr:rowOff>
    </xdr:to>
    <xdr:sp macro="" textlink="">
      <xdr:nvSpPr>
        <xdr:cNvPr id="245083" name="フリーフォーム: 図形 245082">
          <a:extLst>
            <a:ext uri="{FF2B5EF4-FFF2-40B4-BE49-F238E27FC236}">
              <a16:creationId xmlns:a16="http://schemas.microsoft.com/office/drawing/2014/main" id="{324D4F25-733A-467F-AB29-B9BCE4FAF55F}"/>
            </a:ext>
          </a:extLst>
        </xdr:cNvPr>
        <xdr:cNvSpPr>
          <a:spLocks noChangeAspect="1"/>
        </xdr:cNvSpPr>
      </xdr:nvSpPr>
      <xdr:spPr>
        <a:xfrm>
          <a:off x="53935201" y="21204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6</xdr:row>
      <xdr:rowOff>51000</xdr:rowOff>
    </xdr:from>
    <xdr:to>
      <xdr:col>78</xdr:col>
      <xdr:colOff>406804</xdr:colOff>
      <xdr:row>11</xdr:row>
      <xdr:rowOff>3751</xdr:rowOff>
    </xdr:to>
    <xdr:sp macro="" textlink="">
      <xdr:nvSpPr>
        <xdr:cNvPr id="245084" name="フリーフォーム: 図形 245083">
          <a:extLst>
            <a:ext uri="{FF2B5EF4-FFF2-40B4-BE49-F238E27FC236}">
              <a16:creationId xmlns:a16="http://schemas.microsoft.com/office/drawing/2014/main" id="{74772BBC-A1CA-4114-B5CE-FA55C8A31231}"/>
            </a:ext>
          </a:extLst>
        </xdr:cNvPr>
        <xdr:cNvSpPr>
          <a:spLocks noChangeAspect="1"/>
        </xdr:cNvSpPr>
      </xdr:nvSpPr>
      <xdr:spPr>
        <a:xfrm>
          <a:off x="53629198" y="13464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5</xdr:row>
      <xdr:rowOff>114450</xdr:rowOff>
    </xdr:from>
    <xdr:to>
      <xdr:col>78</xdr:col>
      <xdr:colOff>658801</xdr:colOff>
      <xdr:row>10</xdr:row>
      <xdr:rowOff>157201</xdr:rowOff>
    </xdr:to>
    <xdr:sp macro="" textlink="">
      <xdr:nvSpPr>
        <xdr:cNvPr id="245085" name="フリーフォーム: 図形 245084">
          <a:extLst>
            <a:ext uri="{FF2B5EF4-FFF2-40B4-BE49-F238E27FC236}">
              <a16:creationId xmlns:a16="http://schemas.microsoft.com/office/drawing/2014/main" id="{4B19853A-3D0E-4436-8D67-5370B42690E8}"/>
            </a:ext>
          </a:extLst>
        </xdr:cNvPr>
        <xdr:cNvSpPr>
          <a:spLocks noChangeAspect="1"/>
        </xdr:cNvSpPr>
      </xdr:nvSpPr>
      <xdr:spPr>
        <a:xfrm>
          <a:off x="53899203" y="12384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6</xdr:row>
      <xdr:rowOff>69000</xdr:rowOff>
    </xdr:from>
    <xdr:to>
      <xdr:col>79</xdr:col>
      <xdr:colOff>297000</xdr:colOff>
      <xdr:row>11</xdr:row>
      <xdr:rowOff>3751</xdr:rowOff>
    </xdr:to>
    <xdr:sp macro="" textlink="">
      <xdr:nvSpPr>
        <xdr:cNvPr id="245086" name="フリーフォーム: 図形 245085">
          <a:extLst>
            <a:ext uri="{FF2B5EF4-FFF2-40B4-BE49-F238E27FC236}">
              <a16:creationId xmlns:a16="http://schemas.microsoft.com/office/drawing/2014/main" id="{E229CEF4-2EAA-4C11-999B-28C8356ACC4A}"/>
            </a:ext>
          </a:extLst>
        </xdr:cNvPr>
        <xdr:cNvSpPr>
          <a:spLocks noChangeAspect="1"/>
        </xdr:cNvSpPr>
      </xdr:nvSpPr>
      <xdr:spPr>
        <a:xfrm>
          <a:off x="53953203" y="13644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11</xdr:row>
      <xdr:rowOff>75750</xdr:rowOff>
    </xdr:from>
    <xdr:to>
      <xdr:col>79</xdr:col>
      <xdr:colOff>8999</xdr:colOff>
      <xdr:row>15</xdr:row>
      <xdr:rowOff>163951</xdr:rowOff>
    </xdr:to>
    <xdr:sp macro="" textlink="">
      <xdr:nvSpPr>
        <xdr:cNvPr id="245087" name="フリーフォーム: 図形 245086">
          <a:extLst>
            <a:ext uri="{FF2B5EF4-FFF2-40B4-BE49-F238E27FC236}">
              <a16:creationId xmlns:a16="http://schemas.microsoft.com/office/drawing/2014/main" id="{C01E133B-91CB-4C10-B246-42FD85283F64}"/>
            </a:ext>
          </a:extLst>
        </xdr:cNvPr>
        <xdr:cNvSpPr>
          <a:spLocks noChangeAspect="1"/>
        </xdr:cNvSpPr>
      </xdr:nvSpPr>
      <xdr:spPr>
        <a:xfrm>
          <a:off x="53917199" y="22284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11</xdr:row>
      <xdr:rowOff>93750</xdr:rowOff>
    </xdr:from>
    <xdr:to>
      <xdr:col>78</xdr:col>
      <xdr:colOff>424800</xdr:colOff>
      <xdr:row>16</xdr:row>
      <xdr:rowOff>118501</xdr:rowOff>
    </xdr:to>
    <xdr:sp macro="" textlink="">
      <xdr:nvSpPr>
        <xdr:cNvPr id="245088" name="フリーフォーム: 図形 245087">
          <a:extLst>
            <a:ext uri="{FF2B5EF4-FFF2-40B4-BE49-F238E27FC236}">
              <a16:creationId xmlns:a16="http://schemas.microsoft.com/office/drawing/2014/main" id="{8A41C84E-9361-4F44-9422-1316D0B65869}"/>
            </a:ext>
          </a:extLst>
        </xdr:cNvPr>
        <xdr:cNvSpPr>
          <a:spLocks noChangeAspect="1"/>
        </xdr:cNvSpPr>
      </xdr:nvSpPr>
      <xdr:spPr>
        <a:xfrm>
          <a:off x="53683198" y="22464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11</xdr:row>
      <xdr:rowOff>75750</xdr:rowOff>
    </xdr:from>
    <xdr:to>
      <xdr:col>78</xdr:col>
      <xdr:colOff>388802</xdr:colOff>
      <xdr:row>16</xdr:row>
      <xdr:rowOff>10501</xdr:rowOff>
    </xdr:to>
    <xdr:sp macro="" textlink="">
      <xdr:nvSpPr>
        <xdr:cNvPr id="245089" name="フリーフォーム: 図形 245088">
          <a:extLst>
            <a:ext uri="{FF2B5EF4-FFF2-40B4-BE49-F238E27FC236}">
              <a16:creationId xmlns:a16="http://schemas.microsoft.com/office/drawing/2014/main" id="{FF19CCAA-1200-456D-BF23-7A4472824EE8}"/>
            </a:ext>
          </a:extLst>
        </xdr:cNvPr>
        <xdr:cNvSpPr>
          <a:spLocks noChangeAspect="1"/>
        </xdr:cNvSpPr>
      </xdr:nvSpPr>
      <xdr:spPr>
        <a:xfrm>
          <a:off x="53359199" y="22284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5</xdr:row>
      <xdr:rowOff>42450</xdr:rowOff>
    </xdr:from>
    <xdr:to>
      <xdr:col>81</xdr:col>
      <xdr:colOff>322201</xdr:colOff>
      <xdr:row>6</xdr:row>
      <xdr:rowOff>15001</xdr:rowOff>
    </xdr:to>
    <xdr:sp macro="" textlink="">
      <xdr:nvSpPr>
        <xdr:cNvPr id="245090" name="フリーフォーム: 図形 245089">
          <a:extLst>
            <a:ext uri="{FF2B5EF4-FFF2-40B4-BE49-F238E27FC236}">
              <a16:creationId xmlns:a16="http://schemas.microsoft.com/office/drawing/2014/main" id="{4ED70DD1-5545-4A0F-9855-F8A8DFE802D8}"/>
            </a:ext>
          </a:extLst>
        </xdr:cNvPr>
        <xdr:cNvSpPr>
          <a:spLocks noChangeAspect="1"/>
        </xdr:cNvSpPr>
      </xdr:nvSpPr>
      <xdr:spPr>
        <a:xfrm>
          <a:off x="55403998" y="11664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5</xdr:row>
      <xdr:rowOff>42450</xdr:rowOff>
    </xdr:from>
    <xdr:to>
      <xdr:col>82</xdr:col>
      <xdr:colOff>176400</xdr:colOff>
      <xdr:row>6</xdr:row>
      <xdr:rowOff>15001</xdr:rowOff>
    </xdr:to>
    <xdr:sp macro="" textlink="">
      <xdr:nvSpPr>
        <xdr:cNvPr id="245091" name="フリーフォーム: 図形 245090">
          <a:extLst>
            <a:ext uri="{FF2B5EF4-FFF2-40B4-BE49-F238E27FC236}">
              <a16:creationId xmlns:a16="http://schemas.microsoft.com/office/drawing/2014/main" id="{59069FE8-511E-455A-880A-275C798D8222}"/>
            </a:ext>
          </a:extLst>
        </xdr:cNvPr>
        <xdr:cNvSpPr>
          <a:spLocks noChangeAspect="1"/>
        </xdr:cNvSpPr>
      </xdr:nvSpPr>
      <xdr:spPr>
        <a:xfrm>
          <a:off x="55944002" y="11664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5</xdr:row>
      <xdr:rowOff>114450</xdr:rowOff>
    </xdr:from>
    <xdr:to>
      <xdr:col>82</xdr:col>
      <xdr:colOff>248401</xdr:colOff>
      <xdr:row>11</xdr:row>
      <xdr:rowOff>21751</xdr:rowOff>
    </xdr:to>
    <xdr:sp macro="" textlink="">
      <xdr:nvSpPr>
        <xdr:cNvPr id="245092" name="フリーフォーム: 図形 245091">
          <a:extLst>
            <a:ext uri="{FF2B5EF4-FFF2-40B4-BE49-F238E27FC236}">
              <a16:creationId xmlns:a16="http://schemas.microsoft.com/office/drawing/2014/main" id="{47FE624B-A485-4934-971C-EA3911273382}"/>
            </a:ext>
          </a:extLst>
        </xdr:cNvPr>
        <xdr:cNvSpPr>
          <a:spLocks noChangeAspect="1"/>
        </xdr:cNvSpPr>
      </xdr:nvSpPr>
      <xdr:spPr>
        <a:xfrm>
          <a:off x="56195999" y="12384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11</xdr:row>
      <xdr:rowOff>75750</xdr:rowOff>
    </xdr:from>
    <xdr:to>
      <xdr:col>82</xdr:col>
      <xdr:colOff>68400</xdr:colOff>
      <xdr:row>16</xdr:row>
      <xdr:rowOff>136501</xdr:rowOff>
    </xdr:to>
    <xdr:sp macro="" textlink="">
      <xdr:nvSpPr>
        <xdr:cNvPr id="245093" name="フリーフォーム: 図形 245092">
          <a:extLst>
            <a:ext uri="{FF2B5EF4-FFF2-40B4-BE49-F238E27FC236}">
              <a16:creationId xmlns:a16="http://schemas.microsoft.com/office/drawing/2014/main" id="{9942E365-52CB-46FB-A180-421CDD789B19}"/>
            </a:ext>
          </a:extLst>
        </xdr:cNvPr>
        <xdr:cNvSpPr>
          <a:spLocks noChangeAspect="1"/>
        </xdr:cNvSpPr>
      </xdr:nvSpPr>
      <xdr:spPr>
        <a:xfrm>
          <a:off x="56015998" y="22284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16</xdr:row>
      <xdr:rowOff>64500</xdr:rowOff>
    </xdr:from>
    <xdr:to>
      <xdr:col>80</xdr:col>
      <xdr:colOff>684003</xdr:colOff>
      <xdr:row>17</xdr:row>
      <xdr:rowOff>37051</xdr:rowOff>
    </xdr:to>
    <xdr:sp macro="" textlink="">
      <xdr:nvSpPr>
        <xdr:cNvPr id="245094" name="フリーフォーム: 図形 245093">
          <a:extLst>
            <a:ext uri="{FF2B5EF4-FFF2-40B4-BE49-F238E27FC236}">
              <a16:creationId xmlns:a16="http://schemas.microsoft.com/office/drawing/2014/main" id="{BD3B9DCA-6B66-4C55-8AEF-883B45AB0AAD}"/>
            </a:ext>
          </a:extLst>
        </xdr:cNvPr>
        <xdr:cNvSpPr>
          <a:spLocks noChangeAspect="1"/>
        </xdr:cNvSpPr>
      </xdr:nvSpPr>
      <xdr:spPr>
        <a:xfrm>
          <a:off x="55061997" y="30744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16</xdr:row>
      <xdr:rowOff>64500</xdr:rowOff>
    </xdr:from>
    <xdr:to>
      <xdr:col>81</xdr:col>
      <xdr:colOff>502203</xdr:colOff>
      <xdr:row>17</xdr:row>
      <xdr:rowOff>37051</xdr:rowOff>
    </xdr:to>
    <xdr:sp macro="" textlink="">
      <xdr:nvSpPr>
        <xdr:cNvPr id="245095" name="フリーフォーム: 図形 245094">
          <a:extLst>
            <a:ext uri="{FF2B5EF4-FFF2-40B4-BE49-F238E27FC236}">
              <a16:creationId xmlns:a16="http://schemas.microsoft.com/office/drawing/2014/main" id="{C9F86445-EE7A-4D3D-8507-95CF9E352CF4}"/>
            </a:ext>
          </a:extLst>
        </xdr:cNvPr>
        <xdr:cNvSpPr>
          <a:spLocks noChangeAspect="1"/>
        </xdr:cNvSpPr>
      </xdr:nvSpPr>
      <xdr:spPr>
        <a:xfrm>
          <a:off x="55583999" y="30744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11</xdr:row>
      <xdr:rowOff>75750</xdr:rowOff>
    </xdr:from>
    <xdr:to>
      <xdr:col>80</xdr:col>
      <xdr:colOff>431999</xdr:colOff>
      <xdr:row>16</xdr:row>
      <xdr:rowOff>136501</xdr:rowOff>
    </xdr:to>
    <xdr:sp macro="" textlink="">
      <xdr:nvSpPr>
        <xdr:cNvPr id="245096" name="フリーフォーム: 図形 245095">
          <a:extLst>
            <a:ext uri="{FF2B5EF4-FFF2-40B4-BE49-F238E27FC236}">
              <a16:creationId xmlns:a16="http://schemas.microsoft.com/office/drawing/2014/main" id="{884A0B4D-7AAD-4723-BFEF-B9EB34468CA0}"/>
            </a:ext>
          </a:extLst>
        </xdr:cNvPr>
        <xdr:cNvSpPr>
          <a:spLocks noChangeAspect="1"/>
        </xdr:cNvSpPr>
      </xdr:nvSpPr>
      <xdr:spPr>
        <a:xfrm>
          <a:off x="55007997" y="22284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5</xdr:row>
      <xdr:rowOff>114450</xdr:rowOff>
    </xdr:from>
    <xdr:to>
      <xdr:col>80</xdr:col>
      <xdr:colOff>576003</xdr:colOff>
      <xdr:row>11</xdr:row>
      <xdr:rowOff>21751</xdr:rowOff>
    </xdr:to>
    <xdr:sp macro="" textlink="">
      <xdr:nvSpPr>
        <xdr:cNvPr id="245097" name="フリーフォーム: 図形 245096">
          <a:extLst>
            <a:ext uri="{FF2B5EF4-FFF2-40B4-BE49-F238E27FC236}">
              <a16:creationId xmlns:a16="http://schemas.microsoft.com/office/drawing/2014/main" id="{FF54518A-31EA-4B73-BF37-57AD75B7D0AC}"/>
            </a:ext>
          </a:extLst>
        </xdr:cNvPr>
        <xdr:cNvSpPr>
          <a:spLocks noChangeAspect="1"/>
        </xdr:cNvSpPr>
      </xdr:nvSpPr>
      <xdr:spPr>
        <a:xfrm>
          <a:off x="55187999" y="12384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10</xdr:row>
      <xdr:rowOff>139200</xdr:rowOff>
    </xdr:from>
    <xdr:to>
      <xdr:col>81</xdr:col>
      <xdr:colOff>160202</xdr:colOff>
      <xdr:row>11</xdr:row>
      <xdr:rowOff>111751</xdr:rowOff>
    </xdr:to>
    <xdr:sp macro="" textlink="">
      <xdr:nvSpPr>
        <xdr:cNvPr id="245098" name="フリーフォーム: 図形 245097">
          <a:extLst>
            <a:ext uri="{FF2B5EF4-FFF2-40B4-BE49-F238E27FC236}">
              <a16:creationId xmlns:a16="http://schemas.microsoft.com/office/drawing/2014/main" id="{F22F7583-C04E-4E8D-82F4-F377C9D2067C}"/>
            </a:ext>
          </a:extLst>
        </xdr:cNvPr>
        <xdr:cNvSpPr>
          <a:spLocks noChangeAspect="1"/>
        </xdr:cNvSpPr>
      </xdr:nvSpPr>
      <xdr:spPr>
        <a:xfrm>
          <a:off x="55260001" y="21204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10</xdr:row>
      <xdr:rowOff>139200</xdr:rowOff>
    </xdr:from>
    <xdr:to>
      <xdr:col>81</xdr:col>
      <xdr:colOff>664202</xdr:colOff>
      <xdr:row>11</xdr:row>
      <xdr:rowOff>111751</xdr:rowOff>
    </xdr:to>
    <xdr:sp macro="" textlink="">
      <xdr:nvSpPr>
        <xdr:cNvPr id="245099" name="フリーフォーム: 図形 245098">
          <a:extLst>
            <a:ext uri="{FF2B5EF4-FFF2-40B4-BE49-F238E27FC236}">
              <a16:creationId xmlns:a16="http://schemas.microsoft.com/office/drawing/2014/main" id="{026F42B7-CC3C-4C2C-B5E9-3D0C715195F8}"/>
            </a:ext>
          </a:extLst>
        </xdr:cNvPr>
        <xdr:cNvSpPr>
          <a:spLocks noChangeAspect="1"/>
        </xdr:cNvSpPr>
      </xdr:nvSpPr>
      <xdr:spPr>
        <a:xfrm>
          <a:off x="55764001" y="21204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6</xdr:row>
      <xdr:rowOff>51000</xdr:rowOff>
    </xdr:from>
    <xdr:to>
      <xdr:col>81</xdr:col>
      <xdr:colOff>178204</xdr:colOff>
      <xdr:row>11</xdr:row>
      <xdr:rowOff>3751</xdr:rowOff>
    </xdr:to>
    <xdr:sp macro="" textlink="">
      <xdr:nvSpPr>
        <xdr:cNvPr id="245100" name="フリーフォーム: 図形 245099">
          <a:extLst>
            <a:ext uri="{FF2B5EF4-FFF2-40B4-BE49-F238E27FC236}">
              <a16:creationId xmlns:a16="http://schemas.microsoft.com/office/drawing/2014/main" id="{15DBCBB0-E8F3-46EA-88C9-B651DF479E4F}"/>
            </a:ext>
          </a:extLst>
        </xdr:cNvPr>
        <xdr:cNvSpPr>
          <a:spLocks noChangeAspect="1"/>
        </xdr:cNvSpPr>
      </xdr:nvSpPr>
      <xdr:spPr>
        <a:xfrm>
          <a:off x="55457998" y="13464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5</xdr:row>
      <xdr:rowOff>114450</xdr:rowOff>
    </xdr:from>
    <xdr:to>
      <xdr:col>81</xdr:col>
      <xdr:colOff>430201</xdr:colOff>
      <xdr:row>10</xdr:row>
      <xdr:rowOff>157201</xdr:rowOff>
    </xdr:to>
    <xdr:sp macro="" textlink="">
      <xdr:nvSpPr>
        <xdr:cNvPr id="245101" name="フリーフォーム: 図形 245100">
          <a:extLst>
            <a:ext uri="{FF2B5EF4-FFF2-40B4-BE49-F238E27FC236}">
              <a16:creationId xmlns:a16="http://schemas.microsoft.com/office/drawing/2014/main" id="{27274BE7-81BA-4EC7-B86A-F5AA3CDDDBF0}"/>
            </a:ext>
          </a:extLst>
        </xdr:cNvPr>
        <xdr:cNvSpPr>
          <a:spLocks noChangeAspect="1"/>
        </xdr:cNvSpPr>
      </xdr:nvSpPr>
      <xdr:spPr>
        <a:xfrm>
          <a:off x="55728003" y="12384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6</xdr:row>
      <xdr:rowOff>69000</xdr:rowOff>
    </xdr:from>
    <xdr:to>
      <xdr:col>82</xdr:col>
      <xdr:colOff>68400</xdr:colOff>
      <xdr:row>11</xdr:row>
      <xdr:rowOff>3751</xdr:rowOff>
    </xdr:to>
    <xdr:sp macro="" textlink="">
      <xdr:nvSpPr>
        <xdr:cNvPr id="245102" name="フリーフォーム: 図形 245101">
          <a:extLst>
            <a:ext uri="{FF2B5EF4-FFF2-40B4-BE49-F238E27FC236}">
              <a16:creationId xmlns:a16="http://schemas.microsoft.com/office/drawing/2014/main" id="{3232739F-071C-4912-BAAF-6165357F4684}"/>
            </a:ext>
          </a:extLst>
        </xdr:cNvPr>
        <xdr:cNvSpPr>
          <a:spLocks noChangeAspect="1"/>
        </xdr:cNvSpPr>
      </xdr:nvSpPr>
      <xdr:spPr>
        <a:xfrm>
          <a:off x="55782003" y="13644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11</xdr:row>
      <xdr:rowOff>75750</xdr:rowOff>
    </xdr:from>
    <xdr:to>
      <xdr:col>81</xdr:col>
      <xdr:colOff>466199</xdr:colOff>
      <xdr:row>15</xdr:row>
      <xdr:rowOff>163951</xdr:rowOff>
    </xdr:to>
    <xdr:sp macro="" textlink="">
      <xdr:nvSpPr>
        <xdr:cNvPr id="245103" name="フリーフォーム: 図形 245102">
          <a:extLst>
            <a:ext uri="{FF2B5EF4-FFF2-40B4-BE49-F238E27FC236}">
              <a16:creationId xmlns:a16="http://schemas.microsoft.com/office/drawing/2014/main" id="{1312857F-CC9B-4C10-A444-81BE5E23B697}"/>
            </a:ext>
          </a:extLst>
        </xdr:cNvPr>
        <xdr:cNvSpPr>
          <a:spLocks noChangeAspect="1"/>
        </xdr:cNvSpPr>
      </xdr:nvSpPr>
      <xdr:spPr>
        <a:xfrm>
          <a:off x="55745999" y="22284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11</xdr:row>
      <xdr:rowOff>93750</xdr:rowOff>
    </xdr:from>
    <xdr:to>
      <xdr:col>81</xdr:col>
      <xdr:colOff>196200</xdr:colOff>
      <xdr:row>16</xdr:row>
      <xdr:rowOff>118501</xdr:rowOff>
    </xdr:to>
    <xdr:sp macro="" textlink="">
      <xdr:nvSpPr>
        <xdr:cNvPr id="245104" name="フリーフォーム: 図形 245103">
          <a:extLst>
            <a:ext uri="{FF2B5EF4-FFF2-40B4-BE49-F238E27FC236}">
              <a16:creationId xmlns:a16="http://schemas.microsoft.com/office/drawing/2014/main" id="{8CD197A3-23FE-4EBE-9A54-457BA36612E7}"/>
            </a:ext>
          </a:extLst>
        </xdr:cNvPr>
        <xdr:cNvSpPr>
          <a:spLocks noChangeAspect="1"/>
        </xdr:cNvSpPr>
      </xdr:nvSpPr>
      <xdr:spPr>
        <a:xfrm>
          <a:off x="55511998" y="22464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11</xdr:row>
      <xdr:rowOff>75750</xdr:rowOff>
    </xdr:from>
    <xdr:to>
      <xdr:col>81</xdr:col>
      <xdr:colOff>160202</xdr:colOff>
      <xdr:row>16</xdr:row>
      <xdr:rowOff>10501</xdr:rowOff>
    </xdr:to>
    <xdr:sp macro="" textlink="">
      <xdr:nvSpPr>
        <xdr:cNvPr id="245105" name="フリーフォーム: 図形 245104">
          <a:extLst>
            <a:ext uri="{FF2B5EF4-FFF2-40B4-BE49-F238E27FC236}">
              <a16:creationId xmlns:a16="http://schemas.microsoft.com/office/drawing/2014/main" id="{CF4DC4C1-C4B8-434E-9AB7-B53E249E80F8}"/>
            </a:ext>
          </a:extLst>
        </xdr:cNvPr>
        <xdr:cNvSpPr>
          <a:spLocks noChangeAspect="1"/>
        </xdr:cNvSpPr>
      </xdr:nvSpPr>
      <xdr:spPr>
        <a:xfrm>
          <a:off x="55187999" y="22284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5</xdr:row>
      <xdr:rowOff>42450</xdr:rowOff>
    </xdr:from>
    <xdr:to>
      <xdr:col>84</xdr:col>
      <xdr:colOff>93601</xdr:colOff>
      <xdr:row>6</xdr:row>
      <xdr:rowOff>15001</xdr:rowOff>
    </xdr:to>
    <xdr:sp macro="" textlink="">
      <xdr:nvSpPr>
        <xdr:cNvPr id="245106" name="フリーフォーム: 図形 245105">
          <a:extLst>
            <a:ext uri="{FF2B5EF4-FFF2-40B4-BE49-F238E27FC236}">
              <a16:creationId xmlns:a16="http://schemas.microsoft.com/office/drawing/2014/main" id="{B997B2AE-58EE-42FF-B6FC-BB1073F86B39}"/>
            </a:ext>
          </a:extLst>
        </xdr:cNvPr>
        <xdr:cNvSpPr>
          <a:spLocks noChangeAspect="1"/>
        </xdr:cNvSpPr>
      </xdr:nvSpPr>
      <xdr:spPr>
        <a:xfrm>
          <a:off x="57232798" y="11664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5</xdr:row>
      <xdr:rowOff>42450</xdr:rowOff>
    </xdr:from>
    <xdr:to>
      <xdr:col>84</xdr:col>
      <xdr:colOff>633600</xdr:colOff>
      <xdr:row>6</xdr:row>
      <xdr:rowOff>15001</xdr:rowOff>
    </xdr:to>
    <xdr:sp macro="" textlink="">
      <xdr:nvSpPr>
        <xdr:cNvPr id="245107" name="フリーフォーム: 図形 245106">
          <a:extLst>
            <a:ext uri="{FF2B5EF4-FFF2-40B4-BE49-F238E27FC236}">
              <a16:creationId xmlns:a16="http://schemas.microsoft.com/office/drawing/2014/main" id="{9D3C7984-002E-4BD4-AFB3-6AA106D370C5}"/>
            </a:ext>
          </a:extLst>
        </xdr:cNvPr>
        <xdr:cNvSpPr>
          <a:spLocks noChangeAspect="1"/>
        </xdr:cNvSpPr>
      </xdr:nvSpPr>
      <xdr:spPr>
        <a:xfrm>
          <a:off x="57772802" y="11664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5</xdr:row>
      <xdr:rowOff>114450</xdr:rowOff>
    </xdr:from>
    <xdr:to>
      <xdr:col>85</xdr:col>
      <xdr:colOff>19801</xdr:colOff>
      <xdr:row>11</xdr:row>
      <xdr:rowOff>21751</xdr:rowOff>
    </xdr:to>
    <xdr:sp macro="" textlink="">
      <xdr:nvSpPr>
        <xdr:cNvPr id="245108" name="フリーフォーム: 図形 245107">
          <a:extLst>
            <a:ext uri="{FF2B5EF4-FFF2-40B4-BE49-F238E27FC236}">
              <a16:creationId xmlns:a16="http://schemas.microsoft.com/office/drawing/2014/main" id="{A48310CD-4770-4ECB-9408-FA5DE3D63875}"/>
            </a:ext>
          </a:extLst>
        </xdr:cNvPr>
        <xdr:cNvSpPr>
          <a:spLocks noChangeAspect="1"/>
        </xdr:cNvSpPr>
      </xdr:nvSpPr>
      <xdr:spPr>
        <a:xfrm>
          <a:off x="58024799" y="12384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11</xdr:row>
      <xdr:rowOff>75750</xdr:rowOff>
    </xdr:from>
    <xdr:to>
      <xdr:col>84</xdr:col>
      <xdr:colOff>525600</xdr:colOff>
      <xdr:row>16</xdr:row>
      <xdr:rowOff>136501</xdr:rowOff>
    </xdr:to>
    <xdr:sp macro="" textlink="">
      <xdr:nvSpPr>
        <xdr:cNvPr id="245109" name="フリーフォーム: 図形 245108">
          <a:extLst>
            <a:ext uri="{FF2B5EF4-FFF2-40B4-BE49-F238E27FC236}">
              <a16:creationId xmlns:a16="http://schemas.microsoft.com/office/drawing/2014/main" id="{14B7BE7B-D32A-4FA6-B552-7F58A6BF59BF}"/>
            </a:ext>
          </a:extLst>
        </xdr:cNvPr>
        <xdr:cNvSpPr>
          <a:spLocks noChangeAspect="1"/>
        </xdr:cNvSpPr>
      </xdr:nvSpPr>
      <xdr:spPr>
        <a:xfrm>
          <a:off x="57844798" y="22284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16</xdr:row>
      <xdr:rowOff>64500</xdr:rowOff>
    </xdr:from>
    <xdr:to>
      <xdr:col>83</xdr:col>
      <xdr:colOff>455403</xdr:colOff>
      <xdr:row>17</xdr:row>
      <xdr:rowOff>37051</xdr:rowOff>
    </xdr:to>
    <xdr:sp macro="" textlink="">
      <xdr:nvSpPr>
        <xdr:cNvPr id="245110" name="フリーフォーム: 図形 245109">
          <a:extLst>
            <a:ext uri="{FF2B5EF4-FFF2-40B4-BE49-F238E27FC236}">
              <a16:creationId xmlns:a16="http://schemas.microsoft.com/office/drawing/2014/main" id="{253FB12C-11C5-47C3-8079-6563B88BBAB3}"/>
            </a:ext>
          </a:extLst>
        </xdr:cNvPr>
        <xdr:cNvSpPr>
          <a:spLocks noChangeAspect="1"/>
        </xdr:cNvSpPr>
      </xdr:nvSpPr>
      <xdr:spPr>
        <a:xfrm>
          <a:off x="56890797" y="30744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16</xdr:row>
      <xdr:rowOff>64500</xdr:rowOff>
    </xdr:from>
    <xdr:to>
      <xdr:col>84</xdr:col>
      <xdr:colOff>273603</xdr:colOff>
      <xdr:row>17</xdr:row>
      <xdr:rowOff>37051</xdr:rowOff>
    </xdr:to>
    <xdr:sp macro="" textlink="">
      <xdr:nvSpPr>
        <xdr:cNvPr id="245111" name="フリーフォーム: 図形 245110">
          <a:extLst>
            <a:ext uri="{FF2B5EF4-FFF2-40B4-BE49-F238E27FC236}">
              <a16:creationId xmlns:a16="http://schemas.microsoft.com/office/drawing/2014/main" id="{1A35D4C1-3703-4A45-BCFB-759E2E07D25B}"/>
            </a:ext>
          </a:extLst>
        </xdr:cNvPr>
        <xdr:cNvSpPr>
          <a:spLocks noChangeAspect="1"/>
        </xdr:cNvSpPr>
      </xdr:nvSpPr>
      <xdr:spPr>
        <a:xfrm>
          <a:off x="57412799" y="30744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11</xdr:row>
      <xdr:rowOff>75750</xdr:rowOff>
    </xdr:from>
    <xdr:to>
      <xdr:col>83</xdr:col>
      <xdr:colOff>203399</xdr:colOff>
      <xdr:row>16</xdr:row>
      <xdr:rowOff>136501</xdr:rowOff>
    </xdr:to>
    <xdr:sp macro="" textlink="">
      <xdr:nvSpPr>
        <xdr:cNvPr id="245112" name="フリーフォーム: 図形 245111">
          <a:extLst>
            <a:ext uri="{FF2B5EF4-FFF2-40B4-BE49-F238E27FC236}">
              <a16:creationId xmlns:a16="http://schemas.microsoft.com/office/drawing/2014/main" id="{7BF45026-7A60-4CA7-8575-B94D36F63CB3}"/>
            </a:ext>
          </a:extLst>
        </xdr:cNvPr>
        <xdr:cNvSpPr>
          <a:spLocks noChangeAspect="1"/>
        </xdr:cNvSpPr>
      </xdr:nvSpPr>
      <xdr:spPr>
        <a:xfrm>
          <a:off x="56836797" y="22284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5</xdr:row>
      <xdr:rowOff>114450</xdr:rowOff>
    </xdr:from>
    <xdr:to>
      <xdr:col>83</xdr:col>
      <xdr:colOff>347403</xdr:colOff>
      <xdr:row>11</xdr:row>
      <xdr:rowOff>21751</xdr:rowOff>
    </xdr:to>
    <xdr:sp macro="" textlink="">
      <xdr:nvSpPr>
        <xdr:cNvPr id="245113" name="フリーフォーム: 図形 245112">
          <a:extLst>
            <a:ext uri="{FF2B5EF4-FFF2-40B4-BE49-F238E27FC236}">
              <a16:creationId xmlns:a16="http://schemas.microsoft.com/office/drawing/2014/main" id="{648A6588-80A8-41BB-9023-D50766D5E564}"/>
            </a:ext>
          </a:extLst>
        </xdr:cNvPr>
        <xdr:cNvSpPr>
          <a:spLocks noChangeAspect="1"/>
        </xdr:cNvSpPr>
      </xdr:nvSpPr>
      <xdr:spPr>
        <a:xfrm>
          <a:off x="57016799" y="12384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10</xdr:row>
      <xdr:rowOff>139200</xdr:rowOff>
    </xdr:from>
    <xdr:to>
      <xdr:col>83</xdr:col>
      <xdr:colOff>617402</xdr:colOff>
      <xdr:row>11</xdr:row>
      <xdr:rowOff>111751</xdr:rowOff>
    </xdr:to>
    <xdr:sp macro="" textlink="">
      <xdr:nvSpPr>
        <xdr:cNvPr id="245114" name="フリーフォーム: 図形 245113">
          <a:extLst>
            <a:ext uri="{FF2B5EF4-FFF2-40B4-BE49-F238E27FC236}">
              <a16:creationId xmlns:a16="http://schemas.microsoft.com/office/drawing/2014/main" id="{1906340E-3564-4517-BB29-C96376AED106}"/>
            </a:ext>
          </a:extLst>
        </xdr:cNvPr>
        <xdr:cNvSpPr>
          <a:spLocks noChangeAspect="1"/>
        </xdr:cNvSpPr>
      </xdr:nvSpPr>
      <xdr:spPr>
        <a:xfrm>
          <a:off x="57088801" y="21204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10</xdr:row>
      <xdr:rowOff>139200</xdr:rowOff>
    </xdr:from>
    <xdr:to>
      <xdr:col>84</xdr:col>
      <xdr:colOff>435602</xdr:colOff>
      <xdr:row>11</xdr:row>
      <xdr:rowOff>111751</xdr:rowOff>
    </xdr:to>
    <xdr:sp macro="" textlink="">
      <xdr:nvSpPr>
        <xdr:cNvPr id="245115" name="フリーフォーム: 図形 245114">
          <a:extLst>
            <a:ext uri="{FF2B5EF4-FFF2-40B4-BE49-F238E27FC236}">
              <a16:creationId xmlns:a16="http://schemas.microsoft.com/office/drawing/2014/main" id="{5B99E3CC-8C63-40E9-86CC-FDB172E7A95C}"/>
            </a:ext>
          </a:extLst>
        </xdr:cNvPr>
        <xdr:cNvSpPr>
          <a:spLocks noChangeAspect="1"/>
        </xdr:cNvSpPr>
      </xdr:nvSpPr>
      <xdr:spPr>
        <a:xfrm>
          <a:off x="57592801" y="21204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6</xdr:row>
      <xdr:rowOff>51000</xdr:rowOff>
    </xdr:from>
    <xdr:to>
      <xdr:col>83</xdr:col>
      <xdr:colOff>635404</xdr:colOff>
      <xdr:row>11</xdr:row>
      <xdr:rowOff>3751</xdr:rowOff>
    </xdr:to>
    <xdr:sp macro="" textlink="">
      <xdr:nvSpPr>
        <xdr:cNvPr id="245116" name="フリーフォーム: 図形 245115">
          <a:extLst>
            <a:ext uri="{FF2B5EF4-FFF2-40B4-BE49-F238E27FC236}">
              <a16:creationId xmlns:a16="http://schemas.microsoft.com/office/drawing/2014/main" id="{25057C0D-88F6-422D-9E5C-691F4052031D}"/>
            </a:ext>
          </a:extLst>
        </xdr:cNvPr>
        <xdr:cNvSpPr>
          <a:spLocks noChangeAspect="1"/>
        </xdr:cNvSpPr>
      </xdr:nvSpPr>
      <xdr:spPr>
        <a:xfrm>
          <a:off x="57286798" y="13464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5</xdr:row>
      <xdr:rowOff>114450</xdr:rowOff>
    </xdr:from>
    <xdr:to>
      <xdr:col>84</xdr:col>
      <xdr:colOff>201601</xdr:colOff>
      <xdr:row>10</xdr:row>
      <xdr:rowOff>157201</xdr:rowOff>
    </xdr:to>
    <xdr:sp macro="" textlink="">
      <xdr:nvSpPr>
        <xdr:cNvPr id="245117" name="フリーフォーム: 図形 245116">
          <a:extLst>
            <a:ext uri="{FF2B5EF4-FFF2-40B4-BE49-F238E27FC236}">
              <a16:creationId xmlns:a16="http://schemas.microsoft.com/office/drawing/2014/main" id="{44B0480E-90EB-416E-A3B0-CEE144B21BB0}"/>
            </a:ext>
          </a:extLst>
        </xdr:cNvPr>
        <xdr:cNvSpPr>
          <a:spLocks noChangeAspect="1"/>
        </xdr:cNvSpPr>
      </xdr:nvSpPr>
      <xdr:spPr>
        <a:xfrm>
          <a:off x="57556803" y="12384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6</xdr:row>
      <xdr:rowOff>69000</xdr:rowOff>
    </xdr:from>
    <xdr:to>
      <xdr:col>84</xdr:col>
      <xdr:colOff>525600</xdr:colOff>
      <xdr:row>11</xdr:row>
      <xdr:rowOff>3751</xdr:rowOff>
    </xdr:to>
    <xdr:sp macro="" textlink="">
      <xdr:nvSpPr>
        <xdr:cNvPr id="245118" name="フリーフォーム: 図形 245117">
          <a:extLst>
            <a:ext uri="{FF2B5EF4-FFF2-40B4-BE49-F238E27FC236}">
              <a16:creationId xmlns:a16="http://schemas.microsoft.com/office/drawing/2014/main" id="{7A66B7A1-B44C-4A9D-B00D-E349B02499FC}"/>
            </a:ext>
          </a:extLst>
        </xdr:cNvPr>
        <xdr:cNvSpPr>
          <a:spLocks noChangeAspect="1"/>
        </xdr:cNvSpPr>
      </xdr:nvSpPr>
      <xdr:spPr>
        <a:xfrm>
          <a:off x="57610803" y="13644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11</xdr:row>
      <xdr:rowOff>75750</xdr:rowOff>
    </xdr:from>
    <xdr:to>
      <xdr:col>84</xdr:col>
      <xdr:colOff>237599</xdr:colOff>
      <xdr:row>15</xdr:row>
      <xdr:rowOff>163951</xdr:rowOff>
    </xdr:to>
    <xdr:sp macro="" textlink="">
      <xdr:nvSpPr>
        <xdr:cNvPr id="245119" name="フリーフォーム: 図形 245118">
          <a:extLst>
            <a:ext uri="{FF2B5EF4-FFF2-40B4-BE49-F238E27FC236}">
              <a16:creationId xmlns:a16="http://schemas.microsoft.com/office/drawing/2014/main" id="{D31D1493-067A-4B11-9BEC-61619A17B290}"/>
            </a:ext>
          </a:extLst>
        </xdr:cNvPr>
        <xdr:cNvSpPr>
          <a:spLocks noChangeAspect="1"/>
        </xdr:cNvSpPr>
      </xdr:nvSpPr>
      <xdr:spPr>
        <a:xfrm>
          <a:off x="57574799" y="22284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11</xdr:row>
      <xdr:rowOff>93750</xdr:rowOff>
    </xdr:from>
    <xdr:to>
      <xdr:col>83</xdr:col>
      <xdr:colOff>653400</xdr:colOff>
      <xdr:row>16</xdr:row>
      <xdr:rowOff>118501</xdr:rowOff>
    </xdr:to>
    <xdr:sp macro="" textlink="">
      <xdr:nvSpPr>
        <xdr:cNvPr id="245120" name="フリーフォーム: 図形 245119">
          <a:extLst>
            <a:ext uri="{FF2B5EF4-FFF2-40B4-BE49-F238E27FC236}">
              <a16:creationId xmlns:a16="http://schemas.microsoft.com/office/drawing/2014/main" id="{BCB38ED9-553F-4752-8723-F788E141A0E3}"/>
            </a:ext>
          </a:extLst>
        </xdr:cNvPr>
        <xdr:cNvSpPr>
          <a:spLocks noChangeAspect="1"/>
        </xdr:cNvSpPr>
      </xdr:nvSpPr>
      <xdr:spPr>
        <a:xfrm>
          <a:off x="57340798" y="22464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11</xdr:row>
      <xdr:rowOff>75750</xdr:rowOff>
    </xdr:from>
    <xdr:to>
      <xdr:col>83</xdr:col>
      <xdr:colOff>617402</xdr:colOff>
      <xdr:row>16</xdr:row>
      <xdr:rowOff>10501</xdr:rowOff>
    </xdr:to>
    <xdr:sp macro="" textlink="">
      <xdr:nvSpPr>
        <xdr:cNvPr id="245121" name="フリーフォーム: 図形 245120">
          <a:extLst>
            <a:ext uri="{FF2B5EF4-FFF2-40B4-BE49-F238E27FC236}">
              <a16:creationId xmlns:a16="http://schemas.microsoft.com/office/drawing/2014/main" id="{553BC372-5CFF-4BF9-AF1B-14778EB1A2EE}"/>
            </a:ext>
          </a:extLst>
        </xdr:cNvPr>
        <xdr:cNvSpPr>
          <a:spLocks noChangeAspect="1"/>
        </xdr:cNvSpPr>
      </xdr:nvSpPr>
      <xdr:spPr>
        <a:xfrm>
          <a:off x="57016799" y="22284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21</xdr:row>
      <xdr:rowOff>42450</xdr:rowOff>
    </xdr:from>
    <xdr:to>
      <xdr:col>1</xdr:col>
      <xdr:colOff>322201</xdr:colOff>
      <xdr:row>22</xdr:row>
      <xdr:rowOff>15001</xdr:rowOff>
    </xdr:to>
    <xdr:sp macro="" textlink="">
      <xdr:nvSpPr>
        <xdr:cNvPr id="245122" name="フリーフォーム: 図形 245121">
          <a:extLst>
            <a:ext uri="{FF2B5EF4-FFF2-40B4-BE49-F238E27FC236}">
              <a16:creationId xmlns:a16="http://schemas.microsoft.com/office/drawing/2014/main" id="{06C949ED-241D-4EA6-A57F-44966188CCBC}"/>
            </a:ext>
          </a:extLst>
        </xdr:cNvPr>
        <xdr:cNvSpPr>
          <a:spLocks noChangeAspect="1"/>
        </xdr:cNvSpPr>
      </xdr:nvSpPr>
      <xdr:spPr>
        <a:xfrm>
          <a:off x="5400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21</xdr:row>
      <xdr:rowOff>42450</xdr:rowOff>
    </xdr:from>
    <xdr:to>
      <xdr:col>2</xdr:col>
      <xdr:colOff>176401</xdr:colOff>
      <xdr:row>22</xdr:row>
      <xdr:rowOff>15001</xdr:rowOff>
    </xdr:to>
    <xdr:sp macro="" textlink="">
      <xdr:nvSpPr>
        <xdr:cNvPr id="245123" name="フリーフォーム: 図形 245122">
          <a:extLst>
            <a:ext uri="{FF2B5EF4-FFF2-40B4-BE49-F238E27FC236}">
              <a16:creationId xmlns:a16="http://schemas.microsoft.com/office/drawing/2014/main" id="{AA6F37D4-BDBB-4BF8-B2D0-44A172E58E20}"/>
            </a:ext>
          </a:extLst>
        </xdr:cNvPr>
        <xdr:cNvSpPr>
          <a:spLocks noChangeAspect="1"/>
        </xdr:cNvSpPr>
      </xdr:nvSpPr>
      <xdr:spPr>
        <a:xfrm>
          <a:off x="10800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21</xdr:row>
      <xdr:rowOff>114450</xdr:rowOff>
    </xdr:from>
    <xdr:to>
      <xdr:col>2</xdr:col>
      <xdr:colOff>248401</xdr:colOff>
      <xdr:row>27</xdr:row>
      <xdr:rowOff>21751</xdr:rowOff>
    </xdr:to>
    <xdr:sp macro="" textlink="">
      <xdr:nvSpPr>
        <xdr:cNvPr id="245124" name="フリーフォーム: 図形 245123">
          <a:extLst>
            <a:ext uri="{FF2B5EF4-FFF2-40B4-BE49-F238E27FC236}">
              <a16:creationId xmlns:a16="http://schemas.microsoft.com/office/drawing/2014/main" id="{550F4549-C2A2-440E-86F4-2F7230FE1005}"/>
            </a:ext>
          </a:extLst>
        </xdr:cNvPr>
        <xdr:cNvSpPr>
          <a:spLocks noChangeAspect="1"/>
        </xdr:cNvSpPr>
      </xdr:nvSpPr>
      <xdr:spPr>
        <a:xfrm>
          <a:off x="13320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27</xdr:row>
      <xdr:rowOff>75750</xdr:rowOff>
    </xdr:from>
    <xdr:to>
      <xdr:col>2</xdr:col>
      <xdr:colOff>68401</xdr:colOff>
      <xdr:row>32</xdr:row>
      <xdr:rowOff>136501</xdr:rowOff>
    </xdr:to>
    <xdr:sp macro="" textlink="">
      <xdr:nvSpPr>
        <xdr:cNvPr id="245125" name="フリーフォーム: 図形 245124">
          <a:extLst>
            <a:ext uri="{FF2B5EF4-FFF2-40B4-BE49-F238E27FC236}">
              <a16:creationId xmlns:a16="http://schemas.microsoft.com/office/drawing/2014/main" id="{C6DC9A9B-EFA4-4F35-8F2F-50341058D316}"/>
            </a:ext>
          </a:extLst>
        </xdr:cNvPr>
        <xdr:cNvSpPr>
          <a:spLocks noChangeAspect="1"/>
        </xdr:cNvSpPr>
      </xdr:nvSpPr>
      <xdr:spPr>
        <a:xfrm>
          <a:off x="11520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32</xdr:row>
      <xdr:rowOff>64500</xdr:rowOff>
    </xdr:from>
    <xdr:to>
      <xdr:col>0</xdr:col>
      <xdr:colOff>684001</xdr:colOff>
      <xdr:row>33</xdr:row>
      <xdr:rowOff>37051</xdr:rowOff>
    </xdr:to>
    <xdr:sp macro="" textlink="">
      <xdr:nvSpPr>
        <xdr:cNvPr id="245126" name="フリーフォーム: 図形 245125">
          <a:extLst>
            <a:ext uri="{FF2B5EF4-FFF2-40B4-BE49-F238E27FC236}">
              <a16:creationId xmlns:a16="http://schemas.microsoft.com/office/drawing/2014/main" id="{5C6D7ED1-8C68-43F0-96B7-29E450F4ED89}"/>
            </a:ext>
          </a:extLst>
        </xdr:cNvPr>
        <xdr:cNvSpPr>
          <a:spLocks noChangeAspect="1"/>
        </xdr:cNvSpPr>
      </xdr:nvSpPr>
      <xdr:spPr>
        <a:xfrm>
          <a:off x="1980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32</xdr:row>
      <xdr:rowOff>64500</xdr:rowOff>
    </xdr:from>
    <xdr:to>
      <xdr:col>1</xdr:col>
      <xdr:colOff>502201</xdr:colOff>
      <xdr:row>33</xdr:row>
      <xdr:rowOff>37051</xdr:rowOff>
    </xdr:to>
    <xdr:sp macro="" textlink="">
      <xdr:nvSpPr>
        <xdr:cNvPr id="245127" name="フリーフォーム: 図形 245126">
          <a:extLst>
            <a:ext uri="{FF2B5EF4-FFF2-40B4-BE49-F238E27FC236}">
              <a16:creationId xmlns:a16="http://schemas.microsoft.com/office/drawing/2014/main" id="{E3AA7924-3045-4C8C-83FD-FFF7D2F73CF6}"/>
            </a:ext>
          </a:extLst>
        </xdr:cNvPr>
        <xdr:cNvSpPr>
          <a:spLocks noChangeAspect="1"/>
        </xdr:cNvSpPr>
      </xdr:nvSpPr>
      <xdr:spPr>
        <a:xfrm>
          <a:off x="7200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27</xdr:row>
      <xdr:rowOff>75750</xdr:rowOff>
    </xdr:from>
    <xdr:to>
      <xdr:col>0</xdr:col>
      <xdr:colOff>432001</xdr:colOff>
      <xdr:row>32</xdr:row>
      <xdr:rowOff>136501</xdr:rowOff>
    </xdr:to>
    <xdr:sp macro="" textlink="">
      <xdr:nvSpPr>
        <xdr:cNvPr id="245128" name="フリーフォーム: 図形 245127">
          <a:extLst>
            <a:ext uri="{FF2B5EF4-FFF2-40B4-BE49-F238E27FC236}">
              <a16:creationId xmlns:a16="http://schemas.microsoft.com/office/drawing/2014/main" id="{1DC99924-BAE7-46A5-B962-B1B0F2E10280}"/>
            </a:ext>
          </a:extLst>
        </xdr:cNvPr>
        <xdr:cNvSpPr>
          <a:spLocks noChangeAspect="1"/>
        </xdr:cNvSpPr>
      </xdr:nvSpPr>
      <xdr:spPr>
        <a:xfrm>
          <a:off x="1440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21</xdr:row>
      <xdr:rowOff>114450</xdr:rowOff>
    </xdr:from>
    <xdr:to>
      <xdr:col>0</xdr:col>
      <xdr:colOff>576001</xdr:colOff>
      <xdr:row>27</xdr:row>
      <xdr:rowOff>21751</xdr:rowOff>
    </xdr:to>
    <xdr:sp macro="" textlink="">
      <xdr:nvSpPr>
        <xdr:cNvPr id="245129" name="フリーフォーム: 図形 245128">
          <a:extLst>
            <a:ext uri="{FF2B5EF4-FFF2-40B4-BE49-F238E27FC236}">
              <a16:creationId xmlns:a16="http://schemas.microsoft.com/office/drawing/2014/main" id="{AF77B246-616C-49DE-AB2A-7FF36332B96C}"/>
            </a:ext>
          </a:extLst>
        </xdr:cNvPr>
        <xdr:cNvSpPr>
          <a:spLocks noChangeAspect="1"/>
        </xdr:cNvSpPr>
      </xdr:nvSpPr>
      <xdr:spPr>
        <a:xfrm>
          <a:off x="3240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26</xdr:row>
      <xdr:rowOff>139200</xdr:rowOff>
    </xdr:from>
    <xdr:to>
      <xdr:col>1</xdr:col>
      <xdr:colOff>160201</xdr:colOff>
      <xdr:row>27</xdr:row>
      <xdr:rowOff>111751</xdr:rowOff>
    </xdr:to>
    <xdr:sp macro="" textlink="">
      <xdr:nvSpPr>
        <xdr:cNvPr id="245130" name="フリーフォーム: 図形 245129">
          <a:extLst>
            <a:ext uri="{FF2B5EF4-FFF2-40B4-BE49-F238E27FC236}">
              <a16:creationId xmlns:a16="http://schemas.microsoft.com/office/drawing/2014/main" id="{C470B4B9-238B-49CA-8C7B-A7F22C7FCC37}"/>
            </a:ext>
          </a:extLst>
        </xdr:cNvPr>
        <xdr:cNvSpPr>
          <a:spLocks noChangeAspect="1"/>
        </xdr:cNvSpPr>
      </xdr:nvSpPr>
      <xdr:spPr>
        <a:xfrm>
          <a:off x="3960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26</xdr:row>
      <xdr:rowOff>139200</xdr:rowOff>
    </xdr:from>
    <xdr:to>
      <xdr:col>1</xdr:col>
      <xdr:colOff>664201</xdr:colOff>
      <xdr:row>27</xdr:row>
      <xdr:rowOff>111751</xdr:rowOff>
    </xdr:to>
    <xdr:sp macro="" textlink="">
      <xdr:nvSpPr>
        <xdr:cNvPr id="245131" name="フリーフォーム: 図形 245130">
          <a:extLst>
            <a:ext uri="{FF2B5EF4-FFF2-40B4-BE49-F238E27FC236}">
              <a16:creationId xmlns:a16="http://schemas.microsoft.com/office/drawing/2014/main" id="{6EC75053-6D64-479A-9CC5-BD45501B8133}"/>
            </a:ext>
          </a:extLst>
        </xdr:cNvPr>
        <xdr:cNvSpPr>
          <a:spLocks noChangeAspect="1"/>
        </xdr:cNvSpPr>
      </xdr:nvSpPr>
      <xdr:spPr>
        <a:xfrm>
          <a:off x="9000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22</xdr:row>
      <xdr:rowOff>51000</xdr:rowOff>
    </xdr:from>
    <xdr:to>
      <xdr:col>1</xdr:col>
      <xdr:colOff>178201</xdr:colOff>
      <xdr:row>27</xdr:row>
      <xdr:rowOff>3751</xdr:rowOff>
    </xdr:to>
    <xdr:sp macro="" textlink="">
      <xdr:nvSpPr>
        <xdr:cNvPr id="245132" name="フリーフォーム: 図形 245131">
          <a:extLst>
            <a:ext uri="{FF2B5EF4-FFF2-40B4-BE49-F238E27FC236}">
              <a16:creationId xmlns:a16="http://schemas.microsoft.com/office/drawing/2014/main" id="{AAD6D96E-E716-4ABF-ACCB-52CB9C545F26}"/>
            </a:ext>
          </a:extLst>
        </xdr:cNvPr>
        <xdr:cNvSpPr>
          <a:spLocks noChangeAspect="1"/>
        </xdr:cNvSpPr>
      </xdr:nvSpPr>
      <xdr:spPr>
        <a:xfrm>
          <a:off x="5940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21</xdr:row>
      <xdr:rowOff>114450</xdr:rowOff>
    </xdr:from>
    <xdr:to>
      <xdr:col>1</xdr:col>
      <xdr:colOff>430201</xdr:colOff>
      <xdr:row>26</xdr:row>
      <xdr:rowOff>157201</xdr:rowOff>
    </xdr:to>
    <xdr:sp macro="" textlink="">
      <xdr:nvSpPr>
        <xdr:cNvPr id="245133" name="フリーフォーム: 図形 245132">
          <a:extLst>
            <a:ext uri="{FF2B5EF4-FFF2-40B4-BE49-F238E27FC236}">
              <a16:creationId xmlns:a16="http://schemas.microsoft.com/office/drawing/2014/main" id="{11F84721-9D04-43EC-BCE9-CD2897B79A67}"/>
            </a:ext>
          </a:extLst>
        </xdr:cNvPr>
        <xdr:cNvSpPr>
          <a:spLocks noChangeAspect="1"/>
        </xdr:cNvSpPr>
      </xdr:nvSpPr>
      <xdr:spPr>
        <a:xfrm>
          <a:off x="8640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22</xdr:row>
      <xdr:rowOff>69000</xdr:rowOff>
    </xdr:from>
    <xdr:to>
      <xdr:col>2</xdr:col>
      <xdr:colOff>68401</xdr:colOff>
      <xdr:row>27</xdr:row>
      <xdr:rowOff>3751</xdr:rowOff>
    </xdr:to>
    <xdr:sp macro="" textlink="">
      <xdr:nvSpPr>
        <xdr:cNvPr id="245134" name="フリーフォーム: 図形 245133">
          <a:extLst>
            <a:ext uri="{FF2B5EF4-FFF2-40B4-BE49-F238E27FC236}">
              <a16:creationId xmlns:a16="http://schemas.microsoft.com/office/drawing/2014/main" id="{AD97AAC9-D1D5-4BA1-8F9B-450FEAB03D3C}"/>
            </a:ext>
          </a:extLst>
        </xdr:cNvPr>
        <xdr:cNvSpPr>
          <a:spLocks noChangeAspect="1"/>
        </xdr:cNvSpPr>
      </xdr:nvSpPr>
      <xdr:spPr>
        <a:xfrm>
          <a:off x="9180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27</xdr:row>
      <xdr:rowOff>75750</xdr:rowOff>
    </xdr:from>
    <xdr:to>
      <xdr:col>1</xdr:col>
      <xdr:colOff>466201</xdr:colOff>
      <xdr:row>31</xdr:row>
      <xdr:rowOff>163951</xdr:rowOff>
    </xdr:to>
    <xdr:sp macro="" textlink="">
      <xdr:nvSpPr>
        <xdr:cNvPr id="245135" name="フリーフォーム: 図形 245134">
          <a:extLst>
            <a:ext uri="{FF2B5EF4-FFF2-40B4-BE49-F238E27FC236}">
              <a16:creationId xmlns:a16="http://schemas.microsoft.com/office/drawing/2014/main" id="{503BE282-DA3C-43D3-8049-5E004FF6A244}"/>
            </a:ext>
          </a:extLst>
        </xdr:cNvPr>
        <xdr:cNvSpPr>
          <a:spLocks noChangeAspect="1"/>
        </xdr:cNvSpPr>
      </xdr:nvSpPr>
      <xdr:spPr>
        <a:xfrm>
          <a:off x="8820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27</xdr:row>
      <xdr:rowOff>93750</xdr:rowOff>
    </xdr:from>
    <xdr:to>
      <xdr:col>1</xdr:col>
      <xdr:colOff>196201</xdr:colOff>
      <xdr:row>32</xdr:row>
      <xdr:rowOff>118501</xdr:rowOff>
    </xdr:to>
    <xdr:sp macro="" textlink="">
      <xdr:nvSpPr>
        <xdr:cNvPr id="245136" name="フリーフォーム: 図形 245135">
          <a:extLst>
            <a:ext uri="{FF2B5EF4-FFF2-40B4-BE49-F238E27FC236}">
              <a16:creationId xmlns:a16="http://schemas.microsoft.com/office/drawing/2014/main" id="{C9027FC3-6272-4002-86DC-D46220A5DCF9}"/>
            </a:ext>
          </a:extLst>
        </xdr:cNvPr>
        <xdr:cNvSpPr>
          <a:spLocks noChangeAspect="1"/>
        </xdr:cNvSpPr>
      </xdr:nvSpPr>
      <xdr:spPr>
        <a:xfrm>
          <a:off x="6480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27</xdr:row>
      <xdr:rowOff>75750</xdr:rowOff>
    </xdr:from>
    <xdr:to>
      <xdr:col>1</xdr:col>
      <xdr:colOff>160201</xdr:colOff>
      <xdr:row>32</xdr:row>
      <xdr:rowOff>10501</xdr:rowOff>
    </xdr:to>
    <xdr:sp macro="" textlink="">
      <xdr:nvSpPr>
        <xdr:cNvPr id="245137" name="フリーフォーム: 図形 245136">
          <a:extLst>
            <a:ext uri="{FF2B5EF4-FFF2-40B4-BE49-F238E27FC236}">
              <a16:creationId xmlns:a16="http://schemas.microsoft.com/office/drawing/2014/main" id="{87716BB7-2EA4-4FD7-A80D-5A04B71BCC35}"/>
            </a:ext>
          </a:extLst>
        </xdr:cNvPr>
        <xdr:cNvSpPr>
          <a:spLocks noChangeAspect="1"/>
        </xdr:cNvSpPr>
      </xdr:nvSpPr>
      <xdr:spPr>
        <a:xfrm>
          <a:off x="3240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21</xdr:row>
      <xdr:rowOff>42450</xdr:rowOff>
    </xdr:from>
    <xdr:to>
      <xdr:col>4</xdr:col>
      <xdr:colOff>93601</xdr:colOff>
      <xdr:row>22</xdr:row>
      <xdr:rowOff>15001</xdr:rowOff>
    </xdr:to>
    <xdr:sp macro="" textlink="">
      <xdr:nvSpPr>
        <xdr:cNvPr id="245138" name="フリーフォーム: 図形 245137">
          <a:extLst>
            <a:ext uri="{FF2B5EF4-FFF2-40B4-BE49-F238E27FC236}">
              <a16:creationId xmlns:a16="http://schemas.microsoft.com/office/drawing/2014/main" id="{EE95F9E1-5FEB-46CA-9790-4BBF9075E9A2}"/>
            </a:ext>
          </a:extLst>
        </xdr:cNvPr>
        <xdr:cNvSpPr>
          <a:spLocks noChangeAspect="1"/>
        </xdr:cNvSpPr>
      </xdr:nvSpPr>
      <xdr:spPr>
        <a:xfrm>
          <a:off x="23688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21</xdr:row>
      <xdr:rowOff>42450</xdr:rowOff>
    </xdr:from>
    <xdr:to>
      <xdr:col>4</xdr:col>
      <xdr:colOff>633601</xdr:colOff>
      <xdr:row>22</xdr:row>
      <xdr:rowOff>15001</xdr:rowOff>
    </xdr:to>
    <xdr:sp macro="" textlink="">
      <xdr:nvSpPr>
        <xdr:cNvPr id="245139" name="フリーフォーム: 図形 245138">
          <a:extLst>
            <a:ext uri="{FF2B5EF4-FFF2-40B4-BE49-F238E27FC236}">
              <a16:creationId xmlns:a16="http://schemas.microsoft.com/office/drawing/2014/main" id="{3EE8BB88-70D0-49B1-B485-F2173639C2F9}"/>
            </a:ext>
          </a:extLst>
        </xdr:cNvPr>
        <xdr:cNvSpPr>
          <a:spLocks noChangeAspect="1"/>
        </xdr:cNvSpPr>
      </xdr:nvSpPr>
      <xdr:spPr>
        <a:xfrm>
          <a:off x="29088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21</xdr:row>
      <xdr:rowOff>114450</xdr:rowOff>
    </xdr:from>
    <xdr:to>
      <xdr:col>5</xdr:col>
      <xdr:colOff>19801</xdr:colOff>
      <xdr:row>27</xdr:row>
      <xdr:rowOff>21751</xdr:rowOff>
    </xdr:to>
    <xdr:sp macro="" textlink="">
      <xdr:nvSpPr>
        <xdr:cNvPr id="245140" name="フリーフォーム: 図形 245139">
          <a:extLst>
            <a:ext uri="{FF2B5EF4-FFF2-40B4-BE49-F238E27FC236}">
              <a16:creationId xmlns:a16="http://schemas.microsoft.com/office/drawing/2014/main" id="{AA78B4F6-90E5-4186-A85B-CEB1348BE84C}"/>
            </a:ext>
          </a:extLst>
        </xdr:cNvPr>
        <xdr:cNvSpPr>
          <a:spLocks noChangeAspect="1"/>
        </xdr:cNvSpPr>
      </xdr:nvSpPr>
      <xdr:spPr>
        <a:xfrm>
          <a:off x="31608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27</xdr:row>
      <xdr:rowOff>75750</xdr:rowOff>
    </xdr:from>
    <xdr:to>
      <xdr:col>4</xdr:col>
      <xdr:colOff>525601</xdr:colOff>
      <xdr:row>32</xdr:row>
      <xdr:rowOff>136501</xdr:rowOff>
    </xdr:to>
    <xdr:sp macro="" textlink="">
      <xdr:nvSpPr>
        <xdr:cNvPr id="245141" name="フリーフォーム: 図形 245140">
          <a:extLst>
            <a:ext uri="{FF2B5EF4-FFF2-40B4-BE49-F238E27FC236}">
              <a16:creationId xmlns:a16="http://schemas.microsoft.com/office/drawing/2014/main" id="{3E46097A-EFA2-4174-B402-6945405C4666}"/>
            </a:ext>
          </a:extLst>
        </xdr:cNvPr>
        <xdr:cNvSpPr>
          <a:spLocks noChangeAspect="1"/>
        </xdr:cNvSpPr>
      </xdr:nvSpPr>
      <xdr:spPr>
        <a:xfrm>
          <a:off x="29808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32</xdr:row>
      <xdr:rowOff>64500</xdr:rowOff>
    </xdr:from>
    <xdr:to>
      <xdr:col>3</xdr:col>
      <xdr:colOff>455401</xdr:colOff>
      <xdr:row>33</xdr:row>
      <xdr:rowOff>37051</xdr:rowOff>
    </xdr:to>
    <xdr:sp macro="" textlink="">
      <xdr:nvSpPr>
        <xdr:cNvPr id="245142" name="フリーフォーム: 図形 245141">
          <a:extLst>
            <a:ext uri="{FF2B5EF4-FFF2-40B4-BE49-F238E27FC236}">
              <a16:creationId xmlns:a16="http://schemas.microsoft.com/office/drawing/2014/main" id="{B3F36B53-C63A-4557-954C-231C03394A15}"/>
            </a:ext>
          </a:extLst>
        </xdr:cNvPr>
        <xdr:cNvSpPr>
          <a:spLocks noChangeAspect="1"/>
        </xdr:cNvSpPr>
      </xdr:nvSpPr>
      <xdr:spPr>
        <a:xfrm>
          <a:off x="20268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32</xdr:row>
      <xdr:rowOff>64500</xdr:rowOff>
    </xdr:from>
    <xdr:to>
      <xdr:col>4</xdr:col>
      <xdr:colOff>273601</xdr:colOff>
      <xdr:row>33</xdr:row>
      <xdr:rowOff>37051</xdr:rowOff>
    </xdr:to>
    <xdr:sp macro="" textlink="">
      <xdr:nvSpPr>
        <xdr:cNvPr id="245143" name="フリーフォーム: 図形 245142">
          <a:extLst>
            <a:ext uri="{FF2B5EF4-FFF2-40B4-BE49-F238E27FC236}">
              <a16:creationId xmlns:a16="http://schemas.microsoft.com/office/drawing/2014/main" id="{340F36B4-631D-44BE-B6C4-7C7FF7AF8F0F}"/>
            </a:ext>
          </a:extLst>
        </xdr:cNvPr>
        <xdr:cNvSpPr>
          <a:spLocks noChangeAspect="1"/>
        </xdr:cNvSpPr>
      </xdr:nvSpPr>
      <xdr:spPr>
        <a:xfrm>
          <a:off x="25488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27</xdr:row>
      <xdr:rowOff>75750</xdr:rowOff>
    </xdr:from>
    <xdr:to>
      <xdr:col>3</xdr:col>
      <xdr:colOff>203401</xdr:colOff>
      <xdr:row>32</xdr:row>
      <xdr:rowOff>136501</xdr:rowOff>
    </xdr:to>
    <xdr:sp macro="" textlink="">
      <xdr:nvSpPr>
        <xdr:cNvPr id="245144" name="フリーフォーム: 図形 245143">
          <a:extLst>
            <a:ext uri="{FF2B5EF4-FFF2-40B4-BE49-F238E27FC236}">
              <a16:creationId xmlns:a16="http://schemas.microsoft.com/office/drawing/2014/main" id="{F6637190-B30E-4FB7-8FD5-B40DBFB73FCA}"/>
            </a:ext>
          </a:extLst>
        </xdr:cNvPr>
        <xdr:cNvSpPr>
          <a:spLocks noChangeAspect="1"/>
        </xdr:cNvSpPr>
      </xdr:nvSpPr>
      <xdr:spPr>
        <a:xfrm>
          <a:off x="19728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21</xdr:row>
      <xdr:rowOff>114450</xdr:rowOff>
    </xdr:from>
    <xdr:to>
      <xdr:col>3</xdr:col>
      <xdr:colOff>347401</xdr:colOff>
      <xdr:row>27</xdr:row>
      <xdr:rowOff>21751</xdr:rowOff>
    </xdr:to>
    <xdr:sp macro="" textlink="">
      <xdr:nvSpPr>
        <xdr:cNvPr id="245145" name="フリーフォーム: 図形 245144">
          <a:extLst>
            <a:ext uri="{FF2B5EF4-FFF2-40B4-BE49-F238E27FC236}">
              <a16:creationId xmlns:a16="http://schemas.microsoft.com/office/drawing/2014/main" id="{8CC6F10D-0BAB-41B0-BAE1-5E23AABF5B33}"/>
            </a:ext>
          </a:extLst>
        </xdr:cNvPr>
        <xdr:cNvSpPr>
          <a:spLocks noChangeAspect="1"/>
        </xdr:cNvSpPr>
      </xdr:nvSpPr>
      <xdr:spPr>
        <a:xfrm>
          <a:off x="21528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26</xdr:row>
      <xdr:rowOff>139200</xdr:rowOff>
    </xdr:from>
    <xdr:to>
      <xdr:col>3</xdr:col>
      <xdr:colOff>617401</xdr:colOff>
      <xdr:row>27</xdr:row>
      <xdr:rowOff>111751</xdr:rowOff>
    </xdr:to>
    <xdr:sp macro="" textlink="">
      <xdr:nvSpPr>
        <xdr:cNvPr id="245146" name="フリーフォーム: 図形 245145">
          <a:extLst>
            <a:ext uri="{FF2B5EF4-FFF2-40B4-BE49-F238E27FC236}">
              <a16:creationId xmlns:a16="http://schemas.microsoft.com/office/drawing/2014/main" id="{6AED49AB-ED80-4EC4-A225-5D9C23612070}"/>
            </a:ext>
          </a:extLst>
        </xdr:cNvPr>
        <xdr:cNvSpPr>
          <a:spLocks noChangeAspect="1"/>
        </xdr:cNvSpPr>
      </xdr:nvSpPr>
      <xdr:spPr>
        <a:xfrm>
          <a:off x="22248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26</xdr:row>
      <xdr:rowOff>139200</xdr:rowOff>
    </xdr:from>
    <xdr:to>
      <xdr:col>4</xdr:col>
      <xdr:colOff>435601</xdr:colOff>
      <xdr:row>27</xdr:row>
      <xdr:rowOff>111751</xdr:rowOff>
    </xdr:to>
    <xdr:sp macro="" textlink="">
      <xdr:nvSpPr>
        <xdr:cNvPr id="245147" name="フリーフォーム: 図形 245146">
          <a:extLst>
            <a:ext uri="{FF2B5EF4-FFF2-40B4-BE49-F238E27FC236}">
              <a16:creationId xmlns:a16="http://schemas.microsoft.com/office/drawing/2014/main" id="{F563DEE3-96FC-4EC5-A2D9-CE17A63ECACC}"/>
            </a:ext>
          </a:extLst>
        </xdr:cNvPr>
        <xdr:cNvSpPr>
          <a:spLocks noChangeAspect="1"/>
        </xdr:cNvSpPr>
      </xdr:nvSpPr>
      <xdr:spPr>
        <a:xfrm>
          <a:off x="27288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22</xdr:row>
      <xdr:rowOff>51000</xdr:rowOff>
    </xdr:from>
    <xdr:to>
      <xdr:col>3</xdr:col>
      <xdr:colOff>635401</xdr:colOff>
      <xdr:row>27</xdr:row>
      <xdr:rowOff>3751</xdr:rowOff>
    </xdr:to>
    <xdr:sp macro="" textlink="">
      <xdr:nvSpPr>
        <xdr:cNvPr id="245148" name="フリーフォーム: 図形 245147">
          <a:extLst>
            <a:ext uri="{FF2B5EF4-FFF2-40B4-BE49-F238E27FC236}">
              <a16:creationId xmlns:a16="http://schemas.microsoft.com/office/drawing/2014/main" id="{195C8E3A-4960-492A-AAB7-845FD8A9CFFA}"/>
            </a:ext>
          </a:extLst>
        </xdr:cNvPr>
        <xdr:cNvSpPr>
          <a:spLocks noChangeAspect="1"/>
        </xdr:cNvSpPr>
      </xdr:nvSpPr>
      <xdr:spPr>
        <a:xfrm>
          <a:off x="24228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21</xdr:row>
      <xdr:rowOff>114450</xdr:rowOff>
    </xdr:from>
    <xdr:to>
      <xdr:col>4</xdr:col>
      <xdr:colOff>201601</xdr:colOff>
      <xdr:row>26</xdr:row>
      <xdr:rowOff>157201</xdr:rowOff>
    </xdr:to>
    <xdr:sp macro="" textlink="">
      <xdr:nvSpPr>
        <xdr:cNvPr id="245149" name="フリーフォーム: 図形 245148">
          <a:extLst>
            <a:ext uri="{FF2B5EF4-FFF2-40B4-BE49-F238E27FC236}">
              <a16:creationId xmlns:a16="http://schemas.microsoft.com/office/drawing/2014/main" id="{CC216673-3954-4654-85FB-DDE9FD3953E9}"/>
            </a:ext>
          </a:extLst>
        </xdr:cNvPr>
        <xdr:cNvSpPr>
          <a:spLocks noChangeAspect="1"/>
        </xdr:cNvSpPr>
      </xdr:nvSpPr>
      <xdr:spPr>
        <a:xfrm>
          <a:off x="26928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22</xdr:row>
      <xdr:rowOff>69000</xdr:rowOff>
    </xdr:from>
    <xdr:to>
      <xdr:col>4</xdr:col>
      <xdr:colOff>525601</xdr:colOff>
      <xdr:row>27</xdr:row>
      <xdr:rowOff>3751</xdr:rowOff>
    </xdr:to>
    <xdr:sp macro="" textlink="">
      <xdr:nvSpPr>
        <xdr:cNvPr id="245150" name="フリーフォーム: 図形 245149">
          <a:extLst>
            <a:ext uri="{FF2B5EF4-FFF2-40B4-BE49-F238E27FC236}">
              <a16:creationId xmlns:a16="http://schemas.microsoft.com/office/drawing/2014/main" id="{2C0D39CE-EC6E-4C25-9B49-062FB01B81AB}"/>
            </a:ext>
          </a:extLst>
        </xdr:cNvPr>
        <xdr:cNvSpPr>
          <a:spLocks noChangeAspect="1"/>
        </xdr:cNvSpPr>
      </xdr:nvSpPr>
      <xdr:spPr>
        <a:xfrm>
          <a:off x="27468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27</xdr:row>
      <xdr:rowOff>75750</xdr:rowOff>
    </xdr:from>
    <xdr:to>
      <xdr:col>4</xdr:col>
      <xdr:colOff>237601</xdr:colOff>
      <xdr:row>31</xdr:row>
      <xdr:rowOff>163951</xdr:rowOff>
    </xdr:to>
    <xdr:sp macro="" textlink="">
      <xdr:nvSpPr>
        <xdr:cNvPr id="245151" name="フリーフォーム: 図形 245150">
          <a:extLst>
            <a:ext uri="{FF2B5EF4-FFF2-40B4-BE49-F238E27FC236}">
              <a16:creationId xmlns:a16="http://schemas.microsoft.com/office/drawing/2014/main" id="{09A78872-49F3-4909-AEE6-B545DE5D825A}"/>
            </a:ext>
          </a:extLst>
        </xdr:cNvPr>
        <xdr:cNvSpPr>
          <a:spLocks noChangeAspect="1"/>
        </xdr:cNvSpPr>
      </xdr:nvSpPr>
      <xdr:spPr>
        <a:xfrm>
          <a:off x="27108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27</xdr:row>
      <xdr:rowOff>93750</xdr:rowOff>
    </xdr:from>
    <xdr:to>
      <xdr:col>3</xdr:col>
      <xdr:colOff>653401</xdr:colOff>
      <xdr:row>32</xdr:row>
      <xdr:rowOff>118501</xdr:rowOff>
    </xdr:to>
    <xdr:sp macro="" textlink="">
      <xdr:nvSpPr>
        <xdr:cNvPr id="245152" name="フリーフォーム: 図形 245151">
          <a:extLst>
            <a:ext uri="{FF2B5EF4-FFF2-40B4-BE49-F238E27FC236}">
              <a16:creationId xmlns:a16="http://schemas.microsoft.com/office/drawing/2014/main" id="{21B6CD4F-46C7-40C3-A4A0-BBB4EEDAA598}"/>
            </a:ext>
          </a:extLst>
        </xdr:cNvPr>
        <xdr:cNvSpPr>
          <a:spLocks noChangeAspect="1"/>
        </xdr:cNvSpPr>
      </xdr:nvSpPr>
      <xdr:spPr>
        <a:xfrm>
          <a:off x="24768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27</xdr:row>
      <xdr:rowOff>75750</xdr:rowOff>
    </xdr:from>
    <xdr:to>
      <xdr:col>3</xdr:col>
      <xdr:colOff>617401</xdr:colOff>
      <xdr:row>32</xdr:row>
      <xdr:rowOff>10501</xdr:rowOff>
    </xdr:to>
    <xdr:sp macro="" textlink="">
      <xdr:nvSpPr>
        <xdr:cNvPr id="245153" name="フリーフォーム: 図形 245152">
          <a:extLst>
            <a:ext uri="{FF2B5EF4-FFF2-40B4-BE49-F238E27FC236}">
              <a16:creationId xmlns:a16="http://schemas.microsoft.com/office/drawing/2014/main" id="{1FA898D0-26D5-443D-816E-6C1AC9B0031F}"/>
            </a:ext>
          </a:extLst>
        </xdr:cNvPr>
        <xdr:cNvSpPr>
          <a:spLocks noChangeAspect="1"/>
        </xdr:cNvSpPr>
      </xdr:nvSpPr>
      <xdr:spPr>
        <a:xfrm>
          <a:off x="21528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21</xdr:row>
      <xdr:rowOff>42450</xdr:rowOff>
    </xdr:from>
    <xdr:to>
      <xdr:col>6</xdr:col>
      <xdr:colOff>550801</xdr:colOff>
      <xdr:row>22</xdr:row>
      <xdr:rowOff>15001</xdr:rowOff>
    </xdr:to>
    <xdr:sp macro="" textlink="">
      <xdr:nvSpPr>
        <xdr:cNvPr id="245154" name="フリーフォーム: 図形 245153">
          <a:extLst>
            <a:ext uri="{FF2B5EF4-FFF2-40B4-BE49-F238E27FC236}">
              <a16:creationId xmlns:a16="http://schemas.microsoft.com/office/drawing/2014/main" id="{257F5C4D-860D-4307-9E07-5B2CF119256D}"/>
            </a:ext>
          </a:extLst>
        </xdr:cNvPr>
        <xdr:cNvSpPr>
          <a:spLocks noChangeAspect="1"/>
        </xdr:cNvSpPr>
      </xdr:nvSpPr>
      <xdr:spPr>
        <a:xfrm>
          <a:off x="41976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21</xdr:row>
      <xdr:rowOff>42450</xdr:rowOff>
    </xdr:from>
    <xdr:to>
      <xdr:col>7</xdr:col>
      <xdr:colOff>405001</xdr:colOff>
      <xdr:row>22</xdr:row>
      <xdr:rowOff>15001</xdr:rowOff>
    </xdr:to>
    <xdr:sp macro="" textlink="">
      <xdr:nvSpPr>
        <xdr:cNvPr id="245155" name="フリーフォーム: 図形 245154">
          <a:extLst>
            <a:ext uri="{FF2B5EF4-FFF2-40B4-BE49-F238E27FC236}">
              <a16:creationId xmlns:a16="http://schemas.microsoft.com/office/drawing/2014/main" id="{9E6AE654-6F51-43D2-B2B5-8256CF4BFEEA}"/>
            </a:ext>
          </a:extLst>
        </xdr:cNvPr>
        <xdr:cNvSpPr>
          <a:spLocks noChangeAspect="1"/>
        </xdr:cNvSpPr>
      </xdr:nvSpPr>
      <xdr:spPr>
        <a:xfrm>
          <a:off x="47376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21</xdr:row>
      <xdr:rowOff>114450</xdr:rowOff>
    </xdr:from>
    <xdr:to>
      <xdr:col>7</xdr:col>
      <xdr:colOff>477001</xdr:colOff>
      <xdr:row>27</xdr:row>
      <xdr:rowOff>21751</xdr:rowOff>
    </xdr:to>
    <xdr:sp macro="" textlink="">
      <xdr:nvSpPr>
        <xdr:cNvPr id="245156" name="フリーフォーム: 図形 245155">
          <a:extLst>
            <a:ext uri="{FF2B5EF4-FFF2-40B4-BE49-F238E27FC236}">
              <a16:creationId xmlns:a16="http://schemas.microsoft.com/office/drawing/2014/main" id="{92B305E1-CAC4-4005-A494-CC162A353173}"/>
            </a:ext>
          </a:extLst>
        </xdr:cNvPr>
        <xdr:cNvSpPr>
          <a:spLocks noChangeAspect="1"/>
        </xdr:cNvSpPr>
      </xdr:nvSpPr>
      <xdr:spPr>
        <a:xfrm>
          <a:off x="49896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27</xdr:row>
      <xdr:rowOff>75750</xdr:rowOff>
    </xdr:from>
    <xdr:to>
      <xdr:col>7</xdr:col>
      <xdr:colOff>297001</xdr:colOff>
      <xdr:row>32</xdr:row>
      <xdr:rowOff>136501</xdr:rowOff>
    </xdr:to>
    <xdr:sp macro="" textlink="">
      <xdr:nvSpPr>
        <xdr:cNvPr id="245157" name="フリーフォーム: 図形 245156">
          <a:extLst>
            <a:ext uri="{FF2B5EF4-FFF2-40B4-BE49-F238E27FC236}">
              <a16:creationId xmlns:a16="http://schemas.microsoft.com/office/drawing/2014/main" id="{5C63630B-5329-4384-872B-C30C0B255E0E}"/>
            </a:ext>
          </a:extLst>
        </xdr:cNvPr>
        <xdr:cNvSpPr>
          <a:spLocks noChangeAspect="1"/>
        </xdr:cNvSpPr>
      </xdr:nvSpPr>
      <xdr:spPr>
        <a:xfrm>
          <a:off x="48096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32</xdr:row>
      <xdr:rowOff>64500</xdr:rowOff>
    </xdr:from>
    <xdr:to>
      <xdr:col>6</xdr:col>
      <xdr:colOff>226801</xdr:colOff>
      <xdr:row>33</xdr:row>
      <xdr:rowOff>37051</xdr:rowOff>
    </xdr:to>
    <xdr:sp macro="" textlink="">
      <xdr:nvSpPr>
        <xdr:cNvPr id="245158" name="フリーフォーム: 図形 245157">
          <a:extLst>
            <a:ext uri="{FF2B5EF4-FFF2-40B4-BE49-F238E27FC236}">
              <a16:creationId xmlns:a16="http://schemas.microsoft.com/office/drawing/2014/main" id="{6A5B9A0D-7719-42A3-9710-3FC29A55CE79}"/>
            </a:ext>
          </a:extLst>
        </xdr:cNvPr>
        <xdr:cNvSpPr>
          <a:spLocks noChangeAspect="1"/>
        </xdr:cNvSpPr>
      </xdr:nvSpPr>
      <xdr:spPr>
        <a:xfrm>
          <a:off x="38556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32</xdr:row>
      <xdr:rowOff>64500</xdr:rowOff>
    </xdr:from>
    <xdr:to>
      <xdr:col>7</xdr:col>
      <xdr:colOff>45001</xdr:colOff>
      <xdr:row>33</xdr:row>
      <xdr:rowOff>37051</xdr:rowOff>
    </xdr:to>
    <xdr:sp macro="" textlink="">
      <xdr:nvSpPr>
        <xdr:cNvPr id="245159" name="フリーフォーム: 図形 245158">
          <a:extLst>
            <a:ext uri="{FF2B5EF4-FFF2-40B4-BE49-F238E27FC236}">
              <a16:creationId xmlns:a16="http://schemas.microsoft.com/office/drawing/2014/main" id="{BE59B77A-C2B6-44CD-9EF4-D6D6DDE6EE7B}"/>
            </a:ext>
          </a:extLst>
        </xdr:cNvPr>
        <xdr:cNvSpPr>
          <a:spLocks noChangeAspect="1"/>
        </xdr:cNvSpPr>
      </xdr:nvSpPr>
      <xdr:spPr>
        <a:xfrm>
          <a:off x="43776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27</xdr:row>
      <xdr:rowOff>75750</xdr:rowOff>
    </xdr:from>
    <xdr:to>
      <xdr:col>5</xdr:col>
      <xdr:colOff>660601</xdr:colOff>
      <xdr:row>32</xdr:row>
      <xdr:rowOff>136501</xdr:rowOff>
    </xdr:to>
    <xdr:sp macro="" textlink="">
      <xdr:nvSpPr>
        <xdr:cNvPr id="245160" name="フリーフォーム: 図形 245159">
          <a:extLst>
            <a:ext uri="{FF2B5EF4-FFF2-40B4-BE49-F238E27FC236}">
              <a16:creationId xmlns:a16="http://schemas.microsoft.com/office/drawing/2014/main" id="{3D9B9B1F-87CC-4EE9-9606-EF4349103C4A}"/>
            </a:ext>
          </a:extLst>
        </xdr:cNvPr>
        <xdr:cNvSpPr>
          <a:spLocks noChangeAspect="1"/>
        </xdr:cNvSpPr>
      </xdr:nvSpPr>
      <xdr:spPr>
        <a:xfrm>
          <a:off x="38016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21</xdr:row>
      <xdr:rowOff>114450</xdr:rowOff>
    </xdr:from>
    <xdr:to>
      <xdr:col>6</xdr:col>
      <xdr:colOff>118801</xdr:colOff>
      <xdr:row>27</xdr:row>
      <xdr:rowOff>21751</xdr:rowOff>
    </xdr:to>
    <xdr:sp macro="" textlink="">
      <xdr:nvSpPr>
        <xdr:cNvPr id="245161" name="フリーフォーム: 図形 245160">
          <a:extLst>
            <a:ext uri="{FF2B5EF4-FFF2-40B4-BE49-F238E27FC236}">
              <a16:creationId xmlns:a16="http://schemas.microsoft.com/office/drawing/2014/main" id="{9950C184-0461-411F-AC27-05D31B8A58B1}"/>
            </a:ext>
          </a:extLst>
        </xdr:cNvPr>
        <xdr:cNvSpPr>
          <a:spLocks noChangeAspect="1"/>
        </xdr:cNvSpPr>
      </xdr:nvSpPr>
      <xdr:spPr>
        <a:xfrm>
          <a:off x="39816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26</xdr:row>
      <xdr:rowOff>139200</xdr:rowOff>
    </xdr:from>
    <xdr:to>
      <xdr:col>6</xdr:col>
      <xdr:colOff>388801</xdr:colOff>
      <xdr:row>27</xdr:row>
      <xdr:rowOff>111751</xdr:rowOff>
    </xdr:to>
    <xdr:sp macro="" textlink="">
      <xdr:nvSpPr>
        <xdr:cNvPr id="245162" name="フリーフォーム: 図形 245161">
          <a:extLst>
            <a:ext uri="{FF2B5EF4-FFF2-40B4-BE49-F238E27FC236}">
              <a16:creationId xmlns:a16="http://schemas.microsoft.com/office/drawing/2014/main" id="{79CB5CAF-C49A-4657-A9C6-844C7E3567BE}"/>
            </a:ext>
          </a:extLst>
        </xdr:cNvPr>
        <xdr:cNvSpPr>
          <a:spLocks noChangeAspect="1"/>
        </xdr:cNvSpPr>
      </xdr:nvSpPr>
      <xdr:spPr>
        <a:xfrm>
          <a:off x="40536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26</xdr:row>
      <xdr:rowOff>139200</xdr:rowOff>
    </xdr:from>
    <xdr:to>
      <xdr:col>7</xdr:col>
      <xdr:colOff>207001</xdr:colOff>
      <xdr:row>27</xdr:row>
      <xdr:rowOff>111751</xdr:rowOff>
    </xdr:to>
    <xdr:sp macro="" textlink="">
      <xdr:nvSpPr>
        <xdr:cNvPr id="245163" name="フリーフォーム: 図形 245162">
          <a:extLst>
            <a:ext uri="{FF2B5EF4-FFF2-40B4-BE49-F238E27FC236}">
              <a16:creationId xmlns:a16="http://schemas.microsoft.com/office/drawing/2014/main" id="{E8A5718E-0D96-4A27-AC90-D8DB8BB6B0FF}"/>
            </a:ext>
          </a:extLst>
        </xdr:cNvPr>
        <xdr:cNvSpPr>
          <a:spLocks noChangeAspect="1"/>
        </xdr:cNvSpPr>
      </xdr:nvSpPr>
      <xdr:spPr>
        <a:xfrm>
          <a:off x="45576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22</xdr:row>
      <xdr:rowOff>51000</xdr:rowOff>
    </xdr:from>
    <xdr:to>
      <xdr:col>6</xdr:col>
      <xdr:colOff>406801</xdr:colOff>
      <xdr:row>27</xdr:row>
      <xdr:rowOff>3751</xdr:rowOff>
    </xdr:to>
    <xdr:sp macro="" textlink="">
      <xdr:nvSpPr>
        <xdr:cNvPr id="245164" name="フリーフォーム: 図形 245163">
          <a:extLst>
            <a:ext uri="{FF2B5EF4-FFF2-40B4-BE49-F238E27FC236}">
              <a16:creationId xmlns:a16="http://schemas.microsoft.com/office/drawing/2014/main" id="{88749D77-6F4C-4C5D-9C76-DCBCFCD69818}"/>
            </a:ext>
          </a:extLst>
        </xdr:cNvPr>
        <xdr:cNvSpPr>
          <a:spLocks noChangeAspect="1"/>
        </xdr:cNvSpPr>
      </xdr:nvSpPr>
      <xdr:spPr>
        <a:xfrm>
          <a:off x="42516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21</xdr:row>
      <xdr:rowOff>114450</xdr:rowOff>
    </xdr:from>
    <xdr:to>
      <xdr:col>6</xdr:col>
      <xdr:colOff>658801</xdr:colOff>
      <xdr:row>26</xdr:row>
      <xdr:rowOff>157201</xdr:rowOff>
    </xdr:to>
    <xdr:sp macro="" textlink="">
      <xdr:nvSpPr>
        <xdr:cNvPr id="245165" name="フリーフォーム: 図形 245164">
          <a:extLst>
            <a:ext uri="{FF2B5EF4-FFF2-40B4-BE49-F238E27FC236}">
              <a16:creationId xmlns:a16="http://schemas.microsoft.com/office/drawing/2014/main" id="{DAF34994-A778-48BE-8B0B-DC853E784F29}"/>
            </a:ext>
          </a:extLst>
        </xdr:cNvPr>
        <xdr:cNvSpPr>
          <a:spLocks noChangeAspect="1"/>
        </xdr:cNvSpPr>
      </xdr:nvSpPr>
      <xdr:spPr>
        <a:xfrm>
          <a:off x="45216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22</xdr:row>
      <xdr:rowOff>69000</xdr:rowOff>
    </xdr:from>
    <xdr:to>
      <xdr:col>7</xdr:col>
      <xdr:colOff>297001</xdr:colOff>
      <xdr:row>27</xdr:row>
      <xdr:rowOff>3751</xdr:rowOff>
    </xdr:to>
    <xdr:sp macro="" textlink="">
      <xdr:nvSpPr>
        <xdr:cNvPr id="245166" name="フリーフォーム: 図形 245165">
          <a:extLst>
            <a:ext uri="{FF2B5EF4-FFF2-40B4-BE49-F238E27FC236}">
              <a16:creationId xmlns:a16="http://schemas.microsoft.com/office/drawing/2014/main" id="{EC157B84-5870-451F-A83C-2DEDCF5FC3B8}"/>
            </a:ext>
          </a:extLst>
        </xdr:cNvPr>
        <xdr:cNvSpPr>
          <a:spLocks noChangeAspect="1"/>
        </xdr:cNvSpPr>
      </xdr:nvSpPr>
      <xdr:spPr>
        <a:xfrm>
          <a:off x="45756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27</xdr:row>
      <xdr:rowOff>75750</xdr:rowOff>
    </xdr:from>
    <xdr:to>
      <xdr:col>7</xdr:col>
      <xdr:colOff>9001</xdr:colOff>
      <xdr:row>31</xdr:row>
      <xdr:rowOff>163951</xdr:rowOff>
    </xdr:to>
    <xdr:sp macro="" textlink="">
      <xdr:nvSpPr>
        <xdr:cNvPr id="245167" name="フリーフォーム: 図形 245166">
          <a:extLst>
            <a:ext uri="{FF2B5EF4-FFF2-40B4-BE49-F238E27FC236}">
              <a16:creationId xmlns:a16="http://schemas.microsoft.com/office/drawing/2014/main" id="{B367CE45-73BE-4794-A892-1C2F79929679}"/>
            </a:ext>
          </a:extLst>
        </xdr:cNvPr>
        <xdr:cNvSpPr>
          <a:spLocks noChangeAspect="1"/>
        </xdr:cNvSpPr>
      </xdr:nvSpPr>
      <xdr:spPr>
        <a:xfrm>
          <a:off x="45396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27</xdr:row>
      <xdr:rowOff>93750</xdr:rowOff>
    </xdr:from>
    <xdr:to>
      <xdr:col>6</xdr:col>
      <xdr:colOff>424801</xdr:colOff>
      <xdr:row>32</xdr:row>
      <xdr:rowOff>118501</xdr:rowOff>
    </xdr:to>
    <xdr:sp macro="" textlink="">
      <xdr:nvSpPr>
        <xdr:cNvPr id="245168" name="フリーフォーム: 図形 245167">
          <a:extLst>
            <a:ext uri="{FF2B5EF4-FFF2-40B4-BE49-F238E27FC236}">
              <a16:creationId xmlns:a16="http://schemas.microsoft.com/office/drawing/2014/main" id="{C2998C7F-EF0F-4E07-94CE-C3476071FE20}"/>
            </a:ext>
          </a:extLst>
        </xdr:cNvPr>
        <xdr:cNvSpPr>
          <a:spLocks noChangeAspect="1"/>
        </xdr:cNvSpPr>
      </xdr:nvSpPr>
      <xdr:spPr>
        <a:xfrm>
          <a:off x="43056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27</xdr:row>
      <xdr:rowOff>75750</xdr:rowOff>
    </xdr:from>
    <xdr:to>
      <xdr:col>6</xdr:col>
      <xdr:colOff>388801</xdr:colOff>
      <xdr:row>32</xdr:row>
      <xdr:rowOff>10501</xdr:rowOff>
    </xdr:to>
    <xdr:sp macro="" textlink="">
      <xdr:nvSpPr>
        <xdr:cNvPr id="245169" name="フリーフォーム: 図形 245168">
          <a:extLst>
            <a:ext uri="{FF2B5EF4-FFF2-40B4-BE49-F238E27FC236}">
              <a16:creationId xmlns:a16="http://schemas.microsoft.com/office/drawing/2014/main" id="{CE4424B6-7557-4425-9EE0-6367E0FCF3D3}"/>
            </a:ext>
          </a:extLst>
        </xdr:cNvPr>
        <xdr:cNvSpPr>
          <a:spLocks noChangeAspect="1"/>
        </xdr:cNvSpPr>
      </xdr:nvSpPr>
      <xdr:spPr>
        <a:xfrm>
          <a:off x="39816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21</xdr:row>
      <xdr:rowOff>42450</xdr:rowOff>
    </xdr:from>
    <xdr:to>
      <xdr:col>9</xdr:col>
      <xdr:colOff>322201</xdr:colOff>
      <xdr:row>22</xdr:row>
      <xdr:rowOff>15001</xdr:rowOff>
    </xdr:to>
    <xdr:sp macro="" textlink="">
      <xdr:nvSpPr>
        <xdr:cNvPr id="245170" name="フリーフォーム: 図形 245169">
          <a:extLst>
            <a:ext uri="{FF2B5EF4-FFF2-40B4-BE49-F238E27FC236}">
              <a16:creationId xmlns:a16="http://schemas.microsoft.com/office/drawing/2014/main" id="{23340ECF-A171-4B99-A5F3-1A4B4896C4B5}"/>
            </a:ext>
          </a:extLst>
        </xdr:cNvPr>
        <xdr:cNvSpPr>
          <a:spLocks noChangeAspect="1"/>
        </xdr:cNvSpPr>
      </xdr:nvSpPr>
      <xdr:spPr>
        <a:xfrm>
          <a:off x="60264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21</xdr:row>
      <xdr:rowOff>42450</xdr:rowOff>
    </xdr:from>
    <xdr:to>
      <xdr:col>10</xdr:col>
      <xdr:colOff>176401</xdr:colOff>
      <xdr:row>22</xdr:row>
      <xdr:rowOff>15001</xdr:rowOff>
    </xdr:to>
    <xdr:sp macro="" textlink="">
      <xdr:nvSpPr>
        <xdr:cNvPr id="245171" name="フリーフォーム: 図形 245170">
          <a:extLst>
            <a:ext uri="{FF2B5EF4-FFF2-40B4-BE49-F238E27FC236}">
              <a16:creationId xmlns:a16="http://schemas.microsoft.com/office/drawing/2014/main" id="{FB43417C-E183-4EBC-848D-0F5E39BC61D0}"/>
            </a:ext>
          </a:extLst>
        </xdr:cNvPr>
        <xdr:cNvSpPr>
          <a:spLocks noChangeAspect="1"/>
        </xdr:cNvSpPr>
      </xdr:nvSpPr>
      <xdr:spPr>
        <a:xfrm>
          <a:off x="65664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21</xdr:row>
      <xdr:rowOff>114450</xdr:rowOff>
    </xdr:from>
    <xdr:to>
      <xdr:col>10</xdr:col>
      <xdr:colOff>248401</xdr:colOff>
      <xdr:row>27</xdr:row>
      <xdr:rowOff>21751</xdr:rowOff>
    </xdr:to>
    <xdr:sp macro="" textlink="">
      <xdr:nvSpPr>
        <xdr:cNvPr id="245172" name="フリーフォーム: 図形 245171">
          <a:extLst>
            <a:ext uri="{FF2B5EF4-FFF2-40B4-BE49-F238E27FC236}">
              <a16:creationId xmlns:a16="http://schemas.microsoft.com/office/drawing/2014/main" id="{4FEF5ADB-8907-47AE-9E9F-8DE626C7DD5F}"/>
            </a:ext>
          </a:extLst>
        </xdr:cNvPr>
        <xdr:cNvSpPr>
          <a:spLocks noChangeAspect="1"/>
        </xdr:cNvSpPr>
      </xdr:nvSpPr>
      <xdr:spPr>
        <a:xfrm>
          <a:off x="68184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27</xdr:row>
      <xdr:rowOff>75750</xdr:rowOff>
    </xdr:from>
    <xdr:to>
      <xdr:col>10</xdr:col>
      <xdr:colOff>68401</xdr:colOff>
      <xdr:row>32</xdr:row>
      <xdr:rowOff>136501</xdr:rowOff>
    </xdr:to>
    <xdr:sp macro="" textlink="">
      <xdr:nvSpPr>
        <xdr:cNvPr id="245173" name="フリーフォーム: 図形 245172">
          <a:extLst>
            <a:ext uri="{FF2B5EF4-FFF2-40B4-BE49-F238E27FC236}">
              <a16:creationId xmlns:a16="http://schemas.microsoft.com/office/drawing/2014/main" id="{2C3090AD-9F7A-4BBA-898F-F459CE4141E1}"/>
            </a:ext>
          </a:extLst>
        </xdr:cNvPr>
        <xdr:cNvSpPr>
          <a:spLocks noChangeAspect="1"/>
        </xdr:cNvSpPr>
      </xdr:nvSpPr>
      <xdr:spPr>
        <a:xfrm>
          <a:off x="66384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32</xdr:row>
      <xdr:rowOff>64500</xdr:rowOff>
    </xdr:from>
    <xdr:to>
      <xdr:col>8</xdr:col>
      <xdr:colOff>684001</xdr:colOff>
      <xdr:row>33</xdr:row>
      <xdr:rowOff>37051</xdr:rowOff>
    </xdr:to>
    <xdr:sp macro="" textlink="">
      <xdr:nvSpPr>
        <xdr:cNvPr id="245174" name="フリーフォーム: 図形 245173">
          <a:extLst>
            <a:ext uri="{FF2B5EF4-FFF2-40B4-BE49-F238E27FC236}">
              <a16:creationId xmlns:a16="http://schemas.microsoft.com/office/drawing/2014/main" id="{C0E61565-7175-4EF5-A48E-2CDC4619152F}"/>
            </a:ext>
          </a:extLst>
        </xdr:cNvPr>
        <xdr:cNvSpPr>
          <a:spLocks noChangeAspect="1"/>
        </xdr:cNvSpPr>
      </xdr:nvSpPr>
      <xdr:spPr>
        <a:xfrm>
          <a:off x="56844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32</xdr:row>
      <xdr:rowOff>64500</xdr:rowOff>
    </xdr:from>
    <xdr:to>
      <xdr:col>9</xdr:col>
      <xdr:colOff>502201</xdr:colOff>
      <xdr:row>33</xdr:row>
      <xdr:rowOff>37051</xdr:rowOff>
    </xdr:to>
    <xdr:sp macro="" textlink="">
      <xdr:nvSpPr>
        <xdr:cNvPr id="245175" name="フリーフォーム: 図形 245174">
          <a:extLst>
            <a:ext uri="{FF2B5EF4-FFF2-40B4-BE49-F238E27FC236}">
              <a16:creationId xmlns:a16="http://schemas.microsoft.com/office/drawing/2014/main" id="{30B15842-8E5C-4089-B4C7-CDD2EA4071BC}"/>
            </a:ext>
          </a:extLst>
        </xdr:cNvPr>
        <xdr:cNvSpPr>
          <a:spLocks noChangeAspect="1"/>
        </xdr:cNvSpPr>
      </xdr:nvSpPr>
      <xdr:spPr>
        <a:xfrm>
          <a:off x="62064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27</xdr:row>
      <xdr:rowOff>75750</xdr:rowOff>
    </xdr:from>
    <xdr:to>
      <xdr:col>8</xdr:col>
      <xdr:colOff>432001</xdr:colOff>
      <xdr:row>32</xdr:row>
      <xdr:rowOff>136501</xdr:rowOff>
    </xdr:to>
    <xdr:sp macro="" textlink="">
      <xdr:nvSpPr>
        <xdr:cNvPr id="245176" name="フリーフォーム: 図形 245175">
          <a:extLst>
            <a:ext uri="{FF2B5EF4-FFF2-40B4-BE49-F238E27FC236}">
              <a16:creationId xmlns:a16="http://schemas.microsoft.com/office/drawing/2014/main" id="{FEDEE631-CB79-4B4A-A603-796CD1A1FEF6}"/>
            </a:ext>
          </a:extLst>
        </xdr:cNvPr>
        <xdr:cNvSpPr>
          <a:spLocks noChangeAspect="1"/>
        </xdr:cNvSpPr>
      </xdr:nvSpPr>
      <xdr:spPr>
        <a:xfrm>
          <a:off x="56304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21</xdr:row>
      <xdr:rowOff>114450</xdr:rowOff>
    </xdr:from>
    <xdr:to>
      <xdr:col>8</xdr:col>
      <xdr:colOff>576001</xdr:colOff>
      <xdr:row>27</xdr:row>
      <xdr:rowOff>21751</xdr:rowOff>
    </xdr:to>
    <xdr:sp macro="" textlink="">
      <xdr:nvSpPr>
        <xdr:cNvPr id="245177" name="フリーフォーム: 図形 245176">
          <a:extLst>
            <a:ext uri="{FF2B5EF4-FFF2-40B4-BE49-F238E27FC236}">
              <a16:creationId xmlns:a16="http://schemas.microsoft.com/office/drawing/2014/main" id="{FAD41122-7E17-4A07-B576-53FBB5A67C52}"/>
            </a:ext>
          </a:extLst>
        </xdr:cNvPr>
        <xdr:cNvSpPr>
          <a:spLocks noChangeAspect="1"/>
        </xdr:cNvSpPr>
      </xdr:nvSpPr>
      <xdr:spPr>
        <a:xfrm>
          <a:off x="58104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26</xdr:row>
      <xdr:rowOff>139200</xdr:rowOff>
    </xdr:from>
    <xdr:to>
      <xdr:col>9</xdr:col>
      <xdr:colOff>160201</xdr:colOff>
      <xdr:row>27</xdr:row>
      <xdr:rowOff>111751</xdr:rowOff>
    </xdr:to>
    <xdr:sp macro="" textlink="">
      <xdr:nvSpPr>
        <xdr:cNvPr id="245178" name="フリーフォーム: 図形 245177">
          <a:extLst>
            <a:ext uri="{FF2B5EF4-FFF2-40B4-BE49-F238E27FC236}">
              <a16:creationId xmlns:a16="http://schemas.microsoft.com/office/drawing/2014/main" id="{BDB33396-6D18-4449-A9C3-3B4C3D652889}"/>
            </a:ext>
          </a:extLst>
        </xdr:cNvPr>
        <xdr:cNvSpPr>
          <a:spLocks noChangeAspect="1"/>
        </xdr:cNvSpPr>
      </xdr:nvSpPr>
      <xdr:spPr>
        <a:xfrm>
          <a:off x="58824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26</xdr:row>
      <xdr:rowOff>139200</xdr:rowOff>
    </xdr:from>
    <xdr:to>
      <xdr:col>9</xdr:col>
      <xdr:colOff>664201</xdr:colOff>
      <xdr:row>27</xdr:row>
      <xdr:rowOff>111751</xdr:rowOff>
    </xdr:to>
    <xdr:sp macro="" textlink="">
      <xdr:nvSpPr>
        <xdr:cNvPr id="245179" name="フリーフォーム: 図形 245178">
          <a:extLst>
            <a:ext uri="{FF2B5EF4-FFF2-40B4-BE49-F238E27FC236}">
              <a16:creationId xmlns:a16="http://schemas.microsoft.com/office/drawing/2014/main" id="{9BF3351B-7E49-4E22-9453-5564DBD8C875}"/>
            </a:ext>
          </a:extLst>
        </xdr:cNvPr>
        <xdr:cNvSpPr>
          <a:spLocks noChangeAspect="1"/>
        </xdr:cNvSpPr>
      </xdr:nvSpPr>
      <xdr:spPr>
        <a:xfrm>
          <a:off x="63864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22</xdr:row>
      <xdr:rowOff>51000</xdr:rowOff>
    </xdr:from>
    <xdr:to>
      <xdr:col>9</xdr:col>
      <xdr:colOff>178201</xdr:colOff>
      <xdr:row>27</xdr:row>
      <xdr:rowOff>3751</xdr:rowOff>
    </xdr:to>
    <xdr:sp macro="" textlink="">
      <xdr:nvSpPr>
        <xdr:cNvPr id="245180" name="フリーフォーム: 図形 245179">
          <a:extLst>
            <a:ext uri="{FF2B5EF4-FFF2-40B4-BE49-F238E27FC236}">
              <a16:creationId xmlns:a16="http://schemas.microsoft.com/office/drawing/2014/main" id="{84C7E2BA-1898-4B2D-8D35-CADB7D9EEFC9}"/>
            </a:ext>
          </a:extLst>
        </xdr:cNvPr>
        <xdr:cNvSpPr>
          <a:spLocks noChangeAspect="1"/>
        </xdr:cNvSpPr>
      </xdr:nvSpPr>
      <xdr:spPr>
        <a:xfrm>
          <a:off x="60804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21</xdr:row>
      <xdr:rowOff>114450</xdr:rowOff>
    </xdr:from>
    <xdr:to>
      <xdr:col>9</xdr:col>
      <xdr:colOff>430201</xdr:colOff>
      <xdr:row>26</xdr:row>
      <xdr:rowOff>157201</xdr:rowOff>
    </xdr:to>
    <xdr:sp macro="" textlink="">
      <xdr:nvSpPr>
        <xdr:cNvPr id="245181" name="フリーフォーム: 図形 245180">
          <a:extLst>
            <a:ext uri="{FF2B5EF4-FFF2-40B4-BE49-F238E27FC236}">
              <a16:creationId xmlns:a16="http://schemas.microsoft.com/office/drawing/2014/main" id="{3AA9F41D-E4B1-47DB-9736-0A0823B64C58}"/>
            </a:ext>
          </a:extLst>
        </xdr:cNvPr>
        <xdr:cNvSpPr>
          <a:spLocks noChangeAspect="1"/>
        </xdr:cNvSpPr>
      </xdr:nvSpPr>
      <xdr:spPr>
        <a:xfrm>
          <a:off x="63504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22</xdr:row>
      <xdr:rowOff>69000</xdr:rowOff>
    </xdr:from>
    <xdr:to>
      <xdr:col>10</xdr:col>
      <xdr:colOff>68401</xdr:colOff>
      <xdr:row>27</xdr:row>
      <xdr:rowOff>3751</xdr:rowOff>
    </xdr:to>
    <xdr:sp macro="" textlink="">
      <xdr:nvSpPr>
        <xdr:cNvPr id="245182" name="フリーフォーム: 図形 245181">
          <a:extLst>
            <a:ext uri="{FF2B5EF4-FFF2-40B4-BE49-F238E27FC236}">
              <a16:creationId xmlns:a16="http://schemas.microsoft.com/office/drawing/2014/main" id="{0A8C4317-A98B-40A3-883F-8978D9090415}"/>
            </a:ext>
          </a:extLst>
        </xdr:cNvPr>
        <xdr:cNvSpPr>
          <a:spLocks noChangeAspect="1"/>
        </xdr:cNvSpPr>
      </xdr:nvSpPr>
      <xdr:spPr>
        <a:xfrm>
          <a:off x="64044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27</xdr:row>
      <xdr:rowOff>75750</xdr:rowOff>
    </xdr:from>
    <xdr:to>
      <xdr:col>9</xdr:col>
      <xdr:colOff>466201</xdr:colOff>
      <xdr:row>31</xdr:row>
      <xdr:rowOff>163951</xdr:rowOff>
    </xdr:to>
    <xdr:sp macro="" textlink="">
      <xdr:nvSpPr>
        <xdr:cNvPr id="245183" name="フリーフォーム: 図形 245182">
          <a:extLst>
            <a:ext uri="{FF2B5EF4-FFF2-40B4-BE49-F238E27FC236}">
              <a16:creationId xmlns:a16="http://schemas.microsoft.com/office/drawing/2014/main" id="{0869D295-EAF2-4335-9C30-5E70A6F1B6D5}"/>
            </a:ext>
          </a:extLst>
        </xdr:cNvPr>
        <xdr:cNvSpPr>
          <a:spLocks noChangeAspect="1"/>
        </xdr:cNvSpPr>
      </xdr:nvSpPr>
      <xdr:spPr>
        <a:xfrm>
          <a:off x="63684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27</xdr:row>
      <xdr:rowOff>93750</xdr:rowOff>
    </xdr:from>
    <xdr:to>
      <xdr:col>9</xdr:col>
      <xdr:colOff>196201</xdr:colOff>
      <xdr:row>32</xdr:row>
      <xdr:rowOff>118501</xdr:rowOff>
    </xdr:to>
    <xdr:sp macro="" textlink="">
      <xdr:nvSpPr>
        <xdr:cNvPr id="245184" name="フリーフォーム: 図形 245183">
          <a:extLst>
            <a:ext uri="{FF2B5EF4-FFF2-40B4-BE49-F238E27FC236}">
              <a16:creationId xmlns:a16="http://schemas.microsoft.com/office/drawing/2014/main" id="{DCA000FB-6A0C-4830-A4E8-149551008489}"/>
            </a:ext>
          </a:extLst>
        </xdr:cNvPr>
        <xdr:cNvSpPr>
          <a:spLocks noChangeAspect="1"/>
        </xdr:cNvSpPr>
      </xdr:nvSpPr>
      <xdr:spPr>
        <a:xfrm>
          <a:off x="61344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27</xdr:row>
      <xdr:rowOff>75750</xdr:rowOff>
    </xdr:from>
    <xdr:to>
      <xdr:col>9</xdr:col>
      <xdr:colOff>160201</xdr:colOff>
      <xdr:row>32</xdr:row>
      <xdr:rowOff>10501</xdr:rowOff>
    </xdr:to>
    <xdr:sp macro="" textlink="">
      <xdr:nvSpPr>
        <xdr:cNvPr id="245185" name="フリーフォーム: 図形 245184">
          <a:extLst>
            <a:ext uri="{FF2B5EF4-FFF2-40B4-BE49-F238E27FC236}">
              <a16:creationId xmlns:a16="http://schemas.microsoft.com/office/drawing/2014/main" id="{727F5FB4-189C-477F-9636-21BB7063B307}"/>
            </a:ext>
          </a:extLst>
        </xdr:cNvPr>
        <xdr:cNvSpPr>
          <a:spLocks noChangeAspect="1"/>
        </xdr:cNvSpPr>
      </xdr:nvSpPr>
      <xdr:spPr>
        <a:xfrm>
          <a:off x="58104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21</xdr:row>
      <xdr:rowOff>42450</xdr:rowOff>
    </xdr:from>
    <xdr:to>
      <xdr:col>12</xdr:col>
      <xdr:colOff>93601</xdr:colOff>
      <xdr:row>22</xdr:row>
      <xdr:rowOff>15001</xdr:rowOff>
    </xdr:to>
    <xdr:sp macro="" textlink="">
      <xdr:nvSpPr>
        <xdr:cNvPr id="245186" name="フリーフォーム: 図形 245185">
          <a:extLst>
            <a:ext uri="{FF2B5EF4-FFF2-40B4-BE49-F238E27FC236}">
              <a16:creationId xmlns:a16="http://schemas.microsoft.com/office/drawing/2014/main" id="{8AA67F9C-CFDE-4A34-9EDA-BBDE833FF23F}"/>
            </a:ext>
          </a:extLst>
        </xdr:cNvPr>
        <xdr:cNvSpPr>
          <a:spLocks noChangeAspect="1"/>
        </xdr:cNvSpPr>
      </xdr:nvSpPr>
      <xdr:spPr>
        <a:xfrm>
          <a:off x="78552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21</xdr:row>
      <xdr:rowOff>42450</xdr:rowOff>
    </xdr:from>
    <xdr:to>
      <xdr:col>12</xdr:col>
      <xdr:colOff>633601</xdr:colOff>
      <xdr:row>22</xdr:row>
      <xdr:rowOff>15001</xdr:rowOff>
    </xdr:to>
    <xdr:sp macro="" textlink="">
      <xdr:nvSpPr>
        <xdr:cNvPr id="245187" name="フリーフォーム: 図形 245186">
          <a:extLst>
            <a:ext uri="{FF2B5EF4-FFF2-40B4-BE49-F238E27FC236}">
              <a16:creationId xmlns:a16="http://schemas.microsoft.com/office/drawing/2014/main" id="{5D97BCD1-FAC0-43B7-9B38-3CD40A090A2A}"/>
            </a:ext>
          </a:extLst>
        </xdr:cNvPr>
        <xdr:cNvSpPr>
          <a:spLocks noChangeAspect="1"/>
        </xdr:cNvSpPr>
      </xdr:nvSpPr>
      <xdr:spPr>
        <a:xfrm>
          <a:off x="83952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21</xdr:row>
      <xdr:rowOff>114450</xdr:rowOff>
    </xdr:from>
    <xdr:to>
      <xdr:col>13</xdr:col>
      <xdr:colOff>19801</xdr:colOff>
      <xdr:row>27</xdr:row>
      <xdr:rowOff>21751</xdr:rowOff>
    </xdr:to>
    <xdr:sp macro="" textlink="">
      <xdr:nvSpPr>
        <xdr:cNvPr id="245188" name="フリーフォーム: 図形 245187">
          <a:extLst>
            <a:ext uri="{FF2B5EF4-FFF2-40B4-BE49-F238E27FC236}">
              <a16:creationId xmlns:a16="http://schemas.microsoft.com/office/drawing/2014/main" id="{ED057336-73EB-4E57-84ED-DFAF4C690942}"/>
            </a:ext>
          </a:extLst>
        </xdr:cNvPr>
        <xdr:cNvSpPr>
          <a:spLocks noChangeAspect="1"/>
        </xdr:cNvSpPr>
      </xdr:nvSpPr>
      <xdr:spPr>
        <a:xfrm>
          <a:off x="86472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27</xdr:row>
      <xdr:rowOff>75750</xdr:rowOff>
    </xdr:from>
    <xdr:to>
      <xdr:col>12</xdr:col>
      <xdr:colOff>525601</xdr:colOff>
      <xdr:row>32</xdr:row>
      <xdr:rowOff>136501</xdr:rowOff>
    </xdr:to>
    <xdr:sp macro="" textlink="">
      <xdr:nvSpPr>
        <xdr:cNvPr id="245189" name="フリーフォーム: 図形 245188">
          <a:extLst>
            <a:ext uri="{FF2B5EF4-FFF2-40B4-BE49-F238E27FC236}">
              <a16:creationId xmlns:a16="http://schemas.microsoft.com/office/drawing/2014/main" id="{C0CC4F39-D709-46B5-B330-EAFA31FE5F1A}"/>
            </a:ext>
          </a:extLst>
        </xdr:cNvPr>
        <xdr:cNvSpPr>
          <a:spLocks noChangeAspect="1"/>
        </xdr:cNvSpPr>
      </xdr:nvSpPr>
      <xdr:spPr>
        <a:xfrm>
          <a:off x="84672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32</xdr:row>
      <xdr:rowOff>64500</xdr:rowOff>
    </xdr:from>
    <xdr:to>
      <xdr:col>11</xdr:col>
      <xdr:colOff>455401</xdr:colOff>
      <xdr:row>33</xdr:row>
      <xdr:rowOff>37051</xdr:rowOff>
    </xdr:to>
    <xdr:sp macro="" textlink="">
      <xdr:nvSpPr>
        <xdr:cNvPr id="245190" name="フリーフォーム: 図形 245189">
          <a:extLst>
            <a:ext uri="{FF2B5EF4-FFF2-40B4-BE49-F238E27FC236}">
              <a16:creationId xmlns:a16="http://schemas.microsoft.com/office/drawing/2014/main" id="{E4D2759D-EB98-464C-B5A6-17D76F8A6349}"/>
            </a:ext>
          </a:extLst>
        </xdr:cNvPr>
        <xdr:cNvSpPr>
          <a:spLocks noChangeAspect="1"/>
        </xdr:cNvSpPr>
      </xdr:nvSpPr>
      <xdr:spPr>
        <a:xfrm>
          <a:off x="75132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32</xdr:row>
      <xdr:rowOff>64500</xdr:rowOff>
    </xdr:from>
    <xdr:to>
      <xdr:col>12</xdr:col>
      <xdr:colOff>273601</xdr:colOff>
      <xdr:row>33</xdr:row>
      <xdr:rowOff>37051</xdr:rowOff>
    </xdr:to>
    <xdr:sp macro="" textlink="">
      <xdr:nvSpPr>
        <xdr:cNvPr id="245191" name="フリーフォーム: 図形 245190">
          <a:extLst>
            <a:ext uri="{FF2B5EF4-FFF2-40B4-BE49-F238E27FC236}">
              <a16:creationId xmlns:a16="http://schemas.microsoft.com/office/drawing/2014/main" id="{73230327-6351-425A-9F0A-D6F112651235}"/>
            </a:ext>
          </a:extLst>
        </xdr:cNvPr>
        <xdr:cNvSpPr>
          <a:spLocks noChangeAspect="1"/>
        </xdr:cNvSpPr>
      </xdr:nvSpPr>
      <xdr:spPr>
        <a:xfrm>
          <a:off x="80352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27</xdr:row>
      <xdr:rowOff>75750</xdr:rowOff>
    </xdr:from>
    <xdr:to>
      <xdr:col>11</xdr:col>
      <xdr:colOff>203401</xdr:colOff>
      <xdr:row>32</xdr:row>
      <xdr:rowOff>136501</xdr:rowOff>
    </xdr:to>
    <xdr:sp macro="" textlink="">
      <xdr:nvSpPr>
        <xdr:cNvPr id="245192" name="フリーフォーム: 図形 245191">
          <a:extLst>
            <a:ext uri="{FF2B5EF4-FFF2-40B4-BE49-F238E27FC236}">
              <a16:creationId xmlns:a16="http://schemas.microsoft.com/office/drawing/2014/main" id="{88D3E265-6BDF-4191-95B1-BEDB93B62E1E}"/>
            </a:ext>
          </a:extLst>
        </xdr:cNvPr>
        <xdr:cNvSpPr>
          <a:spLocks noChangeAspect="1"/>
        </xdr:cNvSpPr>
      </xdr:nvSpPr>
      <xdr:spPr>
        <a:xfrm>
          <a:off x="74592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21</xdr:row>
      <xdr:rowOff>114450</xdr:rowOff>
    </xdr:from>
    <xdr:to>
      <xdr:col>11</xdr:col>
      <xdr:colOff>347401</xdr:colOff>
      <xdr:row>27</xdr:row>
      <xdr:rowOff>21751</xdr:rowOff>
    </xdr:to>
    <xdr:sp macro="" textlink="">
      <xdr:nvSpPr>
        <xdr:cNvPr id="245193" name="フリーフォーム: 図形 245192">
          <a:extLst>
            <a:ext uri="{FF2B5EF4-FFF2-40B4-BE49-F238E27FC236}">
              <a16:creationId xmlns:a16="http://schemas.microsoft.com/office/drawing/2014/main" id="{A1B1B53F-4997-414B-9B42-991A19DAA5D1}"/>
            </a:ext>
          </a:extLst>
        </xdr:cNvPr>
        <xdr:cNvSpPr>
          <a:spLocks noChangeAspect="1"/>
        </xdr:cNvSpPr>
      </xdr:nvSpPr>
      <xdr:spPr>
        <a:xfrm>
          <a:off x="76392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26</xdr:row>
      <xdr:rowOff>139200</xdr:rowOff>
    </xdr:from>
    <xdr:to>
      <xdr:col>11</xdr:col>
      <xdr:colOff>617401</xdr:colOff>
      <xdr:row>27</xdr:row>
      <xdr:rowOff>111751</xdr:rowOff>
    </xdr:to>
    <xdr:sp macro="" textlink="">
      <xdr:nvSpPr>
        <xdr:cNvPr id="245194" name="フリーフォーム: 図形 245193">
          <a:extLst>
            <a:ext uri="{FF2B5EF4-FFF2-40B4-BE49-F238E27FC236}">
              <a16:creationId xmlns:a16="http://schemas.microsoft.com/office/drawing/2014/main" id="{4355AD5F-0E70-4BE9-84FA-A0F6455D378E}"/>
            </a:ext>
          </a:extLst>
        </xdr:cNvPr>
        <xdr:cNvSpPr>
          <a:spLocks noChangeAspect="1"/>
        </xdr:cNvSpPr>
      </xdr:nvSpPr>
      <xdr:spPr>
        <a:xfrm>
          <a:off x="77112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26</xdr:row>
      <xdr:rowOff>139200</xdr:rowOff>
    </xdr:from>
    <xdr:to>
      <xdr:col>12</xdr:col>
      <xdr:colOff>435601</xdr:colOff>
      <xdr:row>27</xdr:row>
      <xdr:rowOff>111751</xdr:rowOff>
    </xdr:to>
    <xdr:sp macro="" textlink="">
      <xdr:nvSpPr>
        <xdr:cNvPr id="245195" name="フリーフォーム: 図形 245194">
          <a:extLst>
            <a:ext uri="{FF2B5EF4-FFF2-40B4-BE49-F238E27FC236}">
              <a16:creationId xmlns:a16="http://schemas.microsoft.com/office/drawing/2014/main" id="{C1AD2234-7CA5-47AD-8F0E-649F5C711729}"/>
            </a:ext>
          </a:extLst>
        </xdr:cNvPr>
        <xdr:cNvSpPr>
          <a:spLocks noChangeAspect="1"/>
        </xdr:cNvSpPr>
      </xdr:nvSpPr>
      <xdr:spPr>
        <a:xfrm>
          <a:off x="82152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22</xdr:row>
      <xdr:rowOff>51000</xdr:rowOff>
    </xdr:from>
    <xdr:to>
      <xdr:col>11</xdr:col>
      <xdr:colOff>635401</xdr:colOff>
      <xdr:row>27</xdr:row>
      <xdr:rowOff>3751</xdr:rowOff>
    </xdr:to>
    <xdr:sp macro="" textlink="">
      <xdr:nvSpPr>
        <xdr:cNvPr id="245196" name="フリーフォーム: 図形 245195">
          <a:extLst>
            <a:ext uri="{FF2B5EF4-FFF2-40B4-BE49-F238E27FC236}">
              <a16:creationId xmlns:a16="http://schemas.microsoft.com/office/drawing/2014/main" id="{D475395B-DF76-41D9-87C7-3001F6AA822C}"/>
            </a:ext>
          </a:extLst>
        </xdr:cNvPr>
        <xdr:cNvSpPr>
          <a:spLocks noChangeAspect="1"/>
        </xdr:cNvSpPr>
      </xdr:nvSpPr>
      <xdr:spPr>
        <a:xfrm>
          <a:off x="79092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21</xdr:row>
      <xdr:rowOff>114450</xdr:rowOff>
    </xdr:from>
    <xdr:to>
      <xdr:col>12</xdr:col>
      <xdr:colOff>201601</xdr:colOff>
      <xdr:row>26</xdr:row>
      <xdr:rowOff>157201</xdr:rowOff>
    </xdr:to>
    <xdr:sp macro="" textlink="">
      <xdr:nvSpPr>
        <xdr:cNvPr id="245197" name="フリーフォーム: 図形 245196">
          <a:extLst>
            <a:ext uri="{FF2B5EF4-FFF2-40B4-BE49-F238E27FC236}">
              <a16:creationId xmlns:a16="http://schemas.microsoft.com/office/drawing/2014/main" id="{EDA5CE0D-E39B-4AD1-991D-34C5E4D41730}"/>
            </a:ext>
          </a:extLst>
        </xdr:cNvPr>
        <xdr:cNvSpPr>
          <a:spLocks noChangeAspect="1"/>
        </xdr:cNvSpPr>
      </xdr:nvSpPr>
      <xdr:spPr>
        <a:xfrm>
          <a:off x="81792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22</xdr:row>
      <xdr:rowOff>69000</xdr:rowOff>
    </xdr:from>
    <xdr:to>
      <xdr:col>12</xdr:col>
      <xdr:colOff>525601</xdr:colOff>
      <xdr:row>27</xdr:row>
      <xdr:rowOff>3751</xdr:rowOff>
    </xdr:to>
    <xdr:sp macro="" textlink="">
      <xdr:nvSpPr>
        <xdr:cNvPr id="245198" name="フリーフォーム: 図形 245197">
          <a:extLst>
            <a:ext uri="{FF2B5EF4-FFF2-40B4-BE49-F238E27FC236}">
              <a16:creationId xmlns:a16="http://schemas.microsoft.com/office/drawing/2014/main" id="{A619C133-1E55-4392-B515-774427F48306}"/>
            </a:ext>
          </a:extLst>
        </xdr:cNvPr>
        <xdr:cNvSpPr>
          <a:spLocks noChangeAspect="1"/>
        </xdr:cNvSpPr>
      </xdr:nvSpPr>
      <xdr:spPr>
        <a:xfrm>
          <a:off x="82332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27</xdr:row>
      <xdr:rowOff>75750</xdr:rowOff>
    </xdr:from>
    <xdr:to>
      <xdr:col>12</xdr:col>
      <xdr:colOff>237601</xdr:colOff>
      <xdr:row>31</xdr:row>
      <xdr:rowOff>163951</xdr:rowOff>
    </xdr:to>
    <xdr:sp macro="" textlink="">
      <xdr:nvSpPr>
        <xdr:cNvPr id="245199" name="フリーフォーム: 図形 245198">
          <a:extLst>
            <a:ext uri="{FF2B5EF4-FFF2-40B4-BE49-F238E27FC236}">
              <a16:creationId xmlns:a16="http://schemas.microsoft.com/office/drawing/2014/main" id="{DBCDCD1F-4908-480D-87FA-719E0D4E859E}"/>
            </a:ext>
          </a:extLst>
        </xdr:cNvPr>
        <xdr:cNvSpPr>
          <a:spLocks noChangeAspect="1"/>
        </xdr:cNvSpPr>
      </xdr:nvSpPr>
      <xdr:spPr>
        <a:xfrm>
          <a:off x="81972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27</xdr:row>
      <xdr:rowOff>93750</xdr:rowOff>
    </xdr:from>
    <xdr:to>
      <xdr:col>11</xdr:col>
      <xdr:colOff>653401</xdr:colOff>
      <xdr:row>32</xdr:row>
      <xdr:rowOff>118501</xdr:rowOff>
    </xdr:to>
    <xdr:sp macro="" textlink="">
      <xdr:nvSpPr>
        <xdr:cNvPr id="245200" name="フリーフォーム: 図形 245199">
          <a:extLst>
            <a:ext uri="{FF2B5EF4-FFF2-40B4-BE49-F238E27FC236}">
              <a16:creationId xmlns:a16="http://schemas.microsoft.com/office/drawing/2014/main" id="{0249E13E-FF5C-4ECA-8A82-0989AEBFAEFB}"/>
            </a:ext>
          </a:extLst>
        </xdr:cNvPr>
        <xdr:cNvSpPr>
          <a:spLocks noChangeAspect="1"/>
        </xdr:cNvSpPr>
      </xdr:nvSpPr>
      <xdr:spPr>
        <a:xfrm>
          <a:off x="79632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27</xdr:row>
      <xdr:rowOff>75750</xdr:rowOff>
    </xdr:from>
    <xdr:to>
      <xdr:col>11</xdr:col>
      <xdr:colOff>617401</xdr:colOff>
      <xdr:row>32</xdr:row>
      <xdr:rowOff>10501</xdr:rowOff>
    </xdr:to>
    <xdr:sp macro="" textlink="">
      <xdr:nvSpPr>
        <xdr:cNvPr id="245201" name="フリーフォーム: 図形 245200">
          <a:extLst>
            <a:ext uri="{FF2B5EF4-FFF2-40B4-BE49-F238E27FC236}">
              <a16:creationId xmlns:a16="http://schemas.microsoft.com/office/drawing/2014/main" id="{193FBB7E-F850-4C1D-BF57-737A0B919D5C}"/>
            </a:ext>
          </a:extLst>
        </xdr:cNvPr>
        <xdr:cNvSpPr>
          <a:spLocks noChangeAspect="1"/>
        </xdr:cNvSpPr>
      </xdr:nvSpPr>
      <xdr:spPr>
        <a:xfrm>
          <a:off x="76392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21</xdr:row>
      <xdr:rowOff>42450</xdr:rowOff>
    </xdr:from>
    <xdr:to>
      <xdr:col>14</xdr:col>
      <xdr:colOff>550801</xdr:colOff>
      <xdr:row>22</xdr:row>
      <xdr:rowOff>15001</xdr:rowOff>
    </xdr:to>
    <xdr:sp macro="" textlink="">
      <xdr:nvSpPr>
        <xdr:cNvPr id="245202" name="フリーフォーム: 図形 245201">
          <a:extLst>
            <a:ext uri="{FF2B5EF4-FFF2-40B4-BE49-F238E27FC236}">
              <a16:creationId xmlns:a16="http://schemas.microsoft.com/office/drawing/2014/main" id="{4A97DE6A-E340-4AC3-94A2-72D1FC77CCAD}"/>
            </a:ext>
          </a:extLst>
        </xdr:cNvPr>
        <xdr:cNvSpPr>
          <a:spLocks noChangeAspect="1"/>
        </xdr:cNvSpPr>
      </xdr:nvSpPr>
      <xdr:spPr>
        <a:xfrm>
          <a:off x="96840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21</xdr:row>
      <xdr:rowOff>42450</xdr:rowOff>
    </xdr:from>
    <xdr:to>
      <xdr:col>15</xdr:col>
      <xdr:colOff>405001</xdr:colOff>
      <xdr:row>22</xdr:row>
      <xdr:rowOff>15001</xdr:rowOff>
    </xdr:to>
    <xdr:sp macro="" textlink="">
      <xdr:nvSpPr>
        <xdr:cNvPr id="245203" name="フリーフォーム: 図形 245202">
          <a:extLst>
            <a:ext uri="{FF2B5EF4-FFF2-40B4-BE49-F238E27FC236}">
              <a16:creationId xmlns:a16="http://schemas.microsoft.com/office/drawing/2014/main" id="{E1E2D0D2-EC2D-48CB-9384-EC0F66596F10}"/>
            </a:ext>
          </a:extLst>
        </xdr:cNvPr>
        <xdr:cNvSpPr>
          <a:spLocks noChangeAspect="1"/>
        </xdr:cNvSpPr>
      </xdr:nvSpPr>
      <xdr:spPr>
        <a:xfrm>
          <a:off x="102240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21</xdr:row>
      <xdr:rowOff>114450</xdr:rowOff>
    </xdr:from>
    <xdr:to>
      <xdr:col>15</xdr:col>
      <xdr:colOff>477001</xdr:colOff>
      <xdr:row>27</xdr:row>
      <xdr:rowOff>21751</xdr:rowOff>
    </xdr:to>
    <xdr:sp macro="" textlink="">
      <xdr:nvSpPr>
        <xdr:cNvPr id="245204" name="フリーフォーム: 図形 245203">
          <a:extLst>
            <a:ext uri="{FF2B5EF4-FFF2-40B4-BE49-F238E27FC236}">
              <a16:creationId xmlns:a16="http://schemas.microsoft.com/office/drawing/2014/main" id="{38AE5833-C2CA-467A-8016-DC8D50E44E53}"/>
            </a:ext>
          </a:extLst>
        </xdr:cNvPr>
        <xdr:cNvSpPr>
          <a:spLocks noChangeAspect="1"/>
        </xdr:cNvSpPr>
      </xdr:nvSpPr>
      <xdr:spPr>
        <a:xfrm>
          <a:off x="104760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27</xdr:row>
      <xdr:rowOff>75750</xdr:rowOff>
    </xdr:from>
    <xdr:to>
      <xdr:col>15</xdr:col>
      <xdr:colOff>297001</xdr:colOff>
      <xdr:row>32</xdr:row>
      <xdr:rowOff>136501</xdr:rowOff>
    </xdr:to>
    <xdr:sp macro="" textlink="">
      <xdr:nvSpPr>
        <xdr:cNvPr id="245205" name="フリーフォーム: 図形 245204">
          <a:extLst>
            <a:ext uri="{FF2B5EF4-FFF2-40B4-BE49-F238E27FC236}">
              <a16:creationId xmlns:a16="http://schemas.microsoft.com/office/drawing/2014/main" id="{0320A8A6-EEA8-4EA4-B528-E0B63B806815}"/>
            </a:ext>
          </a:extLst>
        </xdr:cNvPr>
        <xdr:cNvSpPr>
          <a:spLocks noChangeAspect="1"/>
        </xdr:cNvSpPr>
      </xdr:nvSpPr>
      <xdr:spPr>
        <a:xfrm>
          <a:off x="102960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32</xdr:row>
      <xdr:rowOff>64500</xdr:rowOff>
    </xdr:from>
    <xdr:to>
      <xdr:col>14</xdr:col>
      <xdr:colOff>226801</xdr:colOff>
      <xdr:row>33</xdr:row>
      <xdr:rowOff>37051</xdr:rowOff>
    </xdr:to>
    <xdr:sp macro="" textlink="">
      <xdr:nvSpPr>
        <xdr:cNvPr id="245206" name="フリーフォーム: 図形 245205">
          <a:extLst>
            <a:ext uri="{FF2B5EF4-FFF2-40B4-BE49-F238E27FC236}">
              <a16:creationId xmlns:a16="http://schemas.microsoft.com/office/drawing/2014/main" id="{C8ECC533-86CC-46F5-A32B-82F5AC42B9A5}"/>
            </a:ext>
          </a:extLst>
        </xdr:cNvPr>
        <xdr:cNvSpPr>
          <a:spLocks noChangeAspect="1"/>
        </xdr:cNvSpPr>
      </xdr:nvSpPr>
      <xdr:spPr>
        <a:xfrm>
          <a:off x="93420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32</xdr:row>
      <xdr:rowOff>64500</xdr:rowOff>
    </xdr:from>
    <xdr:to>
      <xdr:col>15</xdr:col>
      <xdr:colOff>45001</xdr:colOff>
      <xdr:row>33</xdr:row>
      <xdr:rowOff>37051</xdr:rowOff>
    </xdr:to>
    <xdr:sp macro="" textlink="">
      <xdr:nvSpPr>
        <xdr:cNvPr id="245207" name="フリーフォーム: 図形 245206">
          <a:extLst>
            <a:ext uri="{FF2B5EF4-FFF2-40B4-BE49-F238E27FC236}">
              <a16:creationId xmlns:a16="http://schemas.microsoft.com/office/drawing/2014/main" id="{8E5E26BD-7EE6-4C2B-A6FE-A748802CF99A}"/>
            </a:ext>
          </a:extLst>
        </xdr:cNvPr>
        <xdr:cNvSpPr>
          <a:spLocks noChangeAspect="1"/>
        </xdr:cNvSpPr>
      </xdr:nvSpPr>
      <xdr:spPr>
        <a:xfrm>
          <a:off x="98640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27</xdr:row>
      <xdr:rowOff>75750</xdr:rowOff>
    </xdr:from>
    <xdr:to>
      <xdr:col>13</xdr:col>
      <xdr:colOff>660601</xdr:colOff>
      <xdr:row>32</xdr:row>
      <xdr:rowOff>136501</xdr:rowOff>
    </xdr:to>
    <xdr:sp macro="" textlink="">
      <xdr:nvSpPr>
        <xdr:cNvPr id="245208" name="フリーフォーム: 図形 245207">
          <a:extLst>
            <a:ext uri="{FF2B5EF4-FFF2-40B4-BE49-F238E27FC236}">
              <a16:creationId xmlns:a16="http://schemas.microsoft.com/office/drawing/2014/main" id="{BA1A20F3-2CCD-4216-85BA-C64613EE43E6}"/>
            </a:ext>
          </a:extLst>
        </xdr:cNvPr>
        <xdr:cNvSpPr>
          <a:spLocks noChangeAspect="1"/>
        </xdr:cNvSpPr>
      </xdr:nvSpPr>
      <xdr:spPr>
        <a:xfrm>
          <a:off x="92880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21</xdr:row>
      <xdr:rowOff>114450</xdr:rowOff>
    </xdr:from>
    <xdr:to>
      <xdr:col>14</xdr:col>
      <xdr:colOff>118801</xdr:colOff>
      <xdr:row>27</xdr:row>
      <xdr:rowOff>21751</xdr:rowOff>
    </xdr:to>
    <xdr:sp macro="" textlink="">
      <xdr:nvSpPr>
        <xdr:cNvPr id="245209" name="フリーフォーム: 図形 245208">
          <a:extLst>
            <a:ext uri="{FF2B5EF4-FFF2-40B4-BE49-F238E27FC236}">
              <a16:creationId xmlns:a16="http://schemas.microsoft.com/office/drawing/2014/main" id="{72FD360C-B410-44C7-8B4E-C5384E6201B2}"/>
            </a:ext>
          </a:extLst>
        </xdr:cNvPr>
        <xdr:cNvSpPr>
          <a:spLocks noChangeAspect="1"/>
        </xdr:cNvSpPr>
      </xdr:nvSpPr>
      <xdr:spPr>
        <a:xfrm>
          <a:off x="94680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26</xdr:row>
      <xdr:rowOff>139200</xdr:rowOff>
    </xdr:from>
    <xdr:to>
      <xdr:col>14</xdr:col>
      <xdr:colOff>388801</xdr:colOff>
      <xdr:row>27</xdr:row>
      <xdr:rowOff>111751</xdr:rowOff>
    </xdr:to>
    <xdr:sp macro="" textlink="">
      <xdr:nvSpPr>
        <xdr:cNvPr id="245210" name="フリーフォーム: 図形 245209">
          <a:extLst>
            <a:ext uri="{FF2B5EF4-FFF2-40B4-BE49-F238E27FC236}">
              <a16:creationId xmlns:a16="http://schemas.microsoft.com/office/drawing/2014/main" id="{851DB012-2D85-41BC-8581-27BFE77759A8}"/>
            </a:ext>
          </a:extLst>
        </xdr:cNvPr>
        <xdr:cNvSpPr>
          <a:spLocks noChangeAspect="1"/>
        </xdr:cNvSpPr>
      </xdr:nvSpPr>
      <xdr:spPr>
        <a:xfrm>
          <a:off x="95400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26</xdr:row>
      <xdr:rowOff>139200</xdr:rowOff>
    </xdr:from>
    <xdr:to>
      <xdr:col>15</xdr:col>
      <xdr:colOff>207001</xdr:colOff>
      <xdr:row>27</xdr:row>
      <xdr:rowOff>111751</xdr:rowOff>
    </xdr:to>
    <xdr:sp macro="" textlink="">
      <xdr:nvSpPr>
        <xdr:cNvPr id="245211" name="フリーフォーム: 図形 245210">
          <a:extLst>
            <a:ext uri="{FF2B5EF4-FFF2-40B4-BE49-F238E27FC236}">
              <a16:creationId xmlns:a16="http://schemas.microsoft.com/office/drawing/2014/main" id="{1A617BCC-2D6A-47B2-A3E3-3C0040935B7D}"/>
            </a:ext>
          </a:extLst>
        </xdr:cNvPr>
        <xdr:cNvSpPr>
          <a:spLocks noChangeAspect="1"/>
        </xdr:cNvSpPr>
      </xdr:nvSpPr>
      <xdr:spPr>
        <a:xfrm>
          <a:off x="100440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22</xdr:row>
      <xdr:rowOff>51000</xdr:rowOff>
    </xdr:from>
    <xdr:to>
      <xdr:col>14</xdr:col>
      <xdr:colOff>406801</xdr:colOff>
      <xdr:row>27</xdr:row>
      <xdr:rowOff>3751</xdr:rowOff>
    </xdr:to>
    <xdr:sp macro="" textlink="">
      <xdr:nvSpPr>
        <xdr:cNvPr id="245212" name="フリーフォーム: 図形 245211">
          <a:extLst>
            <a:ext uri="{FF2B5EF4-FFF2-40B4-BE49-F238E27FC236}">
              <a16:creationId xmlns:a16="http://schemas.microsoft.com/office/drawing/2014/main" id="{75EFF37E-34F4-48E0-9027-4A4EE5A8E5B2}"/>
            </a:ext>
          </a:extLst>
        </xdr:cNvPr>
        <xdr:cNvSpPr>
          <a:spLocks noChangeAspect="1"/>
        </xdr:cNvSpPr>
      </xdr:nvSpPr>
      <xdr:spPr>
        <a:xfrm>
          <a:off x="97380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21</xdr:row>
      <xdr:rowOff>114450</xdr:rowOff>
    </xdr:from>
    <xdr:to>
      <xdr:col>14</xdr:col>
      <xdr:colOff>658801</xdr:colOff>
      <xdr:row>26</xdr:row>
      <xdr:rowOff>157201</xdr:rowOff>
    </xdr:to>
    <xdr:sp macro="" textlink="">
      <xdr:nvSpPr>
        <xdr:cNvPr id="245213" name="フリーフォーム: 図形 245212">
          <a:extLst>
            <a:ext uri="{FF2B5EF4-FFF2-40B4-BE49-F238E27FC236}">
              <a16:creationId xmlns:a16="http://schemas.microsoft.com/office/drawing/2014/main" id="{B47370AE-596F-4437-AB86-FA553B6014B7}"/>
            </a:ext>
          </a:extLst>
        </xdr:cNvPr>
        <xdr:cNvSpPr>
          <a:spLocks noChangeAspect="1"/>
        </xdr:cNvSpPr>
      </xdr:nvSpPr>
      <xdr:spPr>
        <a:xfrm>
          <a:off x="100080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22</xdr:row>
      <xdr:rowOff>69000</xdr:rowOff>
    </xdr:from>
    <xdr:to>
      <xdr:col>15</xdr:col>
      <xdr:colOff>297001</xdr:colOff>
      <xdr:row>27</xdr:row>
      <xdr:rowOff>3751</xdr:rowOff>
    </xdr:to>
    <xdr:sp macro="" textlink="">
      <xdr:nvSpPr>
        <xdr:cNvPr id="245214" name="フリーフォーム: 図形 245213">
          <a:extLst>
            <a:ext uri="{FF2B5EF4-FFF2-40B4-BE49-F238E27FC236}">
              <a16:creationId xmlns:a16="http://schemas.microsoft.com/office/drawing/2014/main" id="{B9B21E5F-F92B-4775-93FE-90AB1EC67062}"/>
            </a:ext>
          </a:extLst>
        </xdr:cNvPr>
        <xdr:cNvSpPr>
          <a:spLocks noChangeAspect="1"/>
        </xdr:cNvSpPr>
      </xdr:nvSpPr>
      <xdr:spPr>
        <a:xfrm>
          <a:off x="100620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27</xdr:row>
      <xdr:rowOff>75750</xdr:rowOff>
    </xdr:from>
    <xdr:to>
      <xdr:col>15</xdr:col>
      <xdr:colOff>9001</xdr:colOff>
      <xdr:row>31</xdr:row>
      <xdr:rowOff>163951</xdr:rowOff>
    </xdr:to>
    <xdr:sp macro="" textlink="">
      <xdr:nvSpPr>
        <xdr:cNvPr id="245215" name="フリーフォーム: 図形 245214">
          <a:extLst>
            <a:ext uri="{FF2B5EF4-FFF2-40B4-BE49-F238E27FC236}">
              <a16:creationId xmlns:a16="http://schemas.microsoft.com/office/drawing/2014/main" id="{4BA175E9-A246-489A-B218-386BE1E06D2C}"/>
            </a:ext>
          </a:extLst>
        </xdr:cNvPr>
        <xdr:cNvSpPr>
          <a:spLocks noChangeAspect="1"/>
        </xdr:cNvSpPr>
      </xdr:nvSpPr>
      <xdr:spPr>
        <a:xfrm>
          <a:off x="100260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27</xdr:row>
      <xdr:rowOff>93750</xdr:rowOff>
    </xdr:from>
    <xdr:to>
      <xdr:col>14</xdr:col>
      <xdr:colOff>424801</xdr:colOff>
      <xdr:row>32</xdr:row>
      <xdr:rowOff>118501</xdr:rowOff>
    </xdr:to>
    <xdr:sp macro="" textlink="">
      <xdr:nvSpPr>
        <xdr:cNvPr id="245216" name="フリーフォーム: 図形 245215">
          <a:extLst>
            <a:ext uri="{FF2B5EF4-FFF2-40B4-BE49-F238E27FC236}">
              <a16:creationId xmlns:a16="http://schemas.microsoft.com/office/drawing/2014/main" id="{2F2DE988-D903-449C-BBCD-3C6E5BF1CBB3}"/>
            </a:ext>
          </a:extLst>
        </xdr:cNvPr>
        <xdr:cNvSpPr>
          <a:spLocks noChangeAspect="1"/>
        </xdr:cNvSpPr>
      </xdr:nvSpPr>
      <xdr:spPr>
        <a:xfrm>
          <a:off x="97920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27</xdr:row>
      <xdr:rowOff>75750</xdr:rowOff>
    </xdr:from>
    <xdr:to>
      <xdr:col>14</xdr:col>
      <xdr:colOff>388801</xdr:colOff>
      <xdr:row>32</xdr:row>
      <xdr:rowOff>10501</xdr:rowOff>
    </xdr:to>
    <xdr:sp macro="" textlink="">
      <xdr:nvSpPr>
        <xdr:cNvPr id="245217" name="フリーフォーム: 図形 245216">
          <a:extLst>
            <a:ext uri="{FF2B5EF4-FFF2-40B4-BE49-F238E27FC236}">
              <a16:creationId xmlns:a16="http://schemas.microsoft.com/office/drawing/2014/main" id="{3D566460-D611-4AA9-A3A6-B6C2E2D52DCA}"/>
            </a:ext>
          </a:extLst>
        </xdr:cNvPr>
        <xdr:cNvSpPr>
          <a:spLocks noChangeAspect="1"/>
        </xdr:cNvSpPr>
      </xdr:nvSpPr>
      <xdr:spPr>
        <a:xfrm>
          <a:off x="94680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21</xdr:row>
      <xdr:rowOff>42450</xdr:rowOff>
    </xdr:from>
    <xdr:to>
      <xdr:col>17</xdr:col>
      <xdr:colOff>322201</xdr:colOff>
      <xdr:row>22</xdr:row>
      <xdr:rowOff>15001</xdr:rowOff>
    </xdr:to>
    <xdr:sp macro="" textlink="">
      <xdr:nvSpPr>
        <xdr:cNvPr id="245218" name="フリーフォーム: 図形 245217">
          <a:extLst>
            <a:ext uri="{FF2B5EF4-FFF2-40B4-BE49-F238E27FC236}">
              <a16:creationId xmlns:a16="http://schemas.microsoft.com/office/drawing/2014/main" id="{FBEE8014-59E0-4653-9EAD-7E9C3F7A7B79}"/>
            </a:ext>
          </a:extLst>
        </xdr:cNvPr>
        <xdr:cNvSpPr>
          <a:spLocks noChangeAspect="1"/>
        </xdr:cNvSpPr>
      </xdr:nvSpPr>
      <xdr:spPr>
        <a:xfrm>
          <a:off x="11512800" y="39096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21</xdr:row>
      <xdr:rowOff>42450</xdr:rowOff>
    </xdr:from>
    <xdr:to>
      <xdr:col>18</xdr:col>
      <xdr:colOff>176401</xdr:colOff>
      <xdr:row>22</xdr:row>
      <xdr:rowOff>15001</xdr:rowOff>
    </xdr:to>
    <xdr:sp macro="" textlink="">
      <xdr:nvSpPr>
        <xdr:cNvPr id="245219" name="フリーフォーム: 図形 245218">
          <a:extLst>
            <a:ext uri="{FF2B5EF4-FFF2-40B4-BE49-F238E27FC236}">
              <a16:creationId xmlns:a16="http://schemas.microsoft.com/office/drawing/2014/main" id="{5A8F77DB-D0B4-463E-83CA-A45168C3E5B5}"/>
            </a:ext>
          </a:extLst>
        </xdr:cNvPr>
        <xdr:cNvSpPr>
          <a:spLocks noChangeAspect="1"/>
        </xdr:cNvSpPr>
      </xdr:nvSpPr>
      <xdr:spPr>
        <a:xfrm>
          <a:off x="12052800" y="39096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21</xdr:row>
      <xdr:rowOff>114450</xdr:rowOff>
    </xdr:from>
    <xdr:to>
      <xdr:col>18</xdr:col>
      <xdr:colOff>248401</xdr:colOff>
      <xdr:row>27</xdr:row>
      <xdr:rowOff>21751</xdr:rowOff>
    </xdr:to>
    <xdr:sp macro="" textlink="">
      <xdr:nvSpPr>
        <xdr:cNvPr id="245220" name="フリーフォーム: 図形 245219">
          <a:extLst>
            <a:ext uri="{FF2B5EF4-FFF2-40B4-BE49-F238E27FC236}">
              <a16:creationId xmlns:a16="http://schemas.microsoft.com/office/drawing/2014/main" id="{63BE33A4-ACB1-41EA-A94B-9B5D642BB986}"/>
            </a:ext>
          </a:extLst>
        </xdr:cNvPr>
        <xdr:cNvSpPr>
          <a:spLocks noChangeAspect="1"/>
        </xdr:cNvSpPr>
      </xdr:nvSpPr>
      <xdr:spPr>
        <a:xfrm>
          <a:off x="12304800" y="39816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27</xdr:row>
      <xdr:rowOff>75750</xdr:rowOff>
    </xdr:from>
    <xdr:to>
      <xdr:col>18</xdr:col>
      <xdr:colOff>68401</xdr:colOff>
      <xdr:row>32</xdr:row>
      <xdr:rowOff>136501</xdr:rowOff>
    </xdr:to>
    <xdr:sp macro="" textlink="">
      <xdr:nvSpPr>
        <xdr:cNvPr id="245221" name="フリーフォーム: 図形 245220">
          <a:extLst>
            <a:ext uri="{FF2B5EF4-FFF2-40B4-BE49-F238E27FC236}">
              <a16:creationId xmlns:a16="http://schemas.microsoft.com/office/drawing/2014/main" id="{9A26C751-0731-4FD7-991F-186905D2F39B}"/>
            </a:ext>
          </a:extLst>
        </xdr:cNvPr>
        <xdr:cNvSpPr>
          <a:spLocks noChangeAspect="1"/>
        </xdr:cNvSpPr>
      </xdr:nvSpPr>
      <xdr:spPr>
        <a:xfrm>
          <a:off x="12124800" y="49716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32</xdr:row>
      <xdr:rowOff>64500</xdr:rowOff>
    </xdr:from>
    <xdr:to>
      <xdr:col>16</xdr:col>
      <xdr:colOff>684001</xdr:colOff>
      <xdr:row>33</xdr:row>
      <xdr:rowOff>37051</xdr:rowOff>
    </xdr:to>
    <xdr:sp macro="" textlink="">
      <xdr:nvSpPr>
        <xdr:cNvPr id="245222" name="フリーフォーム: 図形 245221">
          <a:extLst>
            <a:ext uri="{FF2B5EF4-FFF2-40B4-BE49-F238E27FC236}">
              <a16:creationId xmlns:a16="http://schemas.microsoft.com/office/drawing/2014/main" id="{7D74A571-6AB6-4956-98C3-C717F9AFF095}"/>
            </a:ext>
          </a:extLst>
        </xdr:cNvPr>
        <xdr:cNvSpPr>
          <a:spLocks noChangeAspect="1"/>
        </xdr:cNvSpPr>
      </xdr:nvSpPr>
      <xdr:spPr>
        <a:xfrm>
          <a:off x="11170800" y="5817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32</xdr:row>
      <xdr:rowOff>64500</xdr:rowOff>
    </xdr:from>
    <xdr:to>
      <xdr:col>17</xdr:col>
      <xdr:colOff>502201</xdr:colOff>
      <xdr:row>33</xdr:row>
      <xdr:rowOff>37051</xdr:rowOff>
    </xdr:to>
    <xdr:sp macro="" textlink="">
      <xdr:nvSpPr>
        <xdr:cNvPr id="245223" name="フリーフォーム: 図形 245222">
          <a:extLst>
            <a:ext uri="{FF2B5EF4-FFF2-40B4-BE49-F238E27FC236}">
              <a16:creationId xmlns:a16="http://schemas.microsoft.com/office/drawing/2014/main" id="{9A9FF324-9402-4D2F-81FB-DAFA6AB4723A}"/>
            </a:ext>
          </a:extLst>
        </xdr:cNvPr>
        <xdr:cNvSpPr>
          <a:spLocks noChangeAspect="1"/>
        </xdr:cNvSpPr>
      </xdr:nvSpPr>
      <xdr:spPr>
        <a:xfrm>
          <a:off x="11692800" y="5817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27</xdr:row>
      <xdr:rowOff>75750</xdr:rowOff>
    </xdr:from>
    <xdr:to>
      <xdr:col>16</xdr:col>
      <xdr:colOff>432001</xdr:colOff>
      <xdr:row>32</xdr:row>
      <xdr:rowOff>136501</xdr:rowOff>
    </xdr:to>
    <xdr:sp macro="" textlink="">
      <xdr:nvSpPr>
        <xdr:cNvPr id="245224" name="フリーフォーム: 図形 245223">
          <a:extLst>
            <a:ext uri="{FF2B5EF4-FFF2-40B4-BE49-F238E27FC236}">
              <a16:creationId xmlns:a16="http://schemas.microsoft.com/office/drawing/2014/main" id="{31110702-060D-4A22-B615-6B7E3A6D2467}"/>
            </a:ext>
          </a:extLst>
        </xdr:cNvPr>
        <xdr:cNvSpPr>
          <a:spLocks noChangeAspect="1"/>
        </xdr:cNvSpPr>
      </xdr:nvSpPr>
      <xdr:spPr>
        <a:xfrm>
          <a:off x="11116800" y="49716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21</xdr:row>
      <xdr:rowOff>114450</xdr:rowOff>
    </xdr:from>
    <xdr:to>
      <xdr:col>16</xdr:col>
      <xdr:colOff>576001</xdr:colOff>
      <xdr:row>27</xdr:row>
      <xdr:rowOff>21751</xdr:rowOff>
    </xdr:to>
    <xdr:sp macro="" textlink="">
      <xdr:nvSpPr>
        <xdr:cNvPr id="245225" name="フリーフォーム: 図形 245224">
          <a:extLst>
            <a:ext uri="{FF2B5EF4-FFF2-40B4-BE49-F238E27FC236}">
              <a16:creationId xmlns:a16="http://schemas.microsoft.com/office/drawing/2014/main" id="{532C3ADF-8A94-4D73-A819-061519DE57F7}"/>
            </a:ext>
          </a:extLst>
        </xdr:cNvPr>
        <xdr:cNvSpPr>
          <a:spLocks noChangeAspect="1"/>
        </xdr:cNvSpPr>
      </xdr:nvSpPr>
      <xdr:spPr>
        <a:xfrm>
          <a:off x="11296800" y="39816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26</xdr:row>
      <xdr:rowOff>139200</xdr:rowOff>
    </xdr:from>
    <xdr:to>
      <xdr:col>17</xdr:col>
      <xdr:colOff>160201</xdr:colOff>
      <xdr:row>27</xdr:row>
      <xdr:rowOff>111751</xdr:rowOff>
    </xdr:to>
    <xdr:sp macro="" textlink="">
      <xdr:nvSpPr>
        <xdr:cNvPr id="245226" name="フリーフォーム: 図形 245225">
          <a:extLst>
            <a:ext uri="{FF2B5EF4-FFF2-40B4-BE49-F238E27FC236}">
              <a16:creationId xmlns:a16="http://schemas.microsoft.com/office/drawing/2014/main" id="{A9BB262A-6549-47D0-814F-DE3F0FC3A352}"/>
            </a:ext>
          </a:extLst>
        </xdr:cNvPr>
        <xdr:cNvSpPr>
          <a:spLocks noChangeAspect="1"/>
        </xdr:cNvSpPr>
      </xdr:nvSpPr>
      <xdr:spPr>
        <a:xfrm>
          <a:off x="11368800" y="48636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26</xdr:row>
      <xdr:rowOff>139200</xdr:rowOff>
    </xdr:from>
    <xdr:to>
      <xdr:col>17</xdr:col>
      <xdr:colOff>664201</xdr:colOff>
      <xdr:row>27</xdr:row>
      <xdr:rowOff>111751</xdr:rowOff>
    </xdr:to>
    <xdr:sp macro="" textlink="">
      <xdr:nvSpPr>
        <xdr:cNvPr id="245227" name="フリーフォーム: 図形 245226">
          <a:extLst>
            <a:ext uri="{FF2B5EF4-FFF2-40B4-BE49-F238E27FC236}">
              <a16:creationId xmlns:a16="http://schemas.microsoft.com/office/drawing/2014/main" id="{0B85F450-A5FA-4A45-AFC6-49D1A1E78ECB}"/>
            </a:ext>
          </a:extLst>
        </xdr:cNvPr>
        <xdr:cNvSpPr>
          <a:spLocks noChangeAspect="1"/>
        </xdr:cNvSpPr>
      </xdr:nvSpPr>
      <xdr:spPr>
        <a:xfrm>
          <a:off x="11872800" y="48636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22</xdr:row>
      <xdr:rowOff>51000</xdr:rowOff>
    </xdr:from>
    <xdr:to>
      <xdr:col>17</xdr:col>
      <xdr:colOff>178201</xdr:colOff>
      <xdr:row>27</xdr:row>
      <xdr:rowOff>3751</xdr:rowOff>
    </xdr:to>
    <xdr:sp macro="" textlink="">
      <xdr:nvSpPr>
        <xdr:cNvPr id="245228" name="フリーフォーム: 図形 245227">
          <a:extLst>
            <a:ext uri="{FF2B5EF4-FFF2-40B4-BE49-F238E27FC236}">
              <a16:creationId xmlns:a16="http://schemas.microsoft.com/office/drawing/2014/main" id="{603C5D71-B4EF-4D8A-8BEC-B23D96AE2CC6}"/>
            </a:ext>
          </a:extLst>
        </xdr:cNvPr>
        <xdr:cNvSpPr>
          <a:spLocks noChangeAspect="1"/>
        </xdr:cNvSpPr>
      </xdr:nvSpPr>
      <xdr:spPr>
        <a:xfrm>
          <a:off x="11566800" y="40896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21</xdr:row>
      <xdr:rowOff>114450</xdr:rowOff>
    </xdr:from>
    <xdr:to>
      <xdr:col>17</xdr:col>
      <xdr:colOff>430201</xdr:colOff>
      <xdr:row>26</xdr:row>
      <xdr:rowOff>157201</xdr:rowOff>
    </xdr:to>
    <xdr:sp macro="" textlink="">
      <xdr:nvSpPr>
        <xdr:cNvPr id="245229" name="フリーフォーム: 図形 245228">
          <a:extLst>
            <a:ext uri="{FF2B5EF4-FFF2-40B4-BE49-F238E27FC236}">
              <a16:creationId xmlns:a16="http://schemas.microsoft.com/office/drawing/2014/main" id="{61A633E6-EF42-41BD-AE65-D6F26DED4DFF}"/>
            </a:ext>
          </a:extLst>
        </xdr:cNvPr>
        <xdr:cNvSpPr>
          <a:spLocks noChangeAspect="1"/>
        </xdr:cNvSpPr>
      </xdr:nvSpPr>
      <xdr:spPr>
        <a:xfrm>
          <a:off x="118368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22</xdr:row>
      <xdr:rowOff>69000</xdr:rowOff>
    </xdr:from>
    <xdr:to>
      <xdr:col>18</xdr:col>
      <xdr:colOff>68401</xdr:colOff>
      <xdr:row>27</xdr:row>
      <xdr:rowOff>3751</xdr:rowOff>
    </xdr:to>
    <xdr:sp macro="" textlink="">
      <xdr:nvSpPr>
        <xdr:cNvPr id="245230" name="フリーフォーム: 図形 245229">
          <a:extLst>
            <a:ext uri="{FF2B5EF4-FFF2-40B4-BE49-F238E27FC236}">
              <a16:creationId xmlns:a16="http://schemas.microsoft.com/office/drawing/2014/main" id="{D855E08E-5965-46F7-B626-735C7ABD65BB}"/>
            </a:ext>
          </a:extLst>
        </xdr:cNvPr>
        <xdr:cNvSpPr>
          <a:spLocks noChangeAspect="1"/>
        </xdr:cNvSpPr>
      </xdr:nvSpPr>
      <xdr:spPr>
        <a:xfrm>
          <a:off x="118908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27</xdr:row>
      <xdr:rowOff>75750</xdr:rowOff>
    </xdr:from>
    <xdr:to>
      <xdr:col>17</xdr:col>
      <xdr:colOff>466201</xdr:colOff>
      <xdr:row>31</xdr:row>
      <xdr:rowOff>163951</xdr:rowOff>
    </xdr:to>
    <xdr:sp macro="" textlink="">
      <xdr:nvSpPr>
        <xdr:cNvPr id="245231" name="フリーフォーム: 図形 245230">
          <a:extLst>
            <a:ext uri="{FF2B5EF4-FFF2-40B4-BE49-F238E27FC236}">
              <a16:creationId xmlns:a16="http://schemas.microsoft.com/office/drawing/2014/main" id="{400E4EB4-F81E-4BA7-8909-0CFADF93D1A4}"/>
            </a:ext>
          </a:extLst>
        </xdr:cNvPr>
        <xdr:cNvSpPr>
          <a:spLocks noChangeAspect="1"/>
        </xdr:cNvSpPr>
      </xdr:nvSpPr>
      <xdr:spPr>
        <a:xfrm>
          <a:off x="11854800" y="49716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27</xdr:row>
      <xdr:rowOff>93750</xdr:rowOff>
    </xdr:from>
    <xdr:to>
      <xdr:col>17</xdr:col>
      <xdr:colOff>196201</xdr:colOff>
      <xdr:row>32</xdr:row>
      <xdr:rowOff>118501</xdr:rowOff>
    </xdr:to>
    <xdr:sp macro="" textlink="">
      <xdr:nvSpPr>
        <xdr:cNvPr id="245232" name="フリーフォーム: 図形 245231">
          <a:extLst>
            <a:ext uri="{FF2B5EF4-FFF2-40B4-BE49-F238E27FC236}">
              <a16:creationId xmlns:a16="http://schemas.microsoft.com/office/drawing/2014/main" id="{5C4C0CCD-C387-4CFD-84D7-327B5CF07A7D}"/>
            </a:ext>
          </a:extLst>
        </xdr:cNvPr>
        <xdr:cNvSpPr>
          <a:spLocks noChangeAspect="1"/>
        </xdr:cNvSpPr>
      </xdr:nvSpPr>
      <xdr:spPr>
        <a:xfrm>
          <a:off x="11620800" y="49896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27</xdr:row>
      <xdr:rowOff>75750</xdr:rowOff>
    </xdr:from>
    <xdr:to>
      <xdr:col>17</xdr:col>
      <xdr:colOff>160201</xdr:colOff>
      <xdr:row>32</xdr:row>
      <xdr:rowOff>10501</xdr:rowOff>
    </xdr:to>
    <xdr:sp macro="" textlink="">
      <xdr:nvSpPr>
        <xdr:cNvPr id="245233" name="フリーフォーム: 図形 245232">
          <a:extLst>
            <a:ext uri="{FF2B5EF4-FFF2-40B4-BE49-F238E27FC236}">
              <a16:creationId xmlns:a16="http://schemas.microsoft.com/office/drawing/2014/main" id="{2A6A69D9-444A-43E6-941D-4914D6827037}"/>
            </a:ext>
          </a:extLst>
        </xdr:cNvPr>
        <xdr:cNvSpPr>
          <a:spLocks noChangeAspect="1"/>
        </xdr:cNvSpPr>
      </xdr:nvSpPr>
      <xdr:spPr>
        <a:xfrm>
          <a:off x="11296800" y="49716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21</xdr:row>
      <xdr:rowOff>42450</xdr:rowOff>
    </xdr:from>
    <xdr:to>
      <xdr:col>20</xdr:col>
      <xdr:colOff>93601</xdr:colOff>
      <xdr:row>22</xdr:row>
      <xdr:rowOff>15001</xdr:rowOff>
    </xdr:to>
    <xdr:sp macro="" textlink="">
      <xdr:nvSpPr>
        <xdr:cNvPr id="245234" name="フリーフォーム: 図形 245233">
          <a:extLst>
            <a:ext uri="{FF2B5EF4-FFF2-40B4-BE49-F238E27FC236}">
              <a16:creationId xmlns:a16="http://schemas.microsoft.com/office/drawing/2014/main" id="{6A172AC7-76DF-42A7-A1BA-C5F0324BBB1C}"/>
            </a:ext>
          </a:extLst>
        </xdr:cNvPr>
        <xdr:cNvSpPr>
          <a:spLocks noChangeAspect="1"/>
        </xdr:cNvSpPr>
      </xdr:nvSpPr>
      <xdr:spPr>
        <a:xfrm>
          <a:off x="133416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21</xdr:row>
      <xdr:rowOff>42450</xdr:rowOff>
    </xdr:from>
    <xdr:to>
      <xdr:col>20</xdr:col>
      <xdr:colOff>633601</xdr:colOff>
      <xdr:row>22</xdr:row>
      <xdr:rowOff>15001</xdr:rowOff>
    </xdr:to>
    <xdr:sp macro="" textlink="">
      <xdr:nvSpPr>
        <xdr:cNvPr id="245235" name="フリーフォーム: 図形 245234">
          <a:extLst>
            <a:ext uri="{FF2B5EF4-FFF2-40B4-BE49-F238E27FC236}">
              <a16:creationId xmlns:a16="http://schemas.microsoft.com/office/drawing/2014/main" id="{014283E7-B57B-4A10-BAC3-2711CC7AB64E}"/>
            </a:ext>
          </a:extLst>
        </xdr:cNvPr>
        <xdr:cNvSpPr>
          <a:spLocks noChangeAspect="1"/>
        </xdr:cNvSpPr>
      </xdr:nvSpPr>
      <xdr:spPr>
        <a:xfrm>
          <a:off x="138816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21</xdr:row>
      <xdr:rowOff>114450</xdr:rowOff>
    </xdr:from>
    <xdr:to>
      <xdr:col>21</xdr:col>
      <xdr:colOff>19801</xdr:colOff>
      <xdr:row>27</xdr:row>
      <xdr:rowOff>21751</xdr:rowOff>
    </xdr:to>
    <xdr:sp macro="" textlink="">
      <xdr:nvSpPr>
        <xdr:cNvPr id="245236" name="フリーフォーム: 図形 245235">
          <a:extLst>
            <a:ext uri="{FF2B5EF4-FFF2-40B4-BE49-F238E27FC236}">
              <a16:creationId xmlns:a16="http://schemas.microsoft.com/office/drawing/2014/main" id="{B81C9CD0-D1C4-4C4A-916B-64E5FF85C6E1}"/>
            </a:ext>
          </a:extLst>
        </xdr:cNvPr>
        <xdr:cNvSpPr>
          <a:spLocks noChangeAspect="1"/>
        </xdr:cNvSpPr>
      </xdr:nvSpPr>
      <xdr:spPr>
        <a:xfrm>
          <a:off x="141335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27</xdr:row>
      <xdr:rowOff>75750</xdr:rowOff>
    </xdr:from>
    <xdr:to>
      <xdr:col>20</xdr:col>
      <xdr:colOff>525601</xdr:colOff>
      <xdr:row>32</xdr:row>
      <xdr:rowOff>136501</xdr:rowOff>
    </xdr:to>
    <xdr:sp macro="" textlink="">
      <xdr:nvSpPr>
        <xdr:cNvPr id="245237" name="フリーフォーム: 図形 245236">
          <a:extLst>
            <a:ext uri="{FF2B5EF4-FFF2-40B4-BE49-F238E27FC236}">
              <a16:creationId xmlns:a16="http://schemas.microsoft.com/office/drawing/2014/main" id="{792F949C-C77F-4EE8-91D3-6474B587D763}"/>
            </a:ext>
          </a:extLst>
        </xdr:cNvPr>
        <xdr:cNvSpPr>
          <a:spLocks noChangeAspect="1"/>
        </xdr:cNvSpPr>
      </xdr:nvSpPr>
      <xdr:spPr>
        <a:xfrm>
          <a:off x="139535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32</xdr:row>
      <xdr:rowOff>64500</xdr:rowOff>
    </xdr:from>
    <xdr:to>
      <xdr:col>19</xdr:col>
      <xdr:colOff>455401</xdr:colOff>
      <xdr:row>33</xdr:row>
      <xdr:rowOff>37051</xdr:rowOff>
    </xdr:to>
    <xdr:sp macro="" textlink="">
      <xdr:nvSpPr>
        <xdr:cNvPr id="245238" name="フリーフォーム: 図形 245237">
          <a:extLst>
            <a:ext uri="{FF2B5EF4-FFF2-40B4-BE49-F238E27FC236}">
              <a16:creationId xmlns:a16="http://schemas.microsoft.com/office/drawing/2014/main" id="{187CE829-EEDC-47A0-84CA-BE412EF7D6C9}"/>
            </a:ext>
          </a:extLst>
        </xdr:cNvPr>
        <xdr:cNvSpPr>
          <a:spLocks noChangeAspect="1"/>
        </xdr:cNvSpPr>
      </xdr:nvSpPr>
      <xdr:spPr>
        <a:xfrm>
          <a:off x="129996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32</xdr:row>
      <xdr:rowOff>64500</xdr:rowOff>
    </xdr:from>
    <xdr:to>
      <xdr:col>20</xdr:col>
      <xdr:colOff>273601</xdr:colOff>
      <xdr:row>33</xdr:row>
      <xdr:rowOff>37051</xdr:rowOff>
    </xdr:to>
    <xdr:sp macro="" textlink="">
      <xdr:nvSpPr>
        <xdr:cNvPr id="245239" name="フリーフォーム: 図形 245238">
          <a:extLst>
            <a:ext uri="{FF2B5EF4-FFF2-40B4-BE49-F238E27FC236}">
              <a16:creationId xmlns:a16="http://schemas.microsoft.com/office/drawing/2014/main" id="{2691C852-A85D-4E21-8DE6-238AAB0E3DF0}"/>
            </a:ext>
          </a:extLst>
        </xdr:cNvPr>
        <xdr:cNvSpPr>
          <a:spLocks noChangeAspect="1"/>
        </xdr:cNvSpPr>
      </xdr:nvSpPr>
      <xdr:spPr>
        <a:xfrm>
          <a:off x="135215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27</xdr:row>
      <xdr:rowOff>75750</xdr:rowOff>
    </xdr:from>
    <xdr:to>
      <xdr:col>19</xdr:col>
      <xdr:colOff>203401</xdr:colOff>
      <xdr:row>32</xdr:row>
      <xdr:rowOff>136501</xdr:rowOff>
    </xdr:to>
    <xdr:sp macro="" textlink="">
      <xdr:nvSpPr>
        <xdr:cNvPr id="245240" name="フリーフォーム: 図形 245239">
          <a:extLst>
            <a:ext uri="{FF2B5EF4-FFF2-40B4-BE49-F238E27FC236}">
              <a16:creationId xmlns:a16="http://schemas.microsoft.com/office/drawing/2014/main" id="{2D1B0D6C-156B-44E2-95EB-C92BB284D591}"/>
            </a:ext>
          </a:extLst>
        </xdr:cNvPr>
        <xdr:cNvSpPr>
          <a:spLocks noChangeAspect="1"/>
        </xdr:cNvSpPr>
      </xdr:nvSpPr>
      <xdr:spPr>
        <a:xfrm>
          <a:off x="12945600" y="4971600"/>
          <a:ext cx="288001" cy="918001"/>
        </a:xfrm>
        <a:custGeom>
          <a:avLst/>
          <a:gdLst/>
          <a:ahLst/>
          <a:cxnLst/>
          <a:rect l="0" t="0" r="0" b="0"/>
          <a:pathLst>
            <a:path w="288001" h="918001">
              <a:moveTo>
                <a:pt x="143999" y="54000"/>
              </a:moveTo>
              <a:lnTo>
                <a:pt x="216000" y="0"/>
              </a:lnTo>
              <a:lnTo>
                <a:pt x="288000" y="72000"/>
              </a:lnTo>
              <a:lnTo>
                <a:pt x="143999"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21</xdr:row>
      <xdr:rowOff>114450</xdr:rowOff>
    </xdr:from>
    <xdr:to>
      <xdr:col>19</xdr:col>
      <xdr:colOff>347402</xdr:colOff>
      <xdr:row>27</xdr:row>
      <xdr:rowOff>21751</xdr:rowOff>
    </xdr:to>
    <xdr:sp macro="" textlink="">
      <xdr:nvSpPr>
        <xdr:cNvPr id="245241" name="フリーフォーム: 図形 245240">
          <a:extLst>
            <a:ext uri="{FF2B5EF4-FFF2-40B4-BE49-F238E27FC236}">
              <a16:creationId xmlns:a16="http://schemas.microsoft.com/office/drawing/2014/main" id="{A5B33C51-D53A-4A5A-9552-097FF589B333}"/>
            </a:ext>
          </a:extLst>
        </xdr:cNvPr>
        <xdr:cNvSpPr>
          <a:spLocks noChangeAspect="1"/>
        </xdr:cNvSpPr>
      </xdr:nvSpPr>
      <xdr:spPr>
        <a:xfrm>
          <a:off x="131256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26</xdr:row>
      <xdr:rowOff>139200</xdr:rowOff>
    </xdr:from>
    <xdr:to>
      <xdr:col>19</xdr:col>
      <xdr:colOff>617401</xdr:colOff>
      <xdr:row>27</xdr:row>
      <xdr:rowOff>111751</xdr:rowOff>
    </xdr:to>
    <xdr:sp macro="" textlink="">
      <xdr:nvSpPr>
        <xdr:cNvPr id="245242" name="フリーフォーム: 図形 245241">
          <a:extLst>
            <a:ext uri="{FF2B5EF4-FFF2-40B4-BE49-F238E27FC236}">
              <a16:creationId xmlns:a16="http://schemas.microsoft.com/office/drawing/2014/main" id="{D408F7AE-75C0-4570-99C7-E81493BE966F}"/>
            </a:ext>
          </a:extLst>
        </xdr:cNvPr>
        <xdr:cNvSpPr>
          <a:spLocks noChangeAspect="1"/>
        </xdr:cNvSpPr>
      </xdr:nvSpPr>
      <xdr:spPr>
        <a:xfrm>
          <a:off x="131976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26</xdr:row>
      <xdr:rowOff>139200</xdr:rowOff>
    </xdr:from>
    <xdr:to>
      <xdr:col>20</xdr:col>
      <xdr:colOff>435601</xdr:colOff>
      <xdr:row>27</xdr:row>
      <xdr:rowOff>111751</xdr:rowOff>
    </xdr:to>
    <xdr:sp macro="" textlink="">
      <xdr:nvSpPr>
        <xdr:cNvPr id="245243" name="フリーフォーム: 図形 245242">
          <a:extLst>
            <a:ext uri="{FF2B5EF4-FFF2-40B4-BE49-F238E27FC236}">
              <a16:creationId xmlns:a16="http://schemas.microsoft.com/office/drawing/2014/main" id="{86434B5E-7B50-440B-BB0C-432E6266C670}"/>
            </a:ext>
          </a:extLst>
        </xdr:cNvPr>
        <xdr:cNvSpPr>
          <a:spLocks noChangeAspect="1"/>
        </xdr:cNvSpPr>
      </xdr:nvSpPr>
      <xdr:spPr>
        <a:xfrm>
          <a:off x="137015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22</xdr:row>
      <xdr:rowOff>51000</xdr:rowOff>
    </xdr:from>
    <xdr:to>
      <xdr:col>19</xdr:col>
      <xdr:colOff>635401</xdr:colOff>
      <xdr:row>27</xdr:row>
      <xdr:rowOff>3751</xdr:rowOff>
    </xdr:to>
    <xdr:sp macro="" textlink="">
      <xdr:nvSpPr>
        <xdr:cNvPr id="245244" name="フリーフォーム: 図形 245243">
          <a:extLst>
            <a:ext uri="{FF2B5EF4-FFF2-40B4-BE49-F238E27FC236}">
              <a16:creationId xmlns:a16="http://schemas.microsoft.com/office/drawing/2014/main" id="{7703901C-2C81-4E05-9481-A9468D203205}"/>
            </a:ext>
          </a:extLst>
        </xdr:cNvPr>
        <xdr:cNvSpPr>
          <a:spLocks noChangeAspect="1"/>
        </xdr:cNvSpPr>
      </xdr:nvSpPr>
      <xdr:spPr>
        <a:xfrm>
          <a:off x="133955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21</xdr:row>
      <xdr:rowOff>114450</xdr:rowOff>
    </xdr:from>
    <xdr:to>
      <xdr:col>20</xdr:col>
      <xdr:colOff>201601</xdr:colOff>
      <xdr:row>26</xdr:row>
      <xdr:rowOff>157201</xdr:rowOff>
    </xdr:to>
    <xdr:sp macro="" textlink="">
      <xdr:nvSpPr>
        <xdr:cNvPr id="245245" name="フリーフォーム: 図形 245244">
          <a:extLst>
            <a:ext uri="{FF2B5EF4-FFF2-40B4-BE49-F238E27FC236}">
              <a16:creationId xmlns:a16="http://schemas.microsoft.com/office/drawing/2014/main" id="{C5B6DF19-9A7F-4D88-B8AA-E2E4AD08E445}"/>
            </a:ext>
          </a:extLst>
        </xdr:cNvPr>
        <xdr:cNvSpPr>
          <a:spLocks noChangeAspect="1"/>
        </xdr:cNvSpPr>
      </xdr:nvSpPr>
      <xdr:spPr>
        <a:xfrm>
          <a:off x="136656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22</xdr:row>
      <xdr:rowOff>69000</xdr:rowOff>
    </xdr:from>
    <xdr:to>
      <xdr:col>20</xdr:col>
      <xdr:colOff>525601</xdr:colOff>
      <xdr:row>27</xdr:row>
      <xdr:rowOff>3751</xdr:rowOff>
    </xdr:to>
    <xdr:sp macro="" textlink="">
      <xdr:nvSpPr>
        <xdr:cNvPr id="245246" name="フリーフォーム: 図形 245245">
          <a:extLst>
            <a:ext uri="{FF2B5EF4-FFF2-40B4-BE49-F238E27FC236}">
              <a16:creationId xmlns:a16="http://schemas.microsoft.com/office/drawing/2014/main" id="{7743AEC9-CCD7-41C0-898C-02F6F691CC2E}"/>
            </a:ext>
          </a:extLst>
        </xdr:cNvPr>
        <xdr:cNvSpPr>
          <a:spLocks noChangeAspect="1"/>
        </xdr:cNvSpPr>
      </xdr:nvSpPr>
      <xdr:spPr>
        <a:xfrm>
          <a:off x="137196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27</xdr:row>
      <xdr:rowOff>75750</xdr:rowOff>
    </xdr:from>
    <xdr:to>
      <xdr:col>20</xdr:col>
      <xdr:colOff>237600</xdr:colOff>
      <xdr:row>31</xdr:row>
      <xdr:rowOff>163951</xdr:rowOff>
    </xdr:to>
    <xdr:sp macro="" textlink="">
      <xdr:nvSpPr>
        <xdr:cNvPr id="245247" name="フリーフォーム: 図形 245246">
          <a:extLst>
            <a:ext uri="{FF2B5EF4-FFF2-40B4-BE49-F238E27FC236}">
              <a16:creationId xmlns:a16="http://schemas.microsoft.com/office/drawing/2014/main" id="{31B49AD5-02B8-415D-82DD-C515C8084A0C}"/>
            </a:ext>
          </a:extLst>
        </xdr:cNvPr>
        <xdr:cNvSpPr>
          <a:spLocks noChangeAspect="1"/>
        </xdr:cNvSpPr>
      </xdr:nvSpPr>
      <xdr:spPr>
        <a:xfrm>
          <a:off x="136836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27</xdr:row>
      <xdr:rowOff>93750</xdr:rowOff>
    </xdr:from>
    <xdr:to>
      <xdr:col>19</xdr:col>
      <xdr:colOff>653401</xdr:colOff>
      <xdr:row>32</xdr:row>
      <xdr:rowOff>118501</xdr:rowOff>
    </xdr:to>
    <xdr:sp macro="" textlink="">
      <xdr:nvSpPr>
        <xdr:cNvPr id="245248" name="フリーフォーム: 図形 245247">
          <a:extLst>
            <a:ext uri="{FF2B5EF4-FFF2-40B4-BE49-F238E27FC236}">
              <a16:creationId xmlns:a16="http://schemas.microsoft.com/office/drawing/2014/main" id="{D9E4C45B-E899-4081-B429-50FF71FED185}"/>
            </a:ext>
          </a:extLst>
        </xdr:cNvPr>
        <xdr:cNvSpPr>
          <a:spLocks noChangeAspect="1"/>
        </xdr:cNvSpPr>
      </xdr:nvSpPr>
      <xdr:spPr>
        <a:xfrm>
          <a:off x="134496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27</xdr:row>
      <xdr:rowOff>75750</xdr:rowOff>
    </xdr:from>
    <xdr:to>
      <xdr:col>19</xdr:col>
      <xdr:colOff>617401</xdr:colOff>
      <xdr:row>32</xdr:row>
      <xdr:rowOff>10501</xdr:rowOff>
    </xdr:to>
    <xdr:sp macro="" textlink="">
      <xdr:nvSpPr>
        <xdr:cNvPr id="245249" name="フリーフォーム: 図形 245248">
          <a:extLst>
            <a:ext uri="{FF2B5EF4-FFF2-40B4-BE49-F238E27FC236}">
              <a16:creationId xmlns:a16="http://schemas.microsoft.com/office/drawing/2014/main" id="{62E416DF-8802-4A27-973F-D82A29469108}"/>
            </a:ext>
          </a:extLst>
        </xdr:cNvPr>
        <xdr:cNvSpPr>
          <a:spLocks noChangeAspect="1"/>
        </xdr:cNvSpPr>
      </xdr:nvSpPr>
      <xdr:spPr>
        <a:xfrm>
          <a:off x="131256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21</xdr:row>
      <xdr:rowOff>42450</xdr:rowOff>
    </xdr:from>
    <xdr:to>
      <xdr:col>22</xdr:col>
      <xdr:colOff>550801</xdr:colOff>
      <xdr:row>22</xdr:row>
      <xdr:rowOff>15001</xdr:rowOff>
    </xdr:to>
    <xdr:sp macro="" textlink="">
      <xdr:nvSpPr>
        <xdr:cNvPr id="245250" name="フリーフォーム: 図形 245249">
          <a:extLst>
            <a:ext uri="{FF2B5EF4-FFF2-40B4-BE49-F238E27FC236}">
              <a16:creationId xmlns:a16="http://schemas.microsoft.com/office/drawing/2014/main" id="{7F0B0C57-2ED3-493E-9D8C-E66AE47E0093}"/>
            </a:ext>
          </a:extLst>
        </xdr:cNvPr>
        <xdr:cNvSpPr>
          <a:spLocks noChangeAspect="1"/>
        </xdr:cNvSpPr>
      </xdr:nvSpPr>
      <xdr:spPr>
        <a:xfrm>
          <a:off x="151704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21</xdr:row>
      <xdr:rowOff>42450</xdr:rowOff>
    </xdr:from>
    <xdr:to>
      <xdr:col>23</xdr:col>
      <xdr:colOff>405001</xdr:colOff>
      <xdr:row>22</xdr:row>
      <xdr:rowOff>15001</xdr:rowOff>
    </xdr:to>
    <xdr:sp macro="" textlink="">
      <xdr:nvSpPr>
        <xdr:cNvPr id="245251" name="フリーフォーム: 図形 245250">
          <a:extLst>
            <a:ext uri="{FF2B5EF4-FFF2-40B4-BE49-F238E27FC236}">
              <a16:creationId xmlns:a16="http://schemas.microsoft.com/office/drawing/2014/main" id="{F993676F-A97A-44D3-B156-96D3CCD9EFC6}"/>
            </a:ext>
          </a:extLst>
        </xdr:cNvPr>
        <xdr:cNvSpPr>
          <a:spLocks noChangeAspect="1"/>
        </xdr:cNvSpPr>
      </xdr:nvSpPr>
      <xdr:spPr>
        <a:xfrm>
          <a:off x="157104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21</xdr:row>
      <xdr:rowOff>114450</xdr:rowOff>
    </xdr:from>
    <xdr:to>
      <xdr:col>23</xdr:col>
      <xdr:colOff>477001</xdr:colOff>
      <xdr:row>27</xdr:row>
      <xdr:rowOff>21751</xdr:rowOff>
    </xdr:to>
    <xdr:sp macro="" textlink="">
      <xdr:nvSpPr>
        <xdr:cNvPr id="245252" name="フリーフォーム: 図形 245251">
          <a:extLst>
            <a:ext uri="{FF2B5EF4-FFF2-40B4-BE49-F238E27FC236}">
              <a16:creationId xmlns:a16="http://schemas.microsoft.com/office/drawing/2014/main" id="{F807F9C6-436E-4D1E-B084-F5FDD7D6B2CC}"/>
            </a:ext>
          </a:extLst>
        </xdr:cNvPr>
        <xdr:cNvSpPr>
          <a:spLocks noChangeAspect="1"/>
        </xdr:cNvSpPr>
      </xdr:nvSpPr>
      <xdr:spPr>
        <a:xfrm>
          <a:off x="159623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27</xdr:row>
      <xdr:rowOff>75750</xdr:rowOff>
    </xdr:from>
    <xdr:to>
      <xdr:col>23</xdr:col>
      <xdr:colOff>297001</xdr:colOff>
      <xdr:row>32</xdr:row>
      <xdr:rowOff>136501</xdr:rowOff>
    </xdr:to>
    <xdr:sp macro="" textlink="">
      <xdr:nvSpPr>
        <xdr:cNvPr id="245253" name="フリーフォーム: 図形 245252">
          <a:extLst>
            <a:ext uri="{FF2B5EF4-FFF2-40B4-BE49-F238E27FC236}">
              <a16:creationId xmlns:a16="http://schemas.microsoft.com/office/drawing/2014/main" id="{CE309738-C5E7-4F09-9100-367F940D4189}"/>
            </a:ext>
          </a:extLst>
        </xdr:cNvPr>
        <xdr:cNvSpPr>
          <a:spLocks noChangeAspect="1"/>
        </xdr:cNvSpPr>
      </xdr:nvSpPr>
      <xdr:spPr>
        <a:xfrm>
          <a:off x="157823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32</xdr:row>
      <xdr:rowOff>64500</xdr:rowOff>
    </xdr:from>
    <xdr:to>
      <xdr:col>22</xdr:col>
      <xdr:colOff>226801</xdr:colOff>
      <xdr:row>33</xdr:row>
      <xdr:rowOff>37051</xdr:rowOff>
    </xdr:to>
    <xdr:sp macro="" textlink="">
      <xdr:nvSpPr>
        <xdr:cNvPr id="245254" name="フリーフォーム: 図形 245253">
          <a:extLst>
            <a:ext uri="{FF2B5EF4-FFF2-40B4-BE49-F238E27FC236}">
              <a16:creationId xmlns:a16="http://schemas.microsoft.com/office/drawing/2014/main" id="{4DDFCE7A-8A70-46C8-B628-AB8D8D9D6017}"/>
            </a:ext>
          </a:extLst>
        </xdr:cNvPr>
        <xdr:cNvSpPr>
          <a:spLocks noChangeAspect="1"/>
        </xdr:cNvSpPr>
      </xdr:nvSpPr>
      <xdr:spPr>
        <a:xfrm>
          <a:off x="148284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32</xdr:row>
      <xdr:rowOff>64500</xdr:rowOff>
    </xdr:from>
    <xdr:to>
      <xdr:col>23</xdr:col>
      <xdr:colOff>45001</xdr:colOff>
      <xdr:row>33</xdr:row>
      <xdr:rowOff>37051</xdr:rowOff>
    </xdr:to>
    <xdr:sp macro="" textlink="">
      <xdr:nvSpPr>
        <xdr:cNvPr id="245255" name="フリーフォーム: 図形 245254">
          <a:extLst>
            <a:ext uri="{FF2B5EF4-FFF2-40B4-BE49-F238E27FC236}">
              <a16:creationId xmlns:a16="http://schemas.microsoft.com/office/drawing/2014/main" id="{50CE6E24-2A87-446F-ADE3-6CCD5F840970}"/>
            </a:ext>
          </a:extLst>
        </xdr:cNvPr>
        <xdr:cNvSpPr>
          <a:spLocks noChangeAspect="1"/>
        </xdr:cNvSpPr>
      </xdr:nvSpPr>
      <xdr:spPr>
        <a:xfrm>
          <a:off x="153503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27</xdr:row>
      <xdr:rowOff>75750</xdr:rowOff>
    </xdr:from>
    <xdr:to>
      <xdr:col>21</xdr:col>
      <xdr:colOff>660601</xdr:colOff>
      <xdr:row>32</xdr:row>
      <xdr:rowOff>136501</xdr:rowOff>
    </xdr:to>
    <xdr:sp macro="" textlink="">
      <xdr:nvSpPr>
        <xdr:cNvPr id="245256" name="フリーフォーム: 図形 245255">
          <a:extLst>
            <a:ext uri="{FF2B5EF4-FFF2-40B4-BE49-F238E27FC236}">
              <a16:creationId xmlns:a16="http://schemas.microsoft.com/office/drawing/2014/main" id="{CFC8DD37-174E-42B0-8FC7-89D47617A9A6}"/>
            </a:ext>
          </a:extLst>
        </xdr:cNvPr>
        <xdr:cNvSpPr>
          <a:spLocks noChangeAspect="1"/>
        </xdr:cNvSpPr>
      </xdr:nvSpPr>
      <xdr:spPr>
        <a:xfrm>
          <a:off x="14774401" y="49716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21</xdr:row>
      <xdr:rowOff>114450</xdr:rowOff>
    </xdr:from>
    <xdr:to>
      <xdr:col>22</xdr:col>
      <xdr:colOff>118802</xdr:colOff>
      <xdr:row>27</xdr:row>
      <xdr:rowOff>21751</xdr:rowOff>
    </xdr:to>
    <xdr:sp macro="" textlink="">
      <xdr:nvSpPr>
        <xdr:cNvPr id="245257" name="フリーフォーム: 図形 245256">
          <a:extLst>
            <a:ext uri="{FF2B5EF4-FFF2-40B4-BE49-F238E27FC236}">
              <a16:creationId xmlns:a16="http://schemas.microsoft.com/office/drawing/2014/main" id="{90B2A50C-53CC-4D8F-8609-515B5F52B325}"/>
            </a:ext>
          </a:extLst>
        </xdr:cNvPr>
        <xdr:cNvSpPr>
          <a:spLocks noChangeAspect="1"/>
        </xdr:cNvSpPr>
      </xdr:nvSpPr>
      <xdr:spPr>
        <a:xfrm>
          <a:off x="149544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26</xdr:row>
      <xdr:rowOff>139200</xdr:rowOff>
    </xdr:from>
    <xdr:to>
      <xdr:col>22</xdr:col>
      <xdr:colOff>388801</xdr:colOff>
      <xdr:row>27</xdr:row>
      <xdr:rowOff>111751</xdr:rowOff>
    </xdr:to>
    <xdr:sp macro="" textlink="">
      <xdr:nvSpPr>
        <xdr:cNvPr id="245258" name="フリーフォーム: 図形 245257">
          <a:extLst>
            <a:ext uri="{FF2B5EF4-FFF2-40B4-BE49-F238E27FC236}">
              <a16:creationId xmlns:a16="http://schemas.microsoft.com/office/drawing/2014/main" id="{0F505BB7-7B5D-4F7F-9473-FE1C8F065020}"/>
            </a:ext>
          </a:extLst>
        </xdr:cNvPr>
        <xdr:cNvSpPr>
          <a:spLocks noChangeAspect="1"/>
        </xdr:cNvSpPr>
      </xdr:nvSpPr>
      <xdr:spPr>
        <a:xfrm>
          <a:off x="150264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26</xdr:row>
      <xdr:rowOff>139200</xdr:rowOff>
    </xdr:from>
    <xdr:to>
      <xdr:col>23</xdr:col>
      <xdr:colOff>207001</xdr:colOff>
      <xdr:row>27</xdr:row>
      <xdr:rowOff>111751</xdr:rowOff>
    </xdr:to>
    <xdr:sp macro="" textlink="">
      <xdr:nvSpPr>
        <xdr:cNvPr id="245259" name="フリーフォーム: 図形 245258">
          <a:extLst>
            <a:ext uri="{FF2B5EF4-FFF2-40B4-BE49-F238E27FC236}">
              <a16:creationId xmlns:a16="http://schemas.microsoft.com/office/drawing/2014/main" id="{43E06F57-8253-4E46-A491-14AE9C90034C}"/>
            </a:ext>
          </a:extLst>
        </xdr:cNvPr>
        <xdr:cNvSpPr>
          <a:spLocks noChangeAspect="1"/>
        </xdr:cNvSpPr>
      </xdr:nvSpPr>
      <xdr:spPr>
        <a:xfrm>
          <a:off x="155303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22</xdr:row>
      <xdr:rowOff>51000</xdr:rowOff>
    </xdr:from>
    <xdr:to>
      <xdr:col>22</xdr:col>
      <xdr:colOff>406801</xdr:colOff>
      <xdr:row>27</xdr:row>
      <xdr:rowOff>3751</xdr:rowOff>
    </xdr:to>
    <xdr:sp macro="" textlink="">
      <xdr:nvSpPr>
        <xdr:cNvPr id="245260" name="フリーフォーム: 図形 245259">
          <a:extLst>
            <a:ext uri="{FF2B5EF4-FFF2-40B4-BE49-F238E27FC236}">
              <a16:creationId xmlns:a16="http://schemas.microsoft.com/office/drawing/2014/main" id="{016F4565-8512-4313-B724-68D46FECD2B2}"/>
            </a:ext>
          </a:extLst>
        </xdr:cNvPr>
        <xdr:cNvSpPr>
          <a:spLocks noChangeAspect="1"/>
        </xdr:cNvSpPr>
      </xdr:nvSpPr>
      <xdr:spPr>
        <a:xfrm>
          <a:off x="152243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21</xdr:row>
      <xdr:rowOff>114450</xdr:rowOff>
    </xdr:from>
    <xdr:to>
      <xdr:col>22</xdr:col>
      <xdr:colOff>658801</xdr:colOff>
      <xdr:row>26</xdr:row>
      <xdr:rowOff>157201</xdr:rowOff>
    </xdr:to>
    <xdr:sp macro="" textlink="">
      <xdr:nvSpPr>
        <xdr:cNvPr id="245261" name="フリーフォーム: 図形 245260">
          <a:extLst>
            <a:ext uri="{FF2B5EF4-FFF2-40B4-BE49-F238E27FC236}">
              <a16:creationId xmlns:a16="http://schemas.microsoft.com/office/drawing/2014/main" id="{EB54B4B9-5367-40F9-ABDD-AF5A41748AB8}"/>
            </a:ext>
          </a:extLst>
        </xdr:cNvPr>
        <xdr:cNvSpPr>
          <a:spLocks noChangeAspect="1"/>
        </xdr:cNvSpPr>
      </xdr:nvSpPr>
      <xdr:spPr>
        <a:xfrm>
          <a:off x="154944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22</xdr:row>
      <xdr:rowOff>69000</xdr:rowOff>
    </xdr:from>
    <xdr:to>
      <xdr:col>23</xdr:col>
      <xdr:colOff>297001</xdr:colOff>
      <xdr:row>27</xdr:row>
      <xdr:rowOff>3751</xdr:rowOff>
    </xdr:to>
    <xdr:sp macro="" textlink="">
      <xdr:nvSpPr>
        <xdr:cNvPr id="245262" name="フリーフォーム: 図形 245261">
          <a:extLst>
            <a:ext uri="{FF2B5EF4-FFF2-40B4-BE49-F238E27FC236}">
              <a16:creationId xmlns:a16="http://schemas.microsoft.com/office/drawing/2014/main" id="{BEFA91F6-939D-43EA-BA9E-0751CCD07233}"/>
            </a:ext>
          </a:extLst>
        </xdr:cNvPr>
        <xdr:cNvSpPr>
          <a:spLocks noChangeAspect="1"/>
        </xdr:cNvSpPr>
      </xdr:nvSpPr>
      <xdr:spPr>
        <a:xfrm>
          <a:off x="155484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27</xdr:row>
      <xdr:rowOff>75750</xdr:rowOff>
    </xdr:from>
    <xdr:to>
      <xdr:col>23</xdr:col>
      <xdr:colOff>9000</xdr:colOff>
      <xdr:row>31</xdr:row>
      <xdr:rowOff>163951</xdr:rowOff>
    </xdr:to>
    <xdr:sp macro="" textlink="">
      <xdr:nvSpPr>
        <xdr:cNvPr id="245263" name="フリーフォーム: 図形 245262">
          <a:extLst>
            <a:ext uri="{FF2B5EF4-FFF2-40B4-BE49-F238E27FC236}">
              <a16:creationId xmlns:a16="http://schemas.microsoft.com/office/drawing/2014/main" id="{98EE017C-032F-4F23-9F24-99E83FBA4AB2}"/>
            </a:ext>
          </a:extLst>
        </xdr:cNvPr>
        <xdr:cNvSpPr>
          <a:spLocks noChangeAspect="1"/>
        </xdr:cNvSpPr>
      </xdr:nvSpPr>
      <xdr:spPr>
        <a:xfrm>
          <a:off x="155124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27</xdr:row>
      <xdr:rowOff>93750</xdr:rowOff>
    </xdr:from>
    <xdr:to>
      <xdr:col>22</xdr:col>
      <xdr:colOff>424801</xdr:colOff>
      <xdr:row>32</xdr:row>
      <xdr:rowOff>118501</xdr:rowOff>
    </xdr:to>
    <xdr:sp macro="" textlink="">
      <xdr:nvSpPr>
        <xdr:cNvPr id="245264" name="フリーフォーム: 図形 245263">
          <a:extLst>
            <a:ext uri="{FF2B5EF4-FFF2-40B4-BE49-F238E27FC236}">
              <a16:creationId xmlns:a16="http://schemas.microsoft.com/office/drawing/2014/main" id="{1E98F8D1-FD5C-4F0B-8376-D1AFF4D3B7BC}"/>
            </a:ext>
          </a:extLst>
        </xdr:cNvPr>
        <xdr:cNvSpPr>
          <a:spLocks noChangeAspect="1"/>
        </xdr:cNvSpPr>
      </xdr:nvSpPr>
      <xdr:spPr>
        <a:xfrm>
          <a:off x="152784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27</xdr:row>
      <xdr:rowOff>75750</xdr:rowOff>
    </xdr:from>
    <xdr:to>
      <xdr:col>22</xdr:col>
      <xdr:colOff>388801</xdr:colOff>
      <xdr:row>32</xdr:row>
      <xdr:rowOff>10501</xdr:rowOff>
    </xdr:to>
    <xdr:sp macro="" textlink="">
      <xdr:nvSpPr>
        <xdr:cNvPr id="245265" name="フリーフォーム: 図形 245264">
          <a:extLst>
            <a:ext uri="{FF2B5EF4-FFF2-40B4-BE49-F238E27FC236}">
              <a16:creationId xmlns:a16="http://schemas.microsoft.com/office/drawing/2014/main" id="{7B2993DD-01A0-47CD-9B46-17BF186DB90E}"/>
            </a:ext>
          </a:extLst>
        </xdr:cNvPr>
        <xdr:cNvSpPr>
          <a:spLocks noChangeAspect="1"/>
        </xdr:cNvSpPr>
      </xdr:nvSpPr>
      <xdr:spPr>
        <a:xfrm>
          <a:off x="149544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21</xdr:row>
      <xdr:rowOff>42450</xdr:rowOff>
    </xdr:from>
    <xdr:to>
      <xdr:col>25</xdr:col>
      <xdr:colOff>322201</xdr:colOff>
      <xdr:row>22</xdr:row>
      <xdr:rowOff>15001</xdr:rowOff>
    </xdr:to>
    <xdr:sp macro="" textlink="">
      <xdr:nvSpPr>
        <xdr:cNvPr id="245266" name="フリーフォーム: 図形 245265">
          <a:extLst>
            <a:ext uri="{FF2B5EF4-FFF2-40B4-BE49-F238E27FC236}">
              <a16:creationId xmlns:a16="http://schemas.microsoft.com/office/drawing/2014/main" id="{9AA83D3D-ADCB-47B5-AB2F-3B36561F09A5}"/>
            </a:ext>
          </a:extLst>
        </xdr:cNvPr>
        <xdr:cNvSpPr>
          <a:spLocks noChangeAspect="1"/>
        </xdr:cNvSpPr>
      </xdr:nvSpPr>
      <xdr:spPr>
        <a:xfrm>
          <a:off x="169992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21</xdr:row>
      <xdr:rowOff>42450</xdr:rowOff>
    </xdr:from>
    <xdr:to>
      <xdr:col>26</xdr:col>
      <xdr:colOff>176401</xdr:colOff>
      <xdr:row>22</xdr:row>
      <xdr:rowOff>15001</xdr:rowOff>
    </xdr:to>
    <xdr:sp macro="" textlink="">
      <xdr:nvSpPr>
        <xdr:cNvPr id="245267" name="フリーフォーム: 図形 245266">
          <a:extLst>
            <a:ext uri="{FF2B5EF4-FFF2-40B4-BE49-F238E27FC236}">
              <a16:creationId xmlns:a16="http://schemas.microsoft.com/office/drawing/2014/main" id="{8E7B54CD-C0D0-4853-9CDF-31E9DB043458}"/>
            </a:ext>
          </a:extLst>
        </xdr:cNvPr>
        <xdr:cNvSpPr>
          <a:spLocks noChangeAspect="1"/>
        </xdr:cNvSpPr>
      </xdr:nvSpPr>
      <xdr:spPr>
        <a:xfrm>
          <a:off x="175392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21</xdr:row>
      <xdr:rowOff>114450</xdr:rowOff>
    </xdr:from>
    <xdr:to>
      <xdr:col>26</xdr:col>
      <xdr:colOff>248401</xdr:colOff>
      <xdr:row>27</xdr:row>
      <xdr:rowOff>21751</xdr:rowOff>
    </xdr:to>
    <xdr:sp macro="" textlink="">
      <xdr:nvSpPr>
        <xdr:cNvPr id="245268" name="フリーフォーム: 図形 245267">
          <a:extLst>
            <a:ext uri="{FF2B5EF4-FFF2-40B4-BE49-F238E27FC236}">
              <a16:creationId xmlns:a16="http://schemas.microsoft.com/office/drawing/2014/main" id="{571F06AB-C610-42B8-AE64-AA17432325B9}"/>
            </a:ext>
          </a:extLst>
        </xdr:cNvPr>
        <xdr:cNvSpPr>
          <a:spLocks noChangeAspect="1"/>
        </xdr:cNvSpPr>
      </xdr:nvSpPr>
      <xdr:spPr>
        <a:xfrm>
          <a:off x="177911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27</xdr:row>
      <xdr:rowOff>75750</xdr:rowOff>
    </xdr:from>
    <xdr:to>
      <xdr:col>26</xdr:col>
      <xdr:colOff>68401</xdr:colOff>
      <xdr:row>32</xdr:row>
      <xdr:rowOff>136501</xdr:rowOff>
    </xdr:to>
    <xdr:sp macro="" textlink="">
      <xdr:nvSpPr>
        <xdr:cNvPr id="245269" name="フリーフォーム: 図形 245268">
          <a:extLst>
            <a:ext uri="{FF2B5EF4-FFF2-40B4-BE49-F238E27FC236}">
              <a16:creationId xmlns:a16="http://schemas.microsoft.com/office/drawing/2014/main" id="{C7CAD17A-667C-4396-8CF2-2A31726FE11A}"/>
            </a:ext>
          </a:extLst>
        </xdr:cNvPr>
        <xdr:cNvSpPr>
          <a:spLocks noChangeAspect="1"/>
        </xdr:cNvSpPr>
      </xdr:nvSpPr>
      <xdr:spPr>
        <a:xfrm>
          <a:off x="176111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32</xdr:row>
      <xdr:rowOff>64500</xdr:rowOff>
    </xdr:from>
    <xdr:to>
      <xdr:col>24</xdr:col>
      <xdr:colOff>684001</xdr:colOff>
      <xdr:row>33</xdr:row>
      <xdr:rowOff>37051</xdr:rowOff>
    </xdr:to>
    <xdr:sp macro="" textlink="">
      <xdr:nvSpPr>
        <xdr:cNvPr id="245270" name="フリーフォーム: 図形 245269">
          <a:extLst>
            <a:ext uri="{FF2B5EF4-FFF2-40B4-BE49-F238E27FC236}">
              <a16:creationId xmlns:a16="http://schemas.microsoft.com/office/drawing/2014/main" id="{BFCEB4C1-03D6-4422-A4F9-F411091BF5F6}"/>
            </a:ext>
          </a:extLst>
        </xdr:cNvPr>
        <xdr:cNvSpPr>
          <a:spLocks noChangeAspect="1"/>
        </xdr:cNvSpPr>
      </xdr:nvSpPr>
      <xdr:spPr>
        <a:xfrm>
          <a:off x="166572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32</xdr:row>
      <xdr:rowOff>64500</xdr:rowOff>
    </xdr:from>
    <xdr:to>
      <xdr:col>25</xdr:col>
      <xdr:colOff>502201</xdr:colOff>
      <xdr:row>33</xdr:row>
      <xdr:rowOff>37051</xdr:rowOff>
    </xdr:to>
    <xdr:sp macro="" textlink="">
      <xdr:nvSpPr>
        <xdr:cNvPr id="245271" name="フリーフォーム: 図形 245270">
          <a:extLst>
            <a:ext uri="{FF2B5EF4-FFF2-40B4-BE49-F238E27FC236}">
              <a16:creationId xmlns:a16="http://schemas.microsoft.com/office/drawing/2014/main" id="{C85A26D1-A7D9-443F-8EC3-CE1BDE55C4E4}"/>
            </a:ext>
          </a:extLst>
        </xdr:cNvPr>
        <xdr:cNvSpPr>
          <a:spLocks noChangeAspect="1"/>
        </xdr:cNvSpPr>
      </xdr:nvSpPr>
      <xdr:spPr>
        <a:xfrm>
          <a:off x="171791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27</xdr:row>
      <xdr:rowOff>75750</xdr:rowOff>
    </xdr:from>
    <xdr:to>
      <xdr:col>24</xdr:col>
      <xdr:colOff>432001</xdr:colOff>
      <xdr:row>32</xdr:row>
      <xdr:rowOff>136501</xdr:rowOff>
    </xdr:to>
    <xdr:sp macro="" textlink="">
      <xdr:nvSpPr>
        <xdr:cNvPr id="245272" name="フリーフォーム: 図形 245271">
          <a:extLst>
            <a:ext uri="{FF2B5EF4-FFF2-40B4-BE49-F238E27FC236}">
              <a16:creationId xmlns:a16="http://schemas.microsoft.com/office/drawing/2014/main" id="{561400A9-80D6-4188-A855-DE4BB0C46D16}"/>
            </a:ext>
          </a:extLst>
        </xdr:cNvPr>
        <xdr:cNvSpPr>
          <a:spLocks noChangeAspect="1"/>
        </xdr:cNvSpPr>
      </xdr:nvSpPr>
      <xdr:spPr>
        <a:xfrm>
          <a:off x="16603201" y="49716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21</xdr:row>
      <xdr:rowOff>114450</xdr:rowOff>
    </xdr:from>
    <xdr:to>
      <xdr:col>24</xdr:col>
      <xdr:colOff>576002</xdr:colOff>
      <xdr:row>27</xdr:row>
      <xdr:rowOff>21751</xdr:rowOff>
    </xdr:to>
    <xdr:sp macro="" textlink="">
      <xdr:nvSpPr>
        <xdr:cNvPr id="245273" name="フリーフォーム: 図形 245272">
          <a:extLst>
            <a:ext uri="{FF2B5EF4-FFF2-40B4-BE49-F238E27FC236}">
              <a16:creationId xmlns:a16="http://schemas.microsoft.com/office/drawing/2014/main" id="{36FC4E7F-0515-4765-BCDC-BCDB025D8432}"/>
            </a:ext>
          </a:extLst>
        </xdr:cNvPr>
        <xdr:cNvSpPr>
          <a:spLocks noChangeAspect="1"/>
        </xdr:cNvSpPr>
      </xdr:nvSpPr>
      <xdr:spPr>
        <a:xfrm>
          <a:off x="167832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26</xdr:row>
      <xdr:rowOff>139200</xdr:rowOff>
    </xdr:from>
    <xdr:to>
      <xdr:col>25</xdr:col>
      <xdr:colOff>160201</xdr:colOff>
      <xdr:row>27</xdr:row>
      <xdr:rowOff>111751</xdr:rowOff>
    </xdr:to>
    <xdr:sp macro="" textlink="">
      <xdr:nvSpPr>
        <xdr:cNvPr id="245274" name="フリーフォーム: 図形 245273">
          <a:extLst>
            <a:ext uri="{FF2B5EF4-FFF2-40B4-BE49-F238E27FC236}">
              <a16:creationId xmlns:a16="http://schemas.microsoft.com/office/drawing/2014/main" id="{83E6FA72-7CE5-42B2-89B6-E3C22F9DC0B5}"/>
            </a:ext>
          </a:extLst>
        </xdr:cNvPr>
        <xdr:cNvSpPr>
          <a:spLocks noChangeAspect="1"/>
        </xdr:cNvSpPr>
      </xdr:nvSpPr>
      <xdr:spPr>
        <a:xfrm>
          <a:off x="168552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26</xdr:row>
      <xdr:rowOff>139200</xdr:rowOff>
    </xdr:from>
    <xdr:to>
      <xdr:col>25</xdr:col>
      <xdr:colOff>664201</xdr:colOff>
      <xdr:row>27</xdr:row>
      <xdr:rowOff>111751</xdr:rowOff>
    </xdr:to>
    <xdr:sp macro="" textlink="">
      <xdr:nvSpPr>
        <xdr:cNvPr id="245275" name="フリーフォーム: 図形 245274">
          <a:extLst>
            <a:ext uri="{FF2B5EF4-FFF2-40B4-BE49-F238E27FC236}">
              <a16:creationId xmlns:a16="http://schemas.microsoft.com/office/drawing/2014/main" id="{3867F995-BC6C-4FF8-9756-9D2334FE28A2}"/>
            </a:ext>
          </a:extLst>
        </xdr:cNvPr>
        <xdr:cNvSpPr>
          <a:spLocks noChangeAspect="1"/>
        </xdr:cNvSpPr>
      </xdr:nvSpPr>
      <xdr:spPr>
        <a:xfrm>
          <a:off x="173591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22</xdr:row>
      <xdr:rowOff>51000</xdr:rowOff>
    </xdr:from>
    <xdr:to>
      <xdr:col>25</xdr:col>
      <xdr:colOff>178201</xdr:colOff>
      <xdr:row>27</xdr:row>
      <xdr:rowOff>3751</xdr:rowOff>
    </xdr:to>
    <xdr:sp macro="" textlink="">
      <xdr:nvSpPr>
        <xdr:cNvPr id="245276" name="フリーフォーム: 図形 245275">
          <a:extLst>
            <a:ext uri="{FF2B5EF4-FFF2-40B4-BE49-F238E27FC236}">
              <a16:creationId xmlns:a16="http://schemas.microsoft.com/office/drawing/2014/main" id="{762BE2C4-3C54-46A9-84E8-8AF798353F91}"/>
            </a:ext>
          </a:extLst>
        </xdr:cNvPr>
        <xdr:cNvSpPr>
          <a:spLocks noChangeAspect="1"/>
        </xdr:cNvSpPr>
      </xdr:nvSpPr>
      <xdr:spPr>
        <a:xfrm>
          <a:off x="170531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21</xdr:row>
      <xdr:rowOff>114450</xdr:rowOff>
    </xdr:from>
    <xdr:to>
      <xdr:col>25</xdr:col>
      <xdr:colOff>430201</xdr:colOff>
      <xdr:row>26</xdr:row>
      <xdr:rowOff>157201</xdr:rowOff>
    </xdr:to>
    <xdr:sp macro="" textlink="">
      <xdr:nvSpPr>
        <xdr:cNvPr id="245277" name="フリーフォーム: 図形 245276">
          <a:extLst>
            <a:ext uri="{FF2B5EF4-FFF2-40B4-BE49-F238E27FC236}">
              <a16:creationId xmlns:a16="http://schemas.microsoft.com/office/drawing/2014/main" id="{9F5189FE-11AA-4BEA-86FF-A84DF7E8F001}"/>
            </a:ext>
          </a:extLst>
        </xdr:cNvPr>
        <xdr:cNvSpPr>
          <a:spLocks noChangeAspect="1"/>
        </xdr:cNvSpPr>
      </xdr:nvSpPr>
      <xdr:spPr>
        <a:xfrm>
          <a:off x="173232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22</xdr:row>
      <xdr:rowOff>69000</xdr:rowOff>
    </xdr:from>
    <xdr:to>
      <xdr:col>26</xdr:col>
      <xdr:colOff>68401</xdr:colOff>
      <xdr:row>27</xdr:row>
      <xdr:rowOff>3751</xdr:rowOff>
    </xdr:to>
    <xdr:sp macro="" textlink="">
      <xdr:nvSpPr>
        <xdr:cNvPr id="245278" name="フリーフォーム: 図形 245277">
          <a:extLst>
            <a:ext uri="{FF2B5EF4-FFF2-40B4-BE49-F238E27FC236}">
              <a16:creationId xmlns:a16="http://schemas.microsoft.com/office/drawing/2014/main" id="{B0D2BB7A-2C5A-4A69-B231-CD9DB89F3196}"/>
            </a:ext>
          </a:extLst>
        </xdr:cNvPr>
        <xdr:cNvSpPr>
          <a:spLocks noChangeAspect="1"/>
        </xdr:cNvSpPr>
      </xdr:nvSpPr>
      <xdr:spPr>
        <a:xfrm>
          <a:off x="173772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27</xdr:row>
      <xdr:rowOff>75750</xdr:rowOff>
    </xdr:from>
    <xdr:to>
      <xdr:col>25</xdr:col>
      <xdr:colOff>466200</xdr:colOff>
      <xdr:row>31</xdr:row>
      <xdr:rowOff>163951</xdr:rowOff>
    </xdr:to>
    <xdr:sp macro="" textlink="">
      <xdr:nvSpPr>
        <xdr:cNvPr id="245279" name="フリーフォーム: 図形 245278">
          <a:extLst>
            <a:ext uri="{FF2B5EF4-FFF2-40B4-BE49-F238E27FC236}">
              <a16:creationId xmlns:a16="http://schemas.microsoft.com/office/drawing/2014/main" id="{E1306486-F63D-43B7-A71E-74E187A64459}"/>
            </a:ext>
          </a:extLst>
        </xdr:cNvPr>
        <xdr:cNvSpPr>
          <a:spLocks noChangeAspect="1"/>
        </xdr:cNvSpPr>
      </xdr:nvSpPr>
      <xdr:spPr>
        <a:xfrm>
          <a:off x="173412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27</xdr:row>
      <xdr:rowOff>93750</xdr:rowOff>
    </xdr:from>
    <xdr:to>
      <xdr:col>25</xdr:col>
      <xdr:colOff>196201</xdr:colOff>
      <xdr:row>32</xdr:row>
      <xdr:rowOff>118501</xdr:rowOff>
    </xdr:to>
    <xdr:sp macro="" textlink="">
      <xdr:nvSpPr>
        <xdr:cNvPr id="245280" name="フリーフォーム: 図形 245279">
          <a:extLst>
            <a:ext uri="{FF2B5EF4-FFF2-40B4-BE49-F238E27FC236}">
              <a16:creationId xmlns:a16="http://schemas.microsoft.com/office/drawing/2014/main" id="{77436882-6620-499C-8F9B-8C34B5892EB0}"/>
            </a:ext>
          </a:extLst>
        </xdr:cNvPr>
        <xdr:cNvSpPr>
          <a:spLocks noChangeAspect="1"/>
        </xdr:cNvSpPr>
      </xdr:nvSpPr>
      <xdr:spPr>
        <a:xfrm>
          <a:off x="171072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27</xdr:row>
      <xdr:rowOff>75750</xdr:rowOff>
    </xdr:from>
    <xdr:to>
      <xdr:col>25</xdr:col>
      <xdr:colOff>160201</xdr:colOff>
      <xdr:row>32</xdr:row>
      <xdr:rowOff>10501</xdr:rowOff>
    </xdr:to>
    <xdr:sp macro="" textlink="">
      <xdr:nvSpPr>
        <xdr:cNvPr id="245281" name="フリーフォーム: 図形 245280">
          <a:extLst>
            <a:ext uri="{FF2B5EF4-FFF2-40B4-BE49-F238E27FC236}">
              <a16:creationId xmlns:a16="http://schemas.microsoft.com/office/drawing/2014/main" id="{03B1FF7D-716F-488E-ADE7-9FC686889107}"/>
            </a:ext>
          </a:extLst>
        </xdr:cNvPr>
        <xdr:cNvSpPr>
          <a:spLocks noChangeAspect="1"/>
        </xdr:cNvSpPr>
      </xdr:nvSpPr>
      <xdr:spPr>
        <a:xfrm>
          <a:off x="167832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21</xdr:row>
      <xdr:rowOff>42450</xdr:rowOff>
    </xdr:from>
    <xdr:to>
      <xdr:col>28</xdr:col>
      <xdr:colOff>93601</xdr:colOff>
      <xdr:row>22</xdr:row>
      <xdr:rowOff>15001</xdr:rowOff>
    </xdr:to>
    <xdr:sp macro="" textlink="">
      <xdr:nvSpPr>
        <xdr:cNvPr id="245282" name="フリーフォーム: 図形 245281">
          <a:extLst>
            <a:ext uri="{FF2B5EF4-FFF2-40B4-BE49-F238E27FC236}">
              <a16:creationId xmlns:a16="http://schemas.microsoft.com/office/drawing/2014/main" id="{EFF80BC3-A155-4547-BA3C-EEFEE2598DED}"/>
            </a:ext>
          </a:extLst>
        </xdr:cNvPr>
        <xdr:cNvSpPr>
          <a:spLocks noChangeAspect="1"/>
        </xdr:cNvSpPr>
      </xdr:nvSpPr>
      <xdr:spPr>
        <a:xfrm>
          <a:off x="188280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21</xdr:row>
      <xdr:rowOff>42450</xdr:rowOff>
    </xdr:from>
    <xdr:to>
      <xdr:col>28</xdr:col>
      <xdr:colOff>633601</xdr:colOff>
      <xdr:row>22</xdr:row>
      <xdr:rowOff>15001</xdr:rowOff>
    </xdr:to>
    <xdr:sp macro="" textlink="">
      <xdr:nvSpPr>
        <xdr:cNvPr id="245283" name="フリーフォーム: 図形 245282">
          <a:extLst>
            <a:ext uri="{FF2B5EF4-FFF2-40B4-BE49-F238E27FC236}">
              <a16:creationId xmlns:a16="http://schemas.microsoft.com/office/drawing/2014/main" id="{CFB64145-DD8F-4A39-B2CD-C4021DA0BC8C}"/>
            </a:ext>
          </a:extLst>
        </xdr:cNvPr>
        <xdr:cNvSpPr>
          <a:spLocks noChangeAspect="1"/>
        </xdr:cNvSpPr>
      </xdr:nvSpPr>
      <xdr:spPr>
        <a:xfrm>
          <a:off x="193680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21</xdr:row>
      <xdr:rowOff>114450</xdr:rowOff>
    </xdr:from>
    <xdr:to>
      <xdr:col>29</xdr:col>
      <xdr:colOff>19801</xdr:colOff>
      <xdr:row>27</xdr:row>
      <xdr:rowOff>21751</xdr:rowOff>
    </xdr:to>
    <xdr:sp macro="" textlink="">
      <xdr:nvSpPr>
        <xdr:cNvPr id="245284" name="フリーフォーム: 図形 245283">
          <a:extLst>
            <a:ext uri="{FF2B5EF4-FFF2-40B4-BE49-F238E27FC236}">
              <a16:creationId xmlns:a16="http://schemas.microsoft.com/office/drawing/2014/main" id="{073BBD9A-7664-4C99-8ABB-897704C88509}"/>
            </a:ext>
          </a:extLst>
        </xdr:cNvPr>
        <xdr:cNvSpPr>
          <a:spLocks noChangeAspect="1"/>
        </xdr:cNvSpPr>
      </xdr:nvSpPr>
      <xdr:spPr>
        <a:xfrm>
          <a:off x="196199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27</xdr:row>
      <xdr:rowOff>75750</xdr:rowOff>
    </xdr:from>
    <xdr:to>
      <xdr:col>28</xdr:col>
      <xdr:colOff>525601</xdr:colOff>
      <xdr:row>32</xdr:row>
      <xdr:rowOff>136501</xdr:rowOff>
    </xdr:to>
    <xdr:sp macro="" textlink="">
      <xdr:nvSpPr>
        <xdr:cNvPr id="245285" name="フリーフォーム: 図形 245284">
          <a:extLst>
            <a:ext uri="{FF2B5EF4-FFF2-40B4-BE49-F238E27FC236}">
              <a16:creationId xmlns:a16="http://schemas.microsoft.com/office/drawing/2014/main" id="{A3E98D44-3724-483C-BDEA-447D01587990}"/>
            </a:ext>
          </a:extLst>
        </xdr:cNvPr>
        <xdr:cNvSpPr>
          <a:spLocks noChangeAspect="1"/>
        </xdr:cNvSpPr>
      </xdr:nvSpPr>
      <xdr:spPr>
        <a:xfrm>
          <a:off x="194399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32</xdr:row>
      <xdr:rowOff>64500</xdr:rowOff>
    </xdr:from>
    <xdr:to>
      <xdr:col>27</xdr:col>
      <xdr:colOff>455401</xdr:colOff>
      <xdr:row>33</xdr:row>
      <xdr:rowOff>37051</xdr:rowOff>
    </xdr:to>
    <xdr:sp macro="" textlink="">
      <xdr:nvSpPr>
        <xdr:cNvPr id="245286" name="フリーフォーム: 図形 245285">
          <a:extLst>
            <a:ext uri="{FF2B5EF4-FFF2-40B4-BE49-F238E27FC236}">
              <a16:creationId xmlns:a16="http://schemas.microsoft.com/office/drawing/2014/main" id="{6F185A3E-7B90-4B11-9921-0F95B8B17DFE}"/>
            </a:ext>
          </a:extLst>
        </xdr:cNvPr>
        <xdr:cNvSpPr>
          <a:spLocks noChangeAspect="1"/>
        </xdr:cNvSpPr>
      </xdr:nvSpPr>
      <xdr:spPr>
        <a:xfrm>
          <a:off x="184860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32</xdr:row>
      <xdr:rowOff>64500</xdr:rowOff>
    </xdr:from>
    <xdr:to>
      <xdr:col>28</xdr:col>
      <xdr:colOff>273601</xdr:colOff>
      <xdr:row>33</xdr:row>
      <xdr:rowOff>37051</xdr:rowOff>
    </xdr:to>
    <xdr:sp macro="" textlink="">
      <xdr:nvSpPr>
        <xdr:cNvPr id="245287" name="フリーフォーム: 図形 245286">
          <a:extLst>
            <a:ext uri="{FF2B5EF4-FFF2-40B4-BE49-F238E27FC236}">
              <a16:creationId xmlns:a16="http://schemas.microsoft.com/office/drawing/2014/main" id="{210A151D-6F5B-40C7-AF34-7181A4D8F1CB}"/>
            </a:ext>
          </a:extLst>
        </xdr:cNvPr>
        <xdr:cNvSpPr>
          <a:spLocks noChangeAspect="1"/>
        </xdr:cNvSpPr>
      </xdr:nvSpPr>
      <xdr:spPr>
        <a:xfrm>
          <a:off x="190079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27</xdr:row>
      <xdr:rowOff>75750</xdr:rowOff>
    </xdr:from>
    <xdr:to>
      <xdr:col>27</xdr:col>
      <xdr:colOff>203401</xdr:colOff>
      <xdr:row>32</xdr:row>
      <xdr:rowOff>136501</xdr:rowOff>
    </xdr:to>
    <xdr:sp macro="" textlink="">
      <xdr:nvSpPr>
        <xdr:cNvPr id="245288" name="フリーフォーム: 図形 245287">
          <a:extLst>
            <a:ext uri="{FF2B5EF4-FFF2-40B4-BE49-F238E27FC236}">
              <a16:creationId xmlns:a16="http://schemas.microsoft.com/office/drawing/2014/main" id="{1DDCA0F6-D8B2-49C7-85A8-75B600E8F6E3}"/>
            </a:ext>
          </a:extLst>
        </xdr:cNvPr>
        <xdr:cNvSpPr>
          <a:spLocks noChangeAspect="1"/>
        </xdr:cNvSpPr>
      </xdr:nvSpPr>
      <xdr:spPr>
        <a:xfrm>
          <a:off x="18432001" y="49716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21</xdr:row>
      <xdr:rowOff>114450</xdr:rowOff>
    </xdr:from>
    <xdr:to>
      <xdr:col>27</xdr:col>
      <xdr:colOff>347402</xdr:colOff>
      <xdr:row>27</xdr:row>
      <xdr:rowOff>21751</xdr:rowOff>
    </xdr:to>
    <xdr:sp macro="" textlink="">
      <xdr:nvSpPr>
        <xdr:cNvPr id="245289" name="フリーフォーム: 図形 245288">
          <a:extLst>
            <a:ext uri="{FF2B5EF4-FFF2-40B4-BE49-F238E27FC236}">
              <a16:creationId xmlns:a16="http://schemas.microsoft.com/office/drawing/2014/main" id="{C0C9B3B2-FF31-416C-AB54-010A8608A27B}"/>
            </a:ext>
          </a:extLst>
        </xdr:cNvPr>
        <xdr:cNvSpPr>
          <a:spLocks noChangeAspect="1"/>
        </xdr:cNvSpPr>
      </xdr:nvSpPr>
      <xdr:spPr>
        <a:xfrm>
          <a:off x="186120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26</xdr:row>
      <xdr:rowOff>139200</xdr:rowOff>
    </xdr:from>
    <xdr:to>
      <xdr:col>27</xdr:col>
      <xdr:colOff>617401</xdr:colOff>
      <xdr:row>27</xdr:row>
      <xdr:rowOff>111751</xdr:rowOff>
    </xdr:to>
    <xdr:sp macro="" textlink="">
      <xdr:nvSpPr>
        <xdr:cNvPr id="245290" name="フリーフォーム: 図形 245289">
          <a:extLst>
            <a:ext uri="{FF2B5EF4-FFF2-40B4-BE49-F238E27FC236}">
              <a16:creationId xmlns:a16="http://schemas.microsoft.com/office/drawing/2014/main" id="{AA1869E4-B2F3-4D9C-9CE2-21C372B8D2D7}"/>
            </a:ext>
          </a:extLst>
        </xdr:cNvPr>
        <xdr:cNvSpPr>
          <a:spLocks noChangeAspect="1"/>
        </xdr:cNvSpPr>
      </xdr:nvSpPr>
      <xdr:spPr>
        <a:xfrm>
          <a:off x="186840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26</xdr:row>
      <xdr:rowOff>139200</xdr:rowOff>
    </xdr:from>
    <xdr:to>
      <xdr:col>28</xdr:col>
      <xdr:colOff>435601</xdr:colOff>
      <xdr:row>27</xdr:row>
      <xdr:rowOff>111751</xdr:rowOff>
    </xdr:to>
    <xdr:sp macro="" textlink="">
      <xdr:nvSpPr>
        <xdr:cNvPr id="245291" name="フリーフォーム: 図形 245290">
          <a:extLst>
            <a:ext uri="{FF2B5EF4-FFF2-40B4-BE49-F238E27FC236}">
              <a16:creationId xmlns:a16="http://schemas.microsoft.com/office/drawing/2014/main" id="{38EB6EA1-807A-4E0B-A05C-99595B860668}"/>
            </a:ext>
          </a:extLst>
        </xdr:cNvPr>
        <xdr:cNvSpPr>
          <a:spLocks noChangeAspect="1"/>
        </xdr:cNvSpPr>
      </xdr:nvSpPr>
      <xdr:spPr>
        <a:xfrm>
          <a:off x="191879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22</xdr:row>
      <xdr:rowOff>51000</xdr:rowOff>
    </xdr:from>
    <xdr:to>
      <xdr:col>27</xdr:col>
      <xdr:colOff>635401</xdr:colOff>
      <xdr:row>27</xdr:row>
      <xdr:rowOff>3751</xdr:rowOff>
    </xdr:to>
    <xdr:sp macro="" textlink="">
      <xdr:nvSpPr>
        <xdr:cNvPr id="245292" name="フリーフォーム: 図形 245291">
          <a:extLst>
            <a:ext uri="{FF2B5EF4-FFF2-40B4-BE49-F238E27FC236}">
              <a16:creationId xmlns:a16="http://schemas.microsoft.com/office/drawing/2014/main" id="{16167A3D-5580-42C7-9861-74469277475E}"/>
            </a:ext>
          </a:extLst>
        </xdr:cNvPr>
        <xdr:cNvSpPr>
          <a:spLocks noChangeAspect="1"/>
        </xdr:cNvSpPr>
      </xdr:nvSpPr>
      <xdr:spPr>
        <a:xfrm>
          <a:off x="188819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21</xdr:row>
      <xdr:rowOff>114450</xdr:rowOff>
    </xdr:from>
    <xdr:to>
      <xdr:col>28</xdr:col>
      <xdr:colOff>201601</xdr:colOff>
      <xdr:row>26</xdr:row>
      <xdr:rowOff>157201</xdr:rowOff>
    </xdr:to>
    <xdr:sp macro="" textlink="">
      <xdr:nvSpPr>
        <xdr:cNvPr id="245293" name="フリーフォーム: 図形 245292">
          <a:extLst>
            <a:ext uri="{FF2B5EF4-FFF2-40B4-BE49-F238E27FC236}">
              <a16:creationId xmlns:a16="http://schemas.microsoft.com/office/drawing/2014/main" id="{B594C4F5-A536-4383-96A0-89769830C2D7}"/>
            </a:ext>
          </a:extLst>
        </xdr:cNvPr>
        <xdr:cNvSpPr>
          <a:spLocks noChangeAspect="1"/>
        </xdr:cNvSpPr>
      </xdr:nvSpPr>
      <xdr:spPr>
        <a:xfrm>
          <a:off x="191520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22</xdr:row>
      <xdr:rowOff>69000</xdr:rowOff>
    </xdr:from>
    <xdr:to>
      <xdr:col>28</xdr:col>
      <xdr:colOff>525601</xdr:colOff>
      <xdr:row>27</xdr:row>
      <xdr:rowOff>3751</xdr:rowOff>
    </xdr:to>
    <xdr:sp macro="" textlink="">
      <xdr:nvSpPr>
        <xdr:cNvPr id="245294" name="フリーフォーム: 図形 245293">
          <a:extLst>
            <a:ext uri="{FF2B5EF4-FFF2-40B4-BE49-F238E27FC236}">
              <a16:creationId xmlns:a16="http://schemas.microsoft.com/office/drawing/2014/main" id="{3935EA6C-32EB-4679-979F-5219CE39F54B}"/>
            </a:ext>
          </a:extLst>
        </xdr:cNvPr>
        <xdr:cNvSpPr>
          <a:spLocks noChangeAspect="1"/>
        </xdr:cNvSpPr>
      </xdr:nvSpPr>
      <xdr:spPr>
        <a:xfrm>
          <a:off x="192060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27</xdr:row>
      <xdr:rowOff>75750</xdr:rowOff>
    </xdr:from>
    <xdr:to>
      <xdr:col>28</xdr:col>
      <xdr:colOff>237600</xdr:colOff>
      <xdr:row>31</xdr:row>
      <xdr:rowOff>163951</xdr:rowOff>
    </xdr:to>
    <xdr:sp macro="" textlink="">
      <xdr:nvSpPr>
        <xdr:cNvPr id="245295" name="フリーフォーム: 図形 245294">
          <a:extLst>
            <a:ext uri="{FF2B5EF4-FFF2-40B4-BE49-F238E27FC236}">
              <a16:creationId xmlns:a16="http://schemas.microsoft.com/office/drawing/2014/main" id="{F0F69238-C136-4A5F-9CE5-10EBD5514CD6}"/>
            </a:ext>
          </a:extLst>
        </xdr:cNvPr>
        <xdr:cNvSpPr>
          <a:spLocks noChangeAspect="1"/>
        </xdr:cNvSpPr>
      </xdr:nvSpPr>
      <xdr:spPr>
        <a:xfrm>
          <a:off x="191700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27</xdr:row>
      <xdr:rowOff>93750</xdr:rowOff>
    </xdr:from>
    <xdr:to>
      <xdr:col>27</xdr:col>
      <xdr:colOff>653401</xdr:colOff>
      <xdr:row>32</xdr:row>
      <xdr:rowOff>118501</xdr:rowOff>
    </xdr:to>
    <xdr:sp macro="" textlink="">
      <xdr:nvSpPr>
        <xdr:cNvPr id="245296" name="フリーフォーム: 図形 245295">
          <a:extLst>
            <a:ext uri="{FF2B5EF4-FFF2-40B4-BE49-F238E27FC236}">
              <a16:creationId xmlns:a16="http://schemas.microsoft.com/office/drawing/2014/main" id="{D47B05D4-3C81-4880-88A4-4EF04DEA5B6E}"/>
            </a:ext>
          </a:extLst>
        </xdr:cNvPr>
        <xdr:cNvSpPr>
          <a:spLocks noChangeAspect="1"/>
        </xdr:cNvSpPr>
      </xdr:nvSpPr>
      <xdr:spPr>
        <a:xfrm>
          <a:off x="189360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27</xdr:row>
      <xdr:rowOff>75750</xdr:rowOff>
    </xdr:from>
    <xdr:to>
      <xdr:col>27</xdr:col>
      <xdr:colOff>617401</xdr:colOff>
      <xdr:row>32</xdr:row>
      <xdr:rowOff>10501</xdr:rowOff>
    </xdr:to>
    <xdr:sp macro="" textlink="">
      <xdr:nvSpPr>
        <xdr:cNvPr id="245297" name="フリーフォーム: 図形 245296">
          <a:extLst>
            <a:ext uri="{FF2B5EF4-FFF2-40B4-BE49-F238E27FC236}">
              <a16:creationId xmlns:a16="http://schemas.microsoft.com/office/drawing/2014/main" id="{17AC8C2B-86A0-4A70-BC9B-AFAEFB5159DB}"/>
            </a:ext>
          </a:extLst>
        </xdr:cNvPr>
        <xdr:cNvSpPr>
          <a:spLocks noChangeAspect="1"/>
        </xdr:cNvSpPr>
      </xdr:nvSpPr>
      <xdr:spPr>
        <a:xfrm>
          <a:off x="186120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21</xdr:row>
      <xdr:rowOff>42450</xdr:rowOff>
    </xdr:from>
    <xdr:to>
      <xdr:col>30</xdr:col>
      <xdr:colOff>550801</xdr:colOff>
      <xdr:row>22</xdr:row>
      <xdr:rowOff>15001</xdr:rowOff>
    </xdr:to>
    <xdr:sp macro="" textlink="">
      <xdr:nvSpPr>
        <xdr:cNvPr id="245298" name="フリーフォーム: 図形 245297">
          <a:extLst>
            <a:ext uri="{FF2B5EF4-FFF2-40B4-BE49-F238E27FC236}">
              <a16:creationId xmlns:a16="http://schemas.microsoft.com/office/drawing/2014/main" id="{FF77F2BC-012B-4771-967C-974B2B3E3C7C}"/>
            </a:ext>
          </a:extLst>
        </xdr:cNvPr>
        <xdr:cNvSpPr>
          <a:spLocks noChangeAspect="1"/>
        </xdr:cNvSpPr>
      </xdr:nvSpPr>
      <xdr:spPr>
        <a:xfrm>
          <a:off x="206568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21</xdr:row>
      <xdr:rowOff>42450</xdr:rowOff>
    </xdr:from>
    <xdr:to>
      <xdr:col>31</xdr:col>
      <xdr:colOff>405001</xdr:colOff>
      <xdr:row>22</xdr:row>
      <xdr:rowOff>15001</xdr:rowOff>
    </xdr:to>
    <xdr:sp macro="" textlink="">
      <xdr:nvSpPr>
        <xdr:cNvPr id="245299" name="フリーフォーム: 図形 245298">
          <a:extLst>
            <a:ext uri="{FF2B5EF4-FFF2-40B4-BE49-F238E27FC236}">
              <a16:creationId xmlns:a16="http://schemas.microsoft.com/office/drawing/2014/main" id="{FED026E7-B36F-4B1E-A45D-ADBD04F144C8}"/>
            </a:ext>
          </a:extLst>
        </xdr:cNvPr>
        <xdr:cNvSpPr>
          <a:spLocks noChangeAspect="1"/>
        </xdr:cNvSpPr>
      </xdr:nvSpPr>
      <xdr:spPr>
        <a:xfrm>
          <a:off x="211968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21</xdr:row>
      <xdr:rowOff>114450</xdr:rowOff>
    </xdr:from>
    <xdr:to>
      <xdr:col>31</xdr:col>
      <xdr:colOff>477001</xdr:colOff>
      <xdr:row>27</xdr:row>
      <xdr:rowOff>21751</xdr:rowOff>
    </xdr:to>
    <xdr:sp macro="" textlink="">
      <xdr:nvSpPr>
        <xdr:cNvPr id="245300" name="フリーフォーム: 図形 245299">
          <a:extLst>
            <a:ext uri="{FF2B5EF4-FFF2-40B4-BE49-F238E27FC236}">
              <a16:creationId xmlns:a16="http://schemas.microsoft.com/office/drawing/2014/main" id="{6D9BAD2A-67AB-40E0-898F-3F3F8BE16838}"/>
            </a:ext>
          </a:extLst>
        </xdr:cNvPr>
        <xdr:cNvSpPr>
          <a:spLocks noChangeAspect="1"/>
        </xdr:cNvSpPr>
      </xdr:nvSpPr>
      <xdr:spPr>
        <a:xfrm>
          <a:off x="214487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27</xdr:row>
      <xdr:rowOff>75750</xdr:rowOff>
    </xdr:from>
    <xdr:to>
      <xdr:col>31</xdr:col>
      <xdr:colOff>297001</xdr:colOff>
      <xdr:row>32</xdr:row>
      <xdr:rowOff>136501</xdr:rowOff>
    </xdr:to>
    <xdr:sp macro="" textlink="">
      <xdr:nvSpPr>
        <xdr:cNvPr id="245301" name="フリーフォーム: 図形 245300">
          <a:extLst>
            <a:ext uri="{FF2B5EF4-FFF2-40B4-BE49-F238E27FC236}">
              <a16:creationId xmlns:a16="http://schemas.microsoft.com/office/drawing/2014/main" id="{13BFA53F-A1D1-4635-B0A7-8473488E0611}"/>
            </a:ext>
          </a:extLst>
        </xdr:cNvPr>
        <xdr:cNvSpPr>
          <a:spLocks noChangeAspect="1"/>
        </xdr:cNvSpPr>
      </xdr:nvSpPr>
      <xdr:spPr>
        <a:xfrm>
          <a:off x="212687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32</xdr:row>
      <xdr:rowOff>64500</xdr:rowOff>
    </xdr:from>
    <xdr:to>
      <xdr:col>30</xdr:col>
      <xdr:colOff>226801</xdr:colOff>
      <xdr:row>33</xdr:row>
      <xdr:rowOff>37051</xdr:rowOff>
    </xdr:to>
    <xdr:sp macro="" textlink="">
      <xdr:nvSpPr>
        <xdr:cNvPr id="245302" name="フリーフォーム: 図形 245301">
          <a:extLst>
            <a:ext uri="{FF2B5EF4-FFF2-40B4-BE49-F238E27FC236}">
              <a16:creationId xmlns:a16="http://schemas.microsoft.com/office/drawing/2014/main" id="{3B4EC334-EA94-4643-92FB-38E28EC25F8D}"/>
            </a:ext>
          </a:extLst>
        </xdr:cNvPr>
        <xdr:cNvSpPr>
          <a:spLocks noChangeAspect="1"/>
        </xdr:cNvSpPr>
      </xdr:nvSpPr>
      <xdr:spPr>
        <a:xfrm>
          <a:off x="203148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32</xdr:row>
      <xdr:rowOff>64500</xdr:rowOff>
    </xdr:from>
    <xdr:to>
      <xdr:col>31</xdr:col>
      <xdr:colOff>45001</xdr:colOff>
      <xdr:row>33</xdr:row>
      <xdr:rowOff>37051</xdr:rowOff>
    </xdr:to>
    <xdr:sp macro="" textlink="">
      <xdr:nvSpPr>
        <xdr:cNvPr id="245303" name="フリーフォーム: 図形 245302">
          <a:extLst>
            <a:ext uri="{FF2B5EF4-FFF2-40B4-BE49-F238E27FC236}">
              <a16:creationId xmlns:a16="http://schemas.microsoft.com/office/drawing/2014/main" id="{8918D735-F40F-4898-A4FE-4837F883D903}"/>
            </a:ext>
          </a:extLst>
        </xdr:cNvPr>
        <xdr:cNvSpPr>
          <a:spLocks noChangeAspect="1"/>
        </xdr:cNvSpPr>
      </xdr:nvSpPr>
      <xdr:spPr>
        <a:xfrm>
          <a:off x="208367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27</xdr:row>
      <xdr:rowOff>75750</xdr:rowOff>
    </xdr:from>
    <xdr:to>
      <xdr:col>29</xdr:col>
      <xdr:colOff>660601</xdr:colOff>
      <xdr:row>32</xdr:row>
      <xdr:rowOff>136501</xdr:rowOff>
    </xdr:to>
    <xdr:sp macro="" textlink="">
      <xdr:nvSpPr>
        <xdr:cNvPr id="245304" name="フリーフォーム: 図形 245303">
          <a:extLst>
            <a:ext uri="{FF2B5EF4-FFF2-40B4-BE49-F238E27FC236}">
              <a16:creationId xmlns:a16="http://schemas.microsoft.com/office/drawing/2014/main" id="{38A4AAC3-0E50-4F07-A950-34425D5F079F}"/>
            </a:ext>
          </a:extLst>
        </xdr:cNvPr>
        <xdr:cNvSpPr>
          <a:spLocks noChangeAspect="1"/>
        </xdr:cNvSpPr>
      </xdr:nvSpPr>
      <xdr:spPr>
        <a:xfrm>
          <a:off x="20260801" y="49716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21</xdr:row>
      <xdr:rowOff>114450</xdr:rowOff>
    </xdr:from>
    <xdr:to>
      <xdr:col>30</xdr:col>
      <xdr:colOff>118802</xdr:colOff>
      <xdr:row>27</xdr:row>
      <xdr:rowOff>21751</xdr:rowOff>
    </xdr:to>
    <xdr:sp macro="" textlink="">
      <xdr:nvSpPr>
        <xdr:cNvPr id="245305" name="フリーフォーム: 図形 245304">
          <a:extLst>
            <a:ext uri="{FF2B5EF4-FFF2-40B4-BE49-F238E27FC236}">
              <a16:creationId xmlns:a16="http://schemas.microsoft.com/office/drawing/2014/main" id="{A2C0A8FB-81F1-40D4-B9FC-28C2A86BDD62}"/>
            </a:ext>
          </a:extLst>
        </xdr:cNvPr>
        <xdr:cNvSpPr>
          <a:spLocks noChangeAspect="1"/>
        </xdr:cNvSpPr>
      </xdr:nvSpPr>
      <xdr:spPr>
        <a:xfrm>
          <a:off x="204408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26</xdr:row>
      <xdr:rowOff>139200</xdr:rowOff>
    </xdr:from>
    <xdr:to>
      <xdr:col>30</xdr:col>
      <xdr:colOff>388801</xdr:colOff>
      <xdr:row>27</xdr:row>
      <xdr:rowOff>111751</xdr:rowOff>
    </xdr:to>
    <xdr:sp macro="" textlink="">
      <xdr:nvSpPr>
        <xdr:cNvPr id="245306" name="フリーフォーム: 図形 245305">
          <a:extLst>
            <a:ext uri="{FF2B5EF4-FFF2-40B4-BE49-F238E27FC236}">
              <a16:creationId xmlns:a16="http://schemas.microsoft.com/office/drawing/2014/main" id="{863D0AE6-0D3C-41E4-82EB-9726C7767BA0}"/>
            </a:ext>
          </a:extLst>
        </xdr:cNvPr>
        <xdr:cNvSpPr>
          <a:spLocks noChangeAspect="1"/>
        </xdr:cNvSpPr>
      </xdr:nvSpPr>
      <xdr:spPr>
        <a:xfrm>
          <a:off x="205128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26</xdr:row>
      <xdr:rowOff>139200</xdr:rowOff>
    </xdr:from>
    <xdr:to>
      <xdr:col>31</xdr:col>
      <xdr:colOff>207001</xdr:colOff>
      <xdr:row>27</xdr:row>
      <xdr:rowOff>111751</xdr:rowOff>
    </xdr:to>
    <xdr:sp macro="" textlink="">
      <xdr:nvSpPr>
        <xdr:cNvPr id="245307" name="フリーフォーム: 図形 245306">
          <a:extLst>
            <a:ext uri="{FF2B5EF4-FFF2-40B4-BE49-F238E27FC236}">
              <a16:creationId xmlns:a16="http://schemas.microsoft.com/office/drawing/2014/main" id="{FC3A7ABB-CA91-4DEE-9B6D-8509D6B11581}"/>
            </a:ext>
          </a:extLst>
        </xdr:cNvPr>
        <xdr:cNvSpPr>
          <a:spLocks noChangeAspect="1"/>
        </xdr:cNvSpPr>
      </xdr:nvSpPr>
      <xdr:spPr>
        <a:xfrm>
          <a:off x="210167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22</xdr:row>
      <xdr:rowOff>51000</xdr:rowOff>
    </xdr:from>
    <xdr:to>
      <xdr:col>30</xdr:col>
      <xdr:colOff>406801</xdr:colOff>
      <xdr:row>27</xdr:row>
      <xdr:rowOff>3751</xdr:rowOff>
    </xdr:to>
    <xdr:sp macro="" textlink="">
      <xdr:nvSpPr>
        <xdr:cNvPr id="245308" name="フリーフォーム: 図形 245307">
          <a:extLst>
            <a:ext uri="{FF2B5EF4-FFF2-40B4-BE49-F238E27FC236}">
              <a16:creationId xmlns:a16="http://schemas.microsoft.com/office/drawing/2014/main" id="{AF12137F-504E-4854-8AA4-8B5EB65CA70B}"/>
            </a:ext>
          </a:extLst>
        </xdr:cNvPr>
        <xdr:cNvSpPr>
          <a:spLocks noChangeAspect="1"/>
        </xdr:cNvSpPr>
      </xdr:nvSpPr>
      <xdr:spPr>
        <a:xfrm>
          <a:off x="207107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21</xdr:row>
      <xdr:rowOff>114450</xdr:rowOff>
    </xdr:from>
    <xdr:to>
      <xdr:col>30</xdr:col>
      <xdr:colOff>658801</xdr:colOff>
      <xdr:row>26</xdr:row>
      <xdr:rowOff>157201</xdr:rowOff>
    </xdr:to>
    <xdr:sp macro="" textlink="">
      <xdr:nvSpPr>
        <xdr:cNvPr id="245309" name="フリーフォーム: 図形 245308">
          <a:extLst>
            <a:ext uri="{FF2B5EF4-FFF2-40B4-BE49-F238E27FC236}">
              <a16:creationId xmlns:a16="http://schemas.microsoft.com/office/drawing/2014/main" id="{B7433689-1F7F-447A-A630-0609A64953EB}"/>
            </a:ext>
          </a:extLst>
        </xdr:cNvPr>
        <xdr:cNvSpPr>
          <a:spLocks noChangeAspect="1"/>
        </xdr:cNvSpPr>
      </xdr:nvSpPr>
      <xdr:spPr>
        <a:xfrm>
          <a:off x="209808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22</xdr:row>
      <xdr:rowOff>69000</xdr:rowOff>
    </xdr:from>
    <xdr:to>
      <xdr:col>31</xdr:col>
      <xdr:colOff>297001</xdr:colOff>
      <xdr:row>27</xdr:row>
      <xdr:rowOff>3751</xdr:rowOff>
    </xdr:to>
    <xdr:sp macro="" textlink="">
      <xdr:nvSpPr>
        <xdr:cNvPr id="245310" name="フリーフォーム: 図形 245309">
          <a:extLst>
            <a:ext uri="{FF2B5EF4-FFF2-40B4-BE49-F238E27FC236}">
              <a16:creationId xmlns:a16="http://schemas.microsoft.com/office/drawing/2014/main" id="{3EA493E2-8AE1-4CDD-A0A9-5B402DD61AC2}"/>
            </a:ext>
          </a:extLst>
        </xdr:cNvPr>
        <xdr:cNvSpPr>
          <a:spLocks noChangeAspect="1"/>
        </xdr:cNvSpPr>
      </xdr:nvSpPr>
      <xdr:spPr>
        <a:xfrm>
          <a:off x="210348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27</xdr:row>
      <xdr:rowOff>75750</xdr:rowOff>
    </xdr:from>
    <xdr:to>
      <xdr:col>31</xdr:col>
      <xdr:colOff>9000</xdr:colOff>
      <xdr:row>31</xdr:row>
      <xdr:rowOff>163951</xdr:rowOff>
    </xdr:to>
    <xdr:sp macro="" textlink="">
      <xdr:nvSpPr>
        <xdr:cNvPr id="245311" name="フリーフォーム: 図形 245310">
          <a:extLst>
            <a:ext uri="{FF2B5EF4-FFF2-40B4-BE49-F238E27FC236}">
              <a16:creationId xmlns:a16="http://schemas.microsoft.com/office/drawing/2014/main" id="{F1562FAC-C37E-44ED-BDF3-9C4475DFC1A5}"/>
            </a:ext>
          </a:extLst>
        </xdr:cNvPr>
        <xdr:cNvSpPr>
          <a:spLocks noChangeAspect="1"/>
        </xdr:cNvSpPr>
      </xdr:nvSpPr>
      <xdr:spPr>
        <a:xfrm>
          <a:off x="209988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27</xdr:row>
      <xdr:rowOff>93750</xdr:rowOff>
    </xdr:from>
    <xdr:to>
      <xdr:col>30</xdr:col>
      <xdr:colOff>424801</xdr:colOff>
      <xdr:row>32</xdr:row>
      <xdr:rowOff>118501</xdr:rowOff>
    </xdr:to>
    <xdr:sp macro="" textlink="">
      <xdr:nvSpPr>
        <xdr:cNvPr id="245312" name="フリーフォーム: 図形 245311">
          <a:extLst>
            <a:ext uri="{FF2B5EF4-FFF2-40B4-BE49-F238E27FC236}">
              <a16:creationId xmlns:a16="http://schemas.microsoft.com/office/drawing/2014/main" id="{E3DA2797-4D16-4AD4-BEB1-C482A0B9C5D1}"/>
            </a:ext>
          </a:extLst>
        </xdr:cNvPr>
        <xdr:cNvSpPr>
          <a:spLocks noChangeAspect="1"/>
        </xdr:cNvSpPr>
      </xdr:nvSpPr>
      <xdr:spPr>
        <a:xfrm>
          <a:off x="207648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27</xdr:row>
      <xdr:rowOff>75750</xdr:rowOff>
    </xdr:from>
    <xdr:to>
      <xdr:col>30</xdr:col>
      <xdr:colOff>388801</xdr:colOff>
      <xdr:row>32</xdr:row>
      <xdr:rowOff>10501</xdr:rowOff>
    </xdr:to>
    <xdr:sp macro="" textlink="">
      <xdr:nvSpPr>
        <xdr:cNvPr id="245313" name="フリーフォーム: 図形 245312">
          <a:extLst>
            <a:ext uri="{FF2B5EF4-FFF2-40B4-BE49-F238E27FC236}">
              <a16:creationId xmlns:a16="http://schemas.microsoft.com/office/drawing/2014/main" id="{765963D5-BFF2-4E86-9BFF-253D17BFF9B3}"/>
            </a:ext>
          </a:extLst>
        </xdr:cNvPr>
        <xdr:cNvSpPr>
          <a:spLocks noChangeAspect="1"/>
        </xdr:cNvSpPr>
      </xdr:nvSpPr>
      <xdr:spPr>
        <a:xfrm>
          <a:off x="204408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21</xdr:row>
      <xdr:rowOff>42450</xdr:rowOff>
    </xdr:from>
    <xdr:to>
      <xdr:col>33</xdr:col>
      <xdr:colOff>322201</xdr:colOff>
      <xdr:row>22</xdr:row>
      <xdr:rowOff>15001</xdr:rowOff>
    </xdr:to>
    <xdr:sp macro="" textlink="">
      <xdr:nvSpPr>
        <xdr:cNvPr id="245314" name="フリーフォーム: 図形 245313">
          <a:extLst>
            <a:ext uri="{FF2B5EF4-FFF2-40B4-BE49-F238E27FC236}">
              <a16:creationId xmlns:a16="http://schemas.microsoft.com/office/drawing/2014/main" id="{7C1DC227-78C7-41A9-BB7A-E0A0E6694D18}"/>
            </a:ext>
          </a:extLst>
        </xdr:cNvPr>
        <xdr:cNvSpPr>
          <a:spLocks noChangeAspect="1"/>
        </xdr:cNvSpPr>
      </xdr:nvSpPr>
      <xdr:spPr>
        <a:xfrm>
          <a:off x="224856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21</xdr:row>
      <xdr:rowOff>42450</xdr:rowOff>
    </xdr:from>
    <xdr:to>
      <xdr:col>34</xdr:col>
      <xdr:colOff>176401</xdr:colOff>
      <xdr:row>22</xdr:row>
      <xdr:rowOff>15001</xdr:rowOff>
    </xdr:to>
    <xdr:sp macro="" textlink="">
      <xdr:nvSpPr>
        <xdr:cNvPr id="245315" name="フリーフォーム: 図形 245314">
          <a:extLst>
            <a:ext uri="{FF2B5EF4-FFF2-40B4-BE49-F238E27FC236}">
              <a16:creationId xmlns:a16="http://schemas.microsoft.com/office/drawing/2014/main" id="{9FBDFE62-01FC-4E92-8551-DFB39B668714}"/>
            </a:ext>
          </a:extLst>
        </xdr:cNvPr>
        <xdr:cNvSpPr>
          <a:spLocks noChangeAspect="1"/>
        </xdr:cNvSpPr>
      </xdr:nvSpPr>
      <xdr:spPr>
        <a:xfrm>
          <a:off x="230256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21</xdr:row>
      <xdr:rowOff>114450</xdr:rowOff>
    </xdr:from>
    <xdr:to>
      <xdr:col>34</xdr:col>
      <xdr:colOff>248401</xdr:colOff>
      <xdr:row>27</xdr:row>
      <xdr:rowOff>21751</xdr:rowOff>
    </xdr:to>
    <xdr:sp macro="" textlink="">
      <xdr:nvSpPr>
        <xdr:cNvPr id="245316" name="フリーフォーム: 図形 245315">
          <a:extLst>
            <a:ext uri="{FF2B5EF4-FFF2-40B4-BE49-F238E27FC236}">
              <a16:creationId xmlns:a16="http://schemas.microsoft.com/office/drawing/2014/main" id="{50552F64-DB16-4381-A409-C5DD9F3DF7F2}"/>
            </a:ext>
          </a:extLst>
        </xdr:cNvPr>
        <xdr:cNvSpPr>
          <a:spLocks noChangeAspect="1"/>
        </xdr:cNvSpPr>
      </xdr:nvSpPr>
      <xdr:spPr>
        <a:xfrm>
          <a:off x="232775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27</xdr:row>
      <xdr:rowOff>75750</xdr:rowOff>
    </xdr:from>
    <xdr:to>
      <xdr:col>34</xdr:col>
      <xdr:colOff>68401</xdr:colOff>
      <xdr:row>32</xdr:row>
      <xdr:rowOff>136501</xdr:rowOff>
    </xdr:to>
    <xdr:sp macro="" textlink="">
      <xdr:nvSpPr>
        <xdr:cNvPr id="245317" name="フリーフォーム: 図形 245316">
          <a:extLst>
            <a:ext uri="{FF2B5EF4-FFF2-40B4-BE49-F238E27FC236}">
              <a16:creationId xmlns:a16="http://schemas.microsoft.com/office/drawing/2014/main" id="{3D1FB542-B1A7-4A7A-8650-CCC019D46363}"/>
            </a:ext>
          </a:extLst>
        </xdr:cNvPr>
        <xdr:cNvSpPr>
          <a:spLocks noChangeAspect="1"/>
        </xdr:cNvSpPr>
      </xdr:nvSpPr>
      <xdr:spPr>
        <a:xfrm>
          <a:off x="230975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32</xdr:row>
      <xdr:rowOff>64500</xdr:rowOff>
    </xdr:from>
    <xdr:to>
      <xdr:col>32</xdr:col>
      <xdr:colOff>684001</xdr:colOff>
      <xdr:row>33</xdr:row>
      <xdr:rowOff>37051</xdr:rowOff>
    </xdr:to>
    <xdr:sp macro="" textlink="">
      <xdr:nvSpPr>
        <xdr:cNvPr id="245318" name="フリーフォーム: 図形 245317">
          <a:extLst>
            <a:ext uri="{FF2B5EF4-FFF2-40B4-BE49-F238E27FC236}">
              <a16:creationId xmlns:a16="http://schemas.microsoft.com/office/drawing/2014/main" id="{15E94905-D773-4C05-8D62-2DE4034BC391}"/>
            </a:ext>
          </a:extLst>
        </xdr:cNvPr>
        <xdr:cNvSpPr>
          <a:spLocks noChangeAspect="1"/>
        </xdr:cNvSpPr>
      </xdr:nvSpPr>
      <xdr:spPr>
        <a:xfrm>
          <a:off x="221436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32</xdr:row>
      <xdr:rowOff>64500</xdr:rowOff>
    </xdr:from>
    <xdr:to>
      <xdr:col>33</xdr:col>
      <xdr:colOff>502201</xdr:colOff>
      <xdr:row>33</xdr:row>
      <xdr:rowOff>37051</xdr:rowOff>
    </xdr:to>
    <xdr:sp macro="" textlink="">
      <xdr:nvSpPr>
        <xdr:cNvPr id="245319" name="フリーフォーム: 図形 245318">
          <a:extLst>
            <a:ext uri="{FF2B5EF4-FFF2-40B4-BE49-F238E27FC236}">
              <a16:creationId xmlns:a16="http://schemas.microsoft.com/office/drawing/2014/main" id="{37E0FAD2-F10B-472D-8E90-586B8514597C}"/>
            </a:ext>
          </a:extLst>
        </xdr:cNvPr>
        <xdr:cNvSpPr>
          <a:spLocks noChangeAspect="1"/>
        </xdr:cNvSpPr>
      </xdr:nvSpPr>
      <xdr:spPr>
        <a:xfrm>
          <a:off x="226655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27</xdr:row>
      <xdr:rowOff>75750</xdr:rowOff>
    </xdr:from>
    <xdr:to>
      <xdr:col>32</xdr:col>
      <xdr:colOff>432001</xdr:colOff>
      <xdr:row>32</xdr:row>
      <xdr:rowOff>136501</xdr:rowOff>
    </xdr:to>
    <xdr:sp macro="" textlink="">
      <xdr:nvSpPr>
        <xdr:cNvPr id="245320" name="フリーフォーム: 図形 245319">
          <a:extLst>
            <a:ext uri="{FF2B5EF4-FFF2-40B4-BE49-F238E27FC236}">
              <a16:creationId xmlns:a16="http://schemas.microsoft.com/office/drawing/2014/main" id="{A47CED69-D16A-4713-B73C-5F87E09577AB}"/>
            </a:ext>
          </a:extLst>
        </xdr:cNvPr>
        <xdr:cNvSpPr>
          <a:spLocks noChangeAspect="1"/>
        </xdr:cNvSpPr>
      </xdr:nvSpPr>
      <xdr:spPr>
        <a:xfrm>
          <a:off x="22089601" y="49716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21</xdr:row>
      <xdr:rowOff>114450</xdr:rowOff>
    </xdr:from>
    <xdr:to>
      <xdr:col>32</xdr:col>
      <xdr:colOff>576002</xdr:colOff>
      <xdr:row>27</xdr:row>
      <xdr:rowOff>21751</xdr:rowOff>
    </xdr:to>
    <xdr:sp macro="" textlink="">
      <xdr:nvSpPr>
        <xdr:cNvPr id="245321" name="フリーフォーム: 図形 245320">
          <a:extLst>
            <a:ext uri="{FF2B5EF4-FFF2-40B4-BE49-F238E27FC236}">
              <a16:creationId xmlns:a16="http://schemas.microsoft.com/office/drawing/2014/main" id="{EC9435E1-76C3-4D85-9C76-BD9E68E08736}"/>
            </a:ext>
          </a:extLst>
        </xdr:cNvPr>
        <xdr:cNvSpPr>
          <a:spLocks noChangeAspect="1"/>
        </xdr:cNvSpPr>
      </xdr:nvSpPr>
      <xdr:spPr>
        <a:xfrm>
          <a:off x="222696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26</xdr:row>
      <xdr:rowOff>139200</xdr:rowOff>
    </xdr:from>
    <xdr:to>
      <xdr:col>33</xdr:col>
      <xdr:colOff>160201</xdr:colOff>
      <xdr:row>27</xdr:row>
      <xdr:rowOff>111751</xdr:rowOff>
    </xdr:to>
    <xdr:sp macro="" textlink="">
      <xdr:nvSpPr>
        <xdr:cNvPr id="245322" name="フリーフォーム: 図形 245321">
          <a:extLst>
            <a:ext uri="{FF2B5EF4-FFF2-40B4-BE49-F238E27FC236}">
              <a16:creationId xmlns:a16="http://schemas.microsoft.com/office/drawing/2014/main" id="{256EB565-8268-4828-9047-6F576273A143}"/>
            </a:ext>
          </a:extLst>
        </xdr:cNvPr>
        <xdr:cNvSpPr>
          <a:spLocks noChangeAspect="1"/>
        </xdr:cNvSpPr>
      </xdr:nvSpPr>
      <xdr:spPr>
        <a:xfrm>
          <a:off x="223416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26</xdr:row>
      <xdr:rowOff>139200</xdr:rowOff>
    </xdr:from>
    <xdr:to>
      <xdr:col>33</xdr:col>
      <xdr:colOff>664201</xdr:colOff>
      <xdr:row>27</xdr:row>
      <xdr:rowOff>111751</xdr:rowOff>
    </xdr:to>
    <xdr:sp macro="" textlink="">
      <xdr:nvSpPr>
        <xdr:cNvPr id="245323" name="フリーフォーム: 図形 245322">
          <a:extLst>
            <a:ext uri="{FF2B5EF4-FFF2-40B4-BE49-F238E27FC236}">
              <a16:creationId xmlns:a16="http://schemas.microsoft.com/office/drawing/2014/main" id="{5283E5AB-B779-43CB-83D1-5A4B95EEFE0B}"/>
            </a:ext>
          </a:extLst>
        </xdr:cNvPr>
        <xdr:cNvSpPr>
          <a:spLocks noChangeAspect="1"/>
        </xdr:cNvSpPr>
      </xdr:nvSpPr>
      <xdr:spPr>
        <a:xfrm>
          <a:off x="228455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22</xdr:row>
      <xdr:rowOff>51000</xdr:rowOff>
    </xdr:from>
    <xdr:to>
      <xdr:col>33</xdr:col>
      <xdr:colOff>178201</xdr:colOff>
      <xdr:row>27</xdr:row>
      <xdr:rowOff>3751</xdr:rowOff>
    </xdr:to>
    <xdr:sp macro="" textlink="">
      <xdr:nvSpPr>
        <xdr:cNvPr id="245324" name="フリーフォーム: 図形 245323">
          <a:extLst>
            <a:ext uri="{FF2B5EF4-FFF2-40B4-BE49-F238E27FC236}">
              <a16:creationId xmlns:a16="http://schemas.microsoft.com/office/drawing/2014/main" id="{7CA16B5D-8F65-4429-B17C-D0D41E0B4D27}"/>
            </a:ext>
          </a:extLst>
        </xdr:cNvPr>
        <xdr:cNvSpPr>
          <a:spLocks noChangeAspect="1"/>
        </xdr:cNvSpPr>
      </xdr:nvSpPr>
      <xdr:spPr>
        <a:xfrm>
          <a:off x="225395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21</xdr:row>
      <xdr:rowOff>114450</xdr:rowOff>
    </xdr:from>
    <xdr:to>
      <xdr:col>33</xdr:col>
      <xdr:colOff>430201</xdr:colOff>
      <xdr:row>26</xdr:row>
      <xdr:rowOff>157201</xdr:rowOff>
    </xdr:to>
    <xdr:sp macro="" textlink="">
      <xdr:nvSpPr>
        <xdr:cNvPr id="245325" name="フリーフォーム: 図形 245324">
          <a:extLst>
            <a:ext uri="{FF2B5EF4-FFF2-40B4-BE49-F238E27FC236}">
              <a16:creationId xmlns:a16="http://schemas.microsoft.com/office/drawing/2014/main" id="{84C03178-BFC1-4D00-A1DD-494A25EEDB4C}"/>
            </a:ext>
          </a:extLst>
        </xdr:cNvPr>
        <xdr:cNvSpPr>
          <a:spLocks noChangeAspect="1"/>
        </xdr:cNvSpPr>
      </xdr:nvSpPr>
      <xdr:spPr>
        <a:xfrm>
          <a:off x="228096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22</xdr:row>
      <xdr:rowOff>69000</xdr:rowOff>
    </xdr:from>
    <xdr:to>
      <xdr:col>34</xdr:col>
      <xdr:colOff>68401</xdr:colOff>
      <xdr:row>27</xdr:row>
      <xdr:rowOff>3751</xdr:rowOff>
    </xdr:to>
    <xdr:sp macro="" textlink="">
      <xdr:nvSpPr>
        <xdr:cNvPr id="245326" name="フリーフォーム: 図形 245325">
          <a:extLst>
            <a:ext uri="{FF2B5EF4-FFF2-40B4-BE49-F238E27FC236}">
              <a16:creationId xmlns:a16="http://schemas.microsoft.com/office/drawing/2014/main" id="{4FBF3FA7-2924-4DD3-A998-4795544AA453}"/>
            </a:ext>
          </a:extLst>
        </xdr:cNvPr>
        <xdr:cNvSpPr>
          <a:spLocks noChangeAspect="1"/>
        </xdr:cNvSpPr>
      </xdr:nvSpPr>
      <xdr:spPr>
        <a:xfrm>
          <a:off x="228636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27</xdr:row>
      <xdr:rowOff>75750</xdr:rowOff>
    </xdr:from>
    <xdr:to>
      <xdr:col>33</xdr:col>
      <xdr:colOff>466200</xdr:colOff>
      <xdr:row>31</xdr:row>
      <xdr:rowOff>163951</xdr:rowOff>
    </xdr:to>
    <xdr:sp macro="" textlink="">
      <xdr:nvSpPr>
        <xdr:cNvPr id="245327" name="フリーフォーム: 図形 245326">
          <a:extLst>
            <a:ext uri="{FF2B5EF4-FFF2-40B4-BE49-F238E27FC236}">
              <a16:creationId xmlns:a16="http://schemas.microsoft.com/office/drawing/2014/main" id="{16E83C59-D49F-4EE0-B93C-A80F3AC0E5BB}"/>
            </a:ext>
          </a:extLst>
        </xdr:cNvPr>
        <xdr:cNvSpPr>
          <a:spLocks noChangeAspect="1"/>
        </xdr:cNvSpPr>
      </xdr:nvSpPr>
      <xdr:spPr>
        <a:xfrm>
          <a:off x="228276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27</xdr:row>
      <xdr:rowOff>93750</xdr:rowOff>
    </xdr:from>
    <xdr:to>
      <xdr:col>33</xdr:col>
      <xdr:colOff>196201</xdr:colOff>
      <xdr:row>32</xdr:row>
      <xdr:rowOff>118501</xdr:rowOff>
    </xdr:to>
    <xdr:sp macro="" textlink="">
      <xdr:nvSpPr>
        <xdr:cNvPr id="245328" name="フリーフォーム: 図形 245327">
          <a:extLst>
            <a:ext uri="{FF2B5EF4-FFF2-40B4-BE49-F238E27FC236}">
              <a16:creationId xmlns:a16="http://schemas.microsoft.com/office/drawing/2014/main" id="{1641E71E-6484-4D1F-B305-0B9100644559}"/>
            </a:ext>
          </a:extLst>
        </xdr:cNvPr>
        <xdr:cNvSpPr>
          <a:spLocks noChangeAspect="1"/>
        </xdr:cNvSpPr>
      </xdr:nvSpPr>
      <xdr:spPr>
        <a:xfrm>
          <a:off x="225936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27</xdr:row>
      <xdr:rowOff>75750</xdr:rowOff>
    </xdr:from>
    <xdr:to>
      <xdr:col>33</xdr:col>
      <xdr:colOff>160201</xdr:colOff>
      <xdr:row>32</xdr:row>
      <xdr:rowOff>10501</xdr:rowOff>
    </xdr:to>
    <xdr:sp macro="" textlink="">
      <xdr:nvSpPr>
        <xdr:cNvPr id="245329" name="フリーフォーム: 図形 245328">
          <a:extLst>
            <a:ext uri="{FF2B5EF4-FFF2-40B4-BE49-F238E27FC236}">
              <a16:creationId xmlns:a16="http://schemas.microsoft.com/office/drawing/2014/main" id="{43E2C3EA-FC1B-46E4-8F1B-2E5F5E448BD4}"/>
            </a:ext>
          </a:extLst>
        </xdr:cNvPr>
        <xdr:cNvSpPr>
          <a:spLocks noChangeAspect="1"/>
        </xdr:cNvSpPr>
      </xdr:nvSpPr>
      <xdr:spPr>
        <a:xfrm>
          <a:off x="222696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21</xdr:row>
      <xdr:rowOff>42450</xdr:rowOff>
    </xdr:from>
    <xdr:to>
      <xdr:col>36</xdr:col>
      <xdr:colOff>93601</xdr:colOff>
      <xdr:row>22</xdr:row>
      <xdr:rowOff>15001</xdr:rowOff>
    </xdr:to>
    <xdr:sp macro="" textlink="">
      <xdr:nvSpPr>
        <xdr:cNvPr id="245330" name="フリーフォーム: 図形 245329">
          <a:extLst>
            <a:ext uri="{FF2B5EF4-FFF2-40B4-BE49-F238E27FC236}">
              <a16:creationId xmlns:a16="http://schemas.microsoft.com/office/drawing/2014/main" id="{170E94B4-2FD9-4DE2-ADC2-E03B3654AFC7}"/>
            </a:ext>
          </a:extLst>
        </xdr:cNvPr>
        <xdr:cNvSpPr>
          <a:spLocks noChangeAspect="1"/>
        </xdr:cNvSpPr>
      </xdr:nvSpPr>
      <xdr:spPr>
        <a:xfrm>
          <a:off x="24314400" y="39096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21</xdr:row>
      <xdr:rowOff>42450</xdr:rowOff>
    </xdr:from>
    <xdr:to>
      <xdr:col>36</xdr:col>
      <xdr:colOff>633601</xdr:colOff>
      <xdr:row>22</xdr:row>
      <xdr:rowOff>15001</xdr:rowOff>
    </xdr:to>
    <xdr:sp macro="" textlink="">
      <xdr:nvSpPr>
        <xdr:cNvPr id="245331" name="フリーフォーム: 図形 245330">
          <a:extLst>
            <a:ext uri="{FF2B5EF4-FFF2-40B4-BE49-F238E27FC236}">
              <a16:creationId xmlns:a16="http://schemas.microsoft.com/office/drawing/2014/main" id="{A337A376-862A-4C3E-BD87-1023B37DEB0A}"/>
            </a:ext>
          </a:extLst>
        </xdr:cNvPr>
        <xdr:cNvSpPr>
          <a:spLocks noChangeAspect="1"/>
        </xdr:cNvSpPr>
      </xdr:nvSpPr>
      <xdr:spPr>
        <a:xfrm>
          <a:off x="24854401" y="39096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21</xdr:row>
      <xdr:rowOff>114450</xdr:rowOff>
    </xdr:from>
    <xdr:to>
      <xdr:col>37</xdr:col>
      <xdr:colOff>19801</xdr:colOff>
      <xdr:row>27</xdr:row>
      <xdr:rowOff>21751</xdr:rowOff>
    </xdr:to>
    <xdr:sp macro="" textlink="">
      <xdr:nvSpPr>
        <xdr:cNvPr id="245332" name="フリーフォーム: 図形 245331">
          <a:extLst>
            <a:ext uri="{FF2B5EF4-FFF2-40B4-BE49-F238E27FC236}">
              <a16:creationId xmlns:a16="http://schemas.microsoft.com/office/drawing/2014/main" id="{D530ABE7-9D28-47E0-8E02-89C99B53D2B2}"/>
            </a:ext>
          </a:extLst>
        </xdr:cNvPr>
        <xdr:cNvSpPr>
          <a:spLocks noChangeAspect="1"/>
        </xdr:cNvSpPr>
      </xdr:nvSpPr>
      <xdr:spPr>
        <a:xfrm>
          <a:off x="25106399" y="39816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27</xdr:row>
      <xdr:rowOff>75750</xdr:rowOff>
    </xdr:from>
    <xdr:to>
      <xdr:col>36</xdr:col>
      <xdr:colOff>525601</xdr:colOff>
      <xdr:row>32</xdr:row>
      <xdr:rowOff>136501</xdr:rowOff>
    </xdr:to>
    <xdr:sp macro="" textlink="">
      <xdr:nvSpPr>
        <xdr:cNvPr id="245333" name="フリーフォーム: 図形 245332">
          <a:extLst>
            <a:ext uri="{FF2B5EF4-FFF2-40B4-BE49-F238E27FC236}">
              <a16:creationId xmlns:a16="http://schemas.microsoft.com/office/drawing/2014/main" id="{62AF9120-E429-4341-AC75-3C073023A765}"/>
            </a:ext>
          </a:extLst>
        </xdr:cNvPr>
        <xdr:cNvSpPr>
          <a:spLocks noChangeAspect="1"/>
        </xdr:cNvSpPr>
      </xdr:nvSpPr>
      <xdr:spPr>
        <a:xfrm>
          <a:off x="24926399" y="49716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32</xdr:row>
      <xdr:rowOff>64500</xdr:rowOff>
    </xdr:from>
    <xdr:to>
      <xdr:col>35</xdr:col>
      <xdr:colOff>455401</xdr:colOff>
      <xdr:row>33</xdr:row>
      <xdr:rowOff>37051</xdr:rowOff>
    </xdr:to>
    <xdr:sp macro="" textlink="">
      <xdr:nvSpPr>
        <xdr:cNvPr id="245334" name="フリーフォーム: 図形 245333">
          <a:extLst>
            <a:ext uri="{FF2B5EF4-FFF2-40B4-BE49-F238E27FC236}">
              <a16:creationId xmlns:a16="http://schemas.microsoft.com/office/drawing/2014/main" id="{955B8A80-259B-4A94-90C9-AADE28BAD7A3}"/>
            </a:ext>
          </a:extLst>
        </xdr:cNvPr>
        <xdr:cNvSpPr>
          <a:spLocks noChangeAspect="1"/>
        </xdr:cNvSpPr>
      </xdr:nvSpPr>
      <xdr:spPr>
        <a:xfrm>
          <a:off x="23972400" y="5817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32</xdr:row>
      <xdr:rowOff>64500</xdr:rowOff>
    </xdr:from>
    <xdr:to>
      <xdr:col>36</xdr:col>
      <xdr:colOff>273601</xdr:colOff>
      <xdr:row>33</xdr:row>
      <xdr:rowOff>37051</xdr:rowOff>
    </xdr:to>
    <xdr:sp macro="" textlink="">
      <xdr:nvSpPr>
        <xdr:cNvPr id="245335" name="フリーフォーム: 図形 245334">
          <a:extLst>
            <a:ext uri="{FF2B5EF4-FFF2-40B4-BE49-F238E27FC236}">
              <a16:creationId xmlns:a16="http://schemas.microsoft.com/office/drawing/2014/main" id="{EB7C3C39-EBDE-4395-84CF-BBB8A337713A}"/>
            </a:ext>
          </a:extLst>
        </xdr:cNvPr>
        <xdr:cNvSpPr>
          <a:spLocks noChangeAspect="1"/>
        </xdr:cNvSpPr>
      </xdr:nvSpPr>
      <xdr:spPr>
        <a:xfrm>
          <a:off x="24494399" y="5817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27</xdr:row>
      <xdr:rowOff>75750</xdr:rowOff>
    </xdr:from>
    <xdr:to>
      <xdr:col>35</xdr:col>
      <xdr:colOff>203401</xdr:colOff>
      <xdr:row>32</xdr:row>
      <xdr:rowOff>136501</xdr:rowOff>
    </xdr:to>
    <xdr:sp macro="" textlink="">
      <xdr:nvSpPr>
        <xdr:cNvPr id="245336" name="フリーフォーム: 図形 245335">
          <a:extLst>
            <a:ext uri="{FF2B5EF4-FFF2-40B4-BE49-F238E27FC236}">
              <a16:creationId xmlns:a16="http://schemas.microsoft.com/office/drawing/2014/main" id="{D6FEF08E-6251-4234-966A-CCDBF814774F}"/>
            </a:ext>
          </a:extLst>
        </xdr:cNvPr>
        <xdr:cNvSpPr>
          <a:spLocks noChangeAspect="1"/>
        </xdr:cNvSpPr>
      </xdr:nvSpPr>
      <xdr:spPr>
        <a:xfrm>
          <a:off x="23918401" y="49716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21</xdr:row>
      <xdr:rowOff>114450</xdr:rowOff>
    </xdr:from>
    <xdr:to>
      <xdr:col>35</xdr:col>
      <xdr:colOff>347402</xdr:colOff>
      <xdr:row>27</xdr:row>
      <xdr:rowOff>21751</xdr:rowOff>
    </xdr:to>
    <xdr:sp macro="" textlink="">
      <xdr:nvSpPr>
        <xdr:cNvPr id="245337" name="フリーフォーム: 図形 245336">
          <a:extLst>
            <a:ext uri="{FF2B5EF4-FFF2-40B4-BE49-F238E27FC236}">
              <a16:creationId xmlns:a16="http://schemas.microsoft.com/office/drawing/2014/main" id="{7264DB0E-3204-4749-85A2-9297A378A398}"/>
            </a:ext>
          </a:extLst>
        </xdr:cNvPr>
        <xdr:cNvSpPr>
          <a:spLocks noChangeAspect="1"/>
        </xdr:cNvSpPr>
      </xdr:nvSpPr>
      <xdr:spPr>
        <a:xfrm>
          <a:off x="24098400" y="39816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26</xdr:row>
      <xdr:rowOff>139200</xdr:rowOff>
    </xdr:from>
    <xdr:to>
      <xdr:col>35</xdr:col>
      <xdr:colOff>617401</xdr:colOff>
      <xdr:row>27</xdr:row>
      <xdr:rowOff>111751</xdr:rowOff>
    </xdr:to>
    <xdr:sp macro="" textlink="">
      <xdr:nvSpPr>
        <xdr:cNvPr id="245338" name="フリーフォーム: 図形 245337">
          <a:extLst>
            <a:ext uri="{FF2B5EF4-FFF2-40B4-BE49-F238E27FC236}">
              <a16:creationId xmlns:a16="http://schemas.microsoft.com/office/drawing/2014/main" id="{2A171DAD-6321-44D1-9224-9C19C1E4B32B}"/>
            </a:ext>
          </a:extLst>
        </xdr:cNvPr>
        <xdr:cNvSpPr>
          <a:spLocks noChangeAspect="1"/>
        </xdr:cNvSpPr>
      </xdr:nvSpPr>
      <xdr:spPr>
        <a:xfrm>
          <a:off x="24170401" y="48636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26</xdr:row>
      <xdr:rowOff>139200</xdr:rowOff>
    </xdr:from>
    <xdr:to>
      <xdr:col>36</xdr:col>
      <xdr:colOff>435601</xdr:colOff>
      <xdr:row>27</xdr:row>
      <xdr:rowOff>111751</xdr:rowOff>
    </xdr:to>
    <xdr:sp macro="" textlink="">
      <xdr:nvSpPr>
        <xdr:cNvPr id="245339" name="フリーフォーム: 図形 245338">
          <a:extLst>
            <a:ext uri="{FF2B5EF4-FFF2-40B4-BE49-F238E27FC236}">
              <a16:creationId xmlns:a16="http://schemas.microsoft.com/office/drawing/2014/main" id="{0742A5A4-ED79-45C6-974F-606B27AD5281}"/>
            </a:ext>
          </a:extLst>
        </xdr:cNvPr>
        <xdr:cNvSpPr>
          <a:spLocks noChangeAspect="1"/>
        </xdr:cNvSpPr>
      </xdr:nvSpPr>
      <xdr:spPr>
        <a:xfrm>
          <a:off x="24674399" y="48636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22</xdr:row>
      <xdr:rowOff>51000</xdr:rowOff>
    </xdr:from>
    <xdr:to>
      <xdr:col>35</xdr:col>
      <xdr:colOff>635401</xdr:colOff>
      <xdr:row>27</xdr:row>
      <xdr:rowOff>3751</xdr:rowOff>
    </xdr:to>
    <xdr:sp macro="" textlink="">
      <xdr:nvSpPr>
        <xdr:cNvPr id="245340" name="フリーフォーム: 図形 245339">
          <a:extLst>
            <a:ext uri="{FF2B5EF4-FFF2-40B4-BE49-F238E27FC236}">
              <a16:creationId xmlns:a16="http://schemas.microsoft.com/office/drawing/2014/main" id="{16E5BC1E-FAE7-4A98-9C92-2549C6847F55}"/>
            </a:ext>
          </a:extLst>
        </xdr:cNvPr>
        <xdr:cNvSpPr>
          <a:spLocks noChangeAspect="1"/>
        </xdr:cNvSpPr>
      </xdr:nvSpPr>
      <xdr:spPr>
        <a:xfrm>
          <a:off x="24368399" y="40896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21</xdr:row>
      <xdr:rowOff>114450</xdr:rowOff>
    </xdr:from>
    <xdr:to>
      <xdr:col>36</xdr:col>
      <xdr:colOff>201601</xdr:colOff>
      <xdr:row>26</xdr:row>
      <xdr:rowOff>157201</xdr:rowOff>
    </xdr:to>
    <xdr:sp macro="" textlink="">
      <xdr:nvSpPr>
        <xdr:cNvPr id="245341" name="フリーフォーム: 図形 245340">
          <a:extLst>
            <a:ext uri="{FF2B5EF4-FFF2-40B4-BE49-F238E27FC236}">
              <a16:creationId xmlns:a16="http://schemas.microsoft.com/office/drawing/2014/main" id="{36503FF4-234C-4C53-A6E8-B0E7997E3231}"/>
            </a:ext>
          </a:extLst>
        </xdr:cNvPr>
        <xdr:cNvSpPr>
          <a:spLocks noChangeAspect="1"/>
        </xdr:cNvSpPr>
      </xdr:nvSpPr>
      <xdr:spPr>
        <a:xfrm>
          <a:off x="24638400" y="39816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22</xdr:row>
      <xdr:rowOff>69000</xdr:rowOff>
    </xdr:from>
    <xdr:to>
      <xdr:col>36</xdr:col>
      <xdr:colOff>525601</xdr:colOff>
      <xdr:row>27</xdr:row>
      <xdr:rowOff>3751</xdr:rowOff>
    </xdr:to>
    <xdr:sp macro="" textlink="">
      <xdr:nvSpPr>
        <xdr:cNvPr id="245342" name="フリーフォーム: 図形 245341">
          <a:extLst>
            <a:ext uri="{FF2B5EF4-FFF2-40B4-BE49-F238E27FC236}">
              <a16:creationId xmlns:a16="http://schemas.microsoft.com/office/drawing/2014/main" id="{85713EA1-B69B-46BD-A47A-7D01C9AF92B0}"/>
            </a:ext>
          </a:extLst>
        </xdr:cNvPr>
        <xdr:cNvSpPr>
          <a:spLocks noChangeAspect="1"/>
        </xdr:cNvSpPr>
      </xdr:nvSpPr>
      <xdr:spPr>
        <a:xfrm>
          <a:off x="24692400" y="41076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27</xdr:row>
      <xdr:rowOff>75750</xdr:rowOff>
    </xdr:from>
    <xdr:to>
      <xdr:col>36</xdr:col>
      <xdr:colOff>237600</xdr:colOff>
      <xdr:row>31</xdr:row>
      <xdr:rowOff>163951</xdr:rowOff>
    </xdr:to>
    <xdr:sp macro="" textlink="">
      <xdr:nvSpPr>
        <xdr:cNvPr id="245343" name="フリーフォーム: 図形 245342">
          <a:extLst>
            <a:ext uri="{FF2B5EF4-FFF2-40B4-BE49-F238E27FC236}">
              <a16:creationId xmlns:a16="http://schemas.microsoft.com/office/drawing/2014/main" id="{8601A1C8-5662-43F5-BD71-B0D125260D14}"/>
            </a:ext>
          </a:extLst>
        </xdr:cNvPr>
        <xdr:cNvSpPr>
          <a:spLocks noChangeAspect="1"/>
        </xdr:cNvSpPr>
      </xdr:nvSpPr>
      <xdr:spPr>
        <a:xfrm>
          <a:off x="24656400" y="49716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27</xdr:row>
      <xdr:rowOff>93750</xdr:rowOff>
    </xdr:from>
    <xdr:to>
      <xdr:col>35</xdr:col>
      <xdr:colOff>653401</xdr:colOff>
      <xdr:row>32</xdr:row>
      <xdr:rowOff>118501</xdr:rowOff>
    </xdr:to>
    <xdr:sp macro="" textlink="">
      <xdr:nvSpPr>
        <xdr:cNvPr id="245344" name="フリーフォーム: 図形 245343">
          <a:extLst>
            <a:ext uri="{FF2B5EF4-FFF2-40B4-BE49-F238E27FC236}">
              <a16:creationId xmlns:a16="http://schemas.microsoft.com/office/drawing/2014/main" id="{3E359689-0189-4F5A-9B3D-D5FC66F5D8C8}"/>
            </a:ext>
          </a:extLst>
        </xdr:cNvPr>
        <xdr:cNvSpPr>
          <a:spLocks noChangeAspect="1"/>
        </xdr:cNvSpPr>
      </xdr:nvSpPr>
      <xdr:spPr>
        <a:xfrm>
          <a:off x="24422401" y="49896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27</xdr:row>
      <xdr:rowOff>75750</xdr:rowOff>
    </xdr:from>
    <xdr:to>
      <xdr:col>35</xdr:col>
      <xdr:colOff>617401</xdr:colOff>
      <xdr:row>32</xdr:row>
      <xdr:rowOff>10501</xdr:rowOff>
    </xdr:to>
    <xdr:sp macro="" textlink="">
      <xdr:nvSpPr>
        <xdr:cNvPr id="245345" name="フリーフォーム: 図形 245344">
          <a:extLst>
            <a:ext uri="{FF2B5EF4-FFF2-40B4-BE49-F238E27FC236}">
              <a16:creationId xmlns:a16="http://schemas.microsoft.com/office/drawing/2014/main" id="{465AB34A-8E01-4313-8A56-8A5AF7D2DAFB}"/>
            </a:ext>
          </a:extLst>
        </xdr:cNvPr>
        <xdr:cNvSpPr>
          <a:spLocks noChangeAspect="1"/>
        </xdr:cNvSpPr>
      </xdr:nvSpPr>
      <xdr:spPr>
        <a:xfrm>
          <a:off x="24098400" y="49716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21</xdr:row>
      <xdr:rowOff>42450</xdr:rowOff>
    </xdr:from>
    <xdr:to>
      <xdr:col>38</xdr:col>
      <xdr:colOff>550801</xdr:colOff>
      <xdr:row>22</xdr:row>
      <xdr:rowOff>15001</xdr:rowOff>
    </xdr:to>
    <xdr:sp macro="" textlink="">
      <xdr:nvSpPr>
        <xdr:cNvPr id="245346" name="フリーフォーム: 図形 245345">
          <a:extLst>
            <a:ext uri="{FF2B5EF4-FFF2-40B4-BE49-F238E27FC236}">
              <a16:creationId xmlns:a16="http://schemas.microsoft.com/office/drawing/2014/main" id="{BFD93D9F-A767-40A6-BE06-B07D353ADBCA}"/>
            </a:ext>
          </a:extLst>
        </xdr:cNvPr>
        <xdr:cNvSpPr>
          <a:spLocks noChangeAspect="1"/>
        </xdr:cNvSpPr>
      </xdr:nvSpPr>
      <xdr:spPr>
        <a:xfrm>
          <a:off x="261432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21</xdr:row>
      <xdr:rowOff>42450</xdr:rowOff>
    </xdr:from>
    <xdr:to>
      <xdr:col>39</xdr:col>
      <xdr:colOff>405000</xdr:colOff>
      <xdr:row>22</xdr:row>
      <xdr:rowOff>15001</xdr:rowOff>
    </xdr:to>
    <xdr:sp macro="" textlink="">
      <xdr:nvSpPr>
        <xdr:cNvPr id="245347" name="フリーフォーム: 図形 245346">
          <a:extLst>
            <a:ext uri="{FF2B5EF4-FFF2-40B4-BE49-F238E27FC236}">
              <a16:creationId xmlns:a16="http://schemas.microsoft.com/office/drawing/2014/main" id="{4815FC02-9F0A-4383-BAD8-47C1B44DD6A9}"/>
            </a:ext>
          </a:extLst>
        </xdr:cNvPr>
        <xdr:cNvSpPr>
          <a:spLocks noChangeAspect="1"/>
        </xdr:cNvSpPr>
      </xdr:nvSpPr>
      <xdr:spPr>
        <a:xfrm>
          <a:off x="266831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21</xdr:row>
      <xdr:rowOff>114450</xdr:rowOff>
    </xdr:from>
    <xdr:to>
      <xdr:col>39</xdr:col>
      <xdr:colOff>477001</xdr:colOff>
      <xdr:row>27</xdr:row>
      <xdr:rowOff>21751</xdr:rowOff>
    </xdr:to>
    <xdr:sp macro="" textlink="">
      <xdr:nvSpPr>
        <xdr:cNvPr id="245348" name="フリーフォーム: 図形 245347">
          <a:extLst>
            <a:ext uri="{FF2B5EF4-FFF2-40B4-BE49-F238E27FC236}">
              <a16:creationId xmlns:a16="http://schemas.microsoft.com/office/drawing/2014/main" id="{2FF11C55-D387-4399-B8EF-F1752F0E88A1}"/>
            </a:ext>
          </a:extLst>
        </xdr:cNvPr>
        <xdr:cNvSpPr>
          <a:spLocks noChangeAspect="1"/>
        </xdr:cNvSpPr>
      </xdr:nvSpPr>
      <xdr:spPr>
        <a:xfrm>
          <a:off x="269351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27</xdr:row>
      <xdr:rowOff>75750</xdr:rowOff>
    </xdr:from>
    <xdr:to>
      <xdr:col>39</xdr:col>
      <xdr:colOff>297000</xdr:colOff>
      <xdr:row>32</xdr:row>
      <xdr:rowOff>136501</xdr:rowOff>
    </xdr:to>
    <xdr:sp macro="" textlink="">
      <xdr:nvSpPr>
        <xdr:cNvPr id="245349" name="フリーフォーム: 図形 245348">
          <a:extLst>
            <a:ext uri="{FF2B5EF4-FFF2-40B4-BE49-F238E27FC236}">
              <a16:creationId xmlns:a16="http://schemas.microsoft.com/office/drawing/2014/main" id="{00FD0535-581D-4E0A-AF6D-D7FE6CAFB3A7}"/>
            </a:ext>
          </a:extLst>
        </xdr:cNvPr>
        <xdr:cNvSpPr>
          <a:spLocks noChangeAspect="1"/>
        </xdr:cNvSpPr>
      </xdr:nvSpPr>
      <xdr:spPr>
        <a:xfrm>
          <a:off x="267552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32</xdr:row>
      <xdr:rowOff>64500</xdr:rowOff>
    </xdr:from>
    <xdr:to>
      <xdr:col>38</xdr:col>
      <xdr:colOff>226800</xdr:colOff>
      <xdr:row>33</xdr:row>
      <xdr:rowOff>37051</xdr:rowOff>
    </xdr:to>
    <xdr:sp macro="" textlink="">
      <xdr:nvSpPr>
        <xdr:cNvPr id="245350" name="フリーフォーム: 図形 245349">
          <a:extLst>
            <a:ext uri="{FF2B5EF4-FFF2-40B4-BE49-F238E27FC236}">
              <a16:creationId xmlns:a16="http://schemas.microsoft.com/office/drawing/2014/main" id="{D9607140-46A2-492D-B2CB-8A5A529216B4}"/>
            </a:ext>
          </a:extLst>
        </xdr:cNvPr>
        <xdr:cNvSpPr>
          <a:spLocks noChangeAspect="1"/>
        </xdr:cNvSpPr>
      </xdr:nvSpPr>
      <xdr:spPr>
        <a:xfrm>
          <a:off x="25801200" y="58176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32</xdr:row>
      <xdr:rowOff>64500</xdr:rowOff>
    </xdr:from>
    <xdr:to>
      <xdr:col>39</xdr:col>
      <xdr:colOff>45000</xdr:colOff>
      <xdr:row>33</xdr:row>
      <xdr:rowOff>37051</xdr:rowOff>
    </xdr:to>
    <xdr:sp macro="" textlink="">
      <xdr:nvSpPr>
        <xdr:cNvPr id="245351" name="フリーフォーム: 図形 245350">
          <a:extLst>
            <a:ext uri="{FF2B5EF4-FFF2-40B4-BE49-F238E27FC236}">
              <a16:creationId xmlns:a16="http://schemas.microsoft.com/office/drawing/2014/main" id="{4BEEC0A7-BCC9-4FD6-8CC2-D1F2D3C1E525}"/>
            </a:ext>
          </a:extLst>
        </xdr:cNvPr>
        <xdr:cNvSpPr>
          <a:spLocks noChangeAspect="1"/>
        </xdr:cNvSpPr>
      </xdr:nvSpPr>
      <xdr:spPr>
        <a:xfrm>
          <a:off x="263231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27</xdr:row>
      <xdr:rowOff>75750</xdr:rowOff>
    </xdr:from>
    <xdr:to>
      <xdr:col>37</xdr:col>
      <xdr:colOff>660603</xdr:colOff>
      <xdr:row>32</xdr:row>
      <xdr:rowOff>136501</xdr:rowOff>
    </xdr:to>
    <xdr:sp macro="" textlink="">
      <xdr:nvSpPr>
        <xdr:cNvPr id="245352" name="フリーフォーム: 図形 245351">
          <a:extLst>
            <a:ext uri="{FF2B5EF4-FFF2-40B4-BE49-F238E27FC236}">
              <a16:creationId xmlns:a16="http://schemas.microsoft.com/office/drawing/2014/main" id="{ACF52531-9EAD-4AAD-BD8D-B709A153C6F3}"/>
            </a:ext>
          </a:extLst>
        </xdr:cNvPr>
        <xdr:cNvSpPr>
          <a:spLocks noChangeAspect="1"/>
        </xdr:cNvSpPr>
      </xdr:nvSpPr>
      <xdr:spPr>
        <a:xfrm>
          <a:off x="25747201" y="4971600"/>
          <a:ext cx="288002" cy="918001"/>
        </a:xfrm>
        <a:custGeom>
          <a:avLst/>
          <a:gdLst/>
          <a:ahLst/>
          <a:cxnLst/>
          <a:rect l="0" t="0" r="0" b="0"/>
          <a:pathLst>
            <a:path w="288002" h="918001">
              <a:moveTo>
                <a:pt x="143998" y="54000"/>
              </a:moveTo>
              <a:lnTo>
                <a:pt x="215999" y="0"/>
              </a:lnTo>
              <a:lnTo>
                <a:pt x="288001"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21</xdr:row>
      <xdr:rowOff>114450</xdr:rowOff>
    </xdr:from>
    <xdr:to>
      <xdr:col>38</xdr:col>
      <xdr:colOff>118800</xdr:colOff>
      <xdr:row>27</xdr:row>
      <xdr:rowOff>21751</xdr:rowOff>
    </xdr:to>
    <xdr:sp macro="" textlink="">
      <xdr:nvSpPr>
        <xdr:cNvPr id="245353" name="フリーフォーム: 図形 245352">
          <a:extLst>
            <a:ext uri="{FF2B5EF4-FFF2-40B4-BE49-F238E27FC236}">
              <a16:creationId xmlns:a16="http://schemas.microsoft.com/office/drawing/2014/main" id="{6038EFC3-9B69-40BE-96B8-CADA36BC59BC}"/>
            </a:ext>
          </a:extLst>
        </xdr:cNvPr>
        <xdr:cNvSpPr>
          <a:spLocks noChangeAspect="1"/>
        </xdr:cNvSpPr>
      </xdr:nvSpPr>
      <xdr:spPr>
        <a:xfrm>
          <a:off x="25927200" y="3981600"/>
          <a:ext cx="252000" cy="936001"/>
        </a:xfrm>
        <a:custGeom>
          <a:avLst/>
          <a:gdLst/>
          <a:ahLst/>
          <a:cxnLst/>
          <a:rect l="0" t="0" r="0" b="0"/>
          <a:pathLst>
            <a:path w="252000" h="936001">
              <a:moveTo>
                <a:pt x="126000" y="72000"/>
              </a:moveTo>
              <a:lnTo>
                <a:pt x="180000" y="0"/>
              </a:lnTo>
              <a:lnTo>
                <a:pt x="251999"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26</xdr:row>
      <xdr:rowOff>139200</xdr:rowOff>
    </xdr:from>
    <xdr:to>
      <xdr:col>38</xdr:col>
      <xdr:colOff>388802</xdr:colOff>
      <xdr:row>27</xdr:row>
      <xdr:rowOff>111751</xdr:rowOff>
    </xdr:to>
    <xdr:sp macro="" textlink="">
      <xdr:nvSpPr>
        <xdr:cNvPr id="245354" name="フリーフォーム: 図形 245353">
          <a:extLst>
            <a:ext uri="{FF2B5EF4-FFF2-40B4-BE49-F238E27FC236}">
              <a16:creationId xmlns:a16="http://schemas.microsoft.com/office/drawing/2014/main" id="{EF7E9CF5-2BD3-45D6-A52C-12F653F8305D}"/>
            </a:ext>
          </a:extLst>
        </xdr:cNvPr>
        <xdr:cNvSpPr>
          <a:spLocks noChangeAspect="1"/>
        </xdr:cNvSpPr>
      </xdr:nvSpPr>
      <xdr:spPr>
        <a:xfrm>
          <a:off x="259992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26</xdr:row>
      <xdr:rowOff>139200</xdr:rowOff>
    </xdr:from>
    <xdr:to>
      <xdr:col>39</xdr:col>
      <xdr:colOff>207002</xdr:colOff>
      <xdr:row>27</xdr:row>
      <xdr:rowOff>111751</xdr:rowOff>
    </xdr:to>
    <xdr:sp macro="" textlink="">
      <xdr:nvSpPr>
        <xdr:cNvPr id="245355" name="フリーフォーム: 図形 245354">
          <a:extLst>
            <a:ext uri="{FF2B5EF4-FFF2-40B4-BE49-F238E27FC236}">
              <a16:creationId xmlns:a16="http://schemas.microsoft.com/office/drawing/2014/main" id="{3E8A245E-7C0B-4E59-8EFF-E40E753FC9B2}"/>
            </a:ext>
          </a:extLst>
        </xdr:cNvPr>
        <xdr:cNvSpPr>
          <a:spLocks noChangeAspect="1"/>
        </xdr:cNvSpPr>
      </xdr:nvSpPr>
      <xdr:spPr>
        <a:xfrm>
          <a:off x="265032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22</xdr:row>
      <xdr:rowOff>51000</xdr:rowOff>
    </xdr:from>
    <xdr:to>
      <xdr:col>38</xdr:col>
      <xdr:colOff>406801</xdr:colOff>
      <xdr:row>27</xdr:row>
      <xdr:rowOff>3751</xdr:rowOff>
    </xdr:to>
    <xdr:sp macro="" textlink="">
      <xdr:nvSpPr>
        <xdr:cNvPr id="245356" name="フリーフォーム: 図形 245355">
          <a:extLst>
            <a:ext uri="{FF2B5EF4-FFF2-40B4-BE49-F238E27FC236}">
              <a16:creationId xmlns:a16="http://schemas.microsoft.com/office/drawing/2014/main" id="{25D355D1-02AC-4D9A-A357-15AB761E9035}"/>
            </a:ext>
          </a:extLst>
        </xdr:cNvPr>
        <xdr:cNvSpPr>
          <a:spLocks noChangeAspect="1"/>
        </xdr:cNvSpPr>
      </xdr:nvSpPr>
      <xdr:spPr>
        <a:xfrm>
          <a:off x="261972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21</xdr:row>
      <xdr:rowOff>114450</xdr:rowOff>
    </xdr:from>
    <xdr:to>
      <xdr:col>38</xdr:col>
      <xdr:colOff>658801</xdr:colOff>
      <xdr:row>26</xdr:row>
      <xdr:rowOff>157201</xdr:rowOff>
    </xdr:to>
    <xdr:sp macro="" textlink="">
      <xdr:nvSpPr>
        <xdr:cNvPr id="245357" name="フリーフォーム: 図形 245356">
          <a:extLst>
            <a:ext uri="{FF2B5EF4-FFF2-40B4-BE49-F238E27FC236}">
              <a16:creationId xmlns:a16="http://schemas.microsoft.com/office/drawing/2014/main" id="{251AC825-7F8E-4671-9BD2-DA06F8AAC0CE}"/>
            </a:ext>
          </a:extLst>
        </xdr:cNvPr>
        <xdr:cNvSpPr>
          <a:spLocks noChangeAspect="1"/>
        </xdr:cNvSpPr>
      </xdr:nvSpPr>
      <xdr:spPr>
        <a:xfrm>
          <a:off x="264672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22</xdr:row>
      <xdr:rowOff>69000</xdr:rowOff>
    </xdr:from>
    <xdr:to>
      <xdr:col>39</xdr:col>
      <xdr:colOff>297000</xdr:colOff>
      <xdr:row>27</xdr:row>
      <xdr:rowOff>3751</xdr:rowOff>
    </xdr:to>
    <xdr:sp macro="" textlink="">
      <xdr:nvSpPr>
        <xdr:cNvPr id="245358" name="フリーフォーム: 図形 245357">
          <a:extLst>
            <a:ext uri="{FF2B5EF4-FFF2-40B4-BE49-F238E27FC236}">
              <a16:creationId xmlns:a16="http://schemas.microsoft.com/office/drawing/2014/main" id="{50E4C1B7-86A2-48EE-B746-D55CBE5CFF9E}"/>
            </a:ext>
          </a:extLst>
        </xdr:cNvPr>
        <xdr:cNvSpPr>
          <a:spLocks noChangeAspect="1"/>
        </xdr:cNvSpPr>
      </xdr:nvSpPr>
      <xdr:spPr>
        <a:xfrm>
          <a:off x="265212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27</xdr:row>
      <xdr:rowOff>75750</xdr:rowOff>
    </xdr:from>
    <xdr:to>
      <xdr:col>39</xdr:col>
      <xdr:colOff>9002</xdr:colOff>
      <xdr:row>31</xdr:row>
      <xdr:rowOff>163951</xdr:rowOff>
    </xdr:to>
    <xdr:sp macro="" textlink="">
      <xdr:nvSpPr>
        <xdr:cNvPr id="245359" name="フリーフォーム: 図形 245358">
          <a:extLst>
            <a:ext uri="{FF2B5EF4-FFF2-40B4-BE49-F238E27FC236}">
              <a16:creationId xmlns:a16="http://schemas.microsoft.com/office/drawing/2014/main" id="{02E69871-C030-43EE-825D-8135BF553660}"/>
            </a:ext>
          </a:extLst>
        </xdr:cNvPr>
        <xdr:cNvSpPr>
          <a:spLocks noChangeAspect="1"/>
        </xdr:cNvSpPr>
      </xdr:nvSpPr>
      <xdr:spPr>
        <a:xfrm>
          <a:off x="264851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27</xdr:row>
      <xdr:rowOff>93750</xdr:rowOff>
    </xdr:from>
    <xdr:to>
      <xdr:col>38</xdr:col>
      <xdr:colOff>424800</xdr:colOff>
      <xdr:row>32</xdr:row>
      <xdr:rowOff>118501</xdr:rowOff>
    </xdr:to>
    <xdr:sp macro="" textlink="">
      <xdr:nvSpPr>
        <xdr:cNvPr id="245360" name="フリーフォーム: 図形 245359">
          <a:extLst>
            <a:ext uri="{FF2B5EF4-FFF2-40B4-BE49-F238E27FC236}">
              <a16:creationId xmlns:a16="http://schemas.microsoft.com/office/drawing/2014/main" id="{7455EF2E-2A95-4D81-952D-A008739C9764}"/>
            </a:ext>
          </a:extLst>
        </xdr:cNvPr>
        <xdr:cNvSpPr>
          <a:spLocks noChangeAspect="1"/>
        </xdr:cNvSpPr>
      </xdr:nvSpPr>
      <xdr:spPr>
        <a:xfrm>
          <a:off x="262512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27</xdr:row>
      <xdr:rowOff>75750</xdr:rowOff>
    </xdr:from>
    <xdr:to>
      <xdr:col>38</xdr:col>
      <xdr:colOff>388802</xdr:colOff>
      <xdr:row>32</xdr:row>
      <xdr:rowOff>10501</xdr:rowOff>
    </xdr:to>
    <xdr:sp macro="" textlink="">
      <xdr:nvSpPr>
        <xdr:cNvPr id="245361" name="フリーフォーム: 図形 245360">
          <a:extLst>
            <a:ext uri="{FF2B5EF4-FFF2-40B4-BE49-F238E27FC236}">
              <a16:creationId xmlns:a16="http://schemas.microsoft.com/office/drawing/2014/main" id="{FF9F3F60-4CB7-4683-9AB6-47445D305351}"/>
            </a:ext>
          </a:extLst>
        </xdr:cNvPr>
        <xdr:cNvSpPr>
          <a:spLocks noChangeAspect="1"/>
        </xdr:cNvSpPr>
      </xdr:nvSpPr>
      <xdr:spPr>
        <a:xfrm>
          <a:off x="25927200" y="4971600"/>
          <a:ext cx="522002" cy="792001"/>
        </a:xfrm>
        <a:custGeom>
          <a:avLst/>
          <a:gdLst/>
          <a:ahLst/>
          <a:cxnLst/>
          <a:rect l="0" t="0" r="0" b="0"/>
          <a:pathLst>
            <a:path w="522002" h="792001">
              <a:moveTo>
                <a:pt x="395999" y="72000"/>
              </a:moveTo>
              <a:lnTo>
                <a:pt x="522001" y="0"/>
              </a:lnTo>
              <a:lnTo>
                <a:pt x="324001" y="378000"/>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21</xdr:row>
      <xdr:rowOff>42450</xdr:rowOff>
    </xdr:from>
    <xdr:to>
      <xdr:col>41</xdr:col>
      <xdr:colOff>322201</xdr:colOff>
      <xdr:row>22</xdr:row>
      <xdr:rowOff>15001</xdr:rowOff>
    </xdr:to>
    <xdr:sp macro="" textlink="">
      <xdr:nvSpPr>
        <xdr:cNvPr id="245362" name="フリーフォーム: 図形 245361">
          <a:extLst>
            <a:ext uri="{FF2B5EF4-FFF2-40B4-BE49-F238E27FC236}">
              <a16:creationId xmlns:a16="http://schemas.microsoft.com/office/drawing/2014/main" id="{76FEBA01-842F-4BCA-89B7-30E95F543CEE}"/>
            </a:ext>
          </a:extLst>
        </xdr:cNvPr>
        <xdr:cNvSpPr>
          <a:spLocks noChangeAspect="1"/>
        </xdr:cNvSpPr>
      </xdr:nvSpPr>
      <xdr:spPr>
        <a:xfrm>
          <a:off x="279720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21</xdr:row>
      <xdr:rowOff>42450</xdr:rowOff>
    </xdr:from>
    <xdr:to>
      <xdr:col>42</xdr:col>
      <xdr:colOff>176400</xdr:colOff>
      <xdr:row>22</xdr:row>
      <xdr:rowOff>15001</xdr:rowOff>
    </xdr:to>
    <xdr:sp macro="" textlink="">
      <xdr:nvSpPr>
        <xdr:cNvPr id="245363" name="フリーフォーム: 図形 245362">
          <a:extLst>
            <a:ext uri="{FF2B5EF4-FFF2-40B4-BE49-F238E27FC236}">
              <a16:creationId xmlns:a16="http://schemas.microsoft.com/office/drawing/2014/main" id="{23FE63E3-5D7A-4406-B1D7-E308E8C64771}"/>
            </a:ext>
          </a:extLst>
        </xdr:cNvPr>
        <xdr:cNvSpPr>
          <a:spLocks noChangeAspect="1"/>
        </xdr:cNvSpPr>
      </xdr:nvSpPr>
      <xdr:spPr>
        <a:xfrm>
          <a:off x="285119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21</xdr:row>
      <xdr:rowOff>114450</xdr:rowOff>
    </xdr:from>
    <xdr:to>
      <xdr:col>42</xdr:col>
      <xdr:colOff>248401</xdr:colOff>
      <xdr:row>27</xdr:row>
      <xdr:rowOff>21751</xdr:rowOff>
    </xdr:to>
    <xdr:sp macro="" textlink="">
      <xdr:nvSpPr>
        <xdr:cNvPr id="245364" name="フリーフォーム: 図形 245363">
          <a:extLst>
            <a:ext uri="{FF2B5EF4-FFF2-40B4-BE49-F238E27FC236}">
              <a16:creationId xmlns:a16="http://schemas.microsoft.com/office/drawing/2014/main" id="{A91496C9-6DC3-4BD3-BA1B-A00913D87BCD}"/>
            </a:ext>
          </a:extLst>
        </xdr:cNvPr>
        <xdr:cNvSpPr>
          <a:spLocks noChangeAspect="1"/>
        </xdr:cNvSpPr>
      </xdr:nvSpPr>
      <xdr:spPr>
        <a:xfrm>
          <a:off x="287639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27</xdr:row>
      <xdr:rowOff>75750</xdr:rowOff>
    </xdr:from>
    <xdr:to>
      <xdr:col>42</xdr:col>
      <xdr:colOff>68400</xdr:colOff>
      <xdr:row>32</xdr:row>
      <xdr:rowOff>136501</xdr:rowOff>
    </xdr:to>
    <xdr:sp macro="" textlink="">
      <xdr:nvSpPr>
        <xdr:cNvPr id="245365" name="フリーフォーム: 図形 245364">
          <a:extLst>
            <a:ext uri="{FF2B5EF4-FFF2-40B4-BE49-F238E27FC236}">
              <a16:creationId xmlns:a16="http://schemas.microsoft.com/office/drawing/2014/main" id="{CC1F137D-6D19-46FB-A495-2F400AA078C0}"/>
            </a:ext>
          </a:extLst>
        </xdr:cNvPr>
        <xdr:cNvSpPr>
          <a:spLocks noChangeAspect="1"/>
        </xdr:cNvSpPr>
      </xdr:nvSpPr>
      <xdr:spPr>
        <a:xfrm>
          <a:off x="285840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32</xdr:row>
      <xdr:rowOff>64500</xdr:rowOff>
    </xdr:from>
    <xdr:to>
      <xdr:col>40</xdr:col>
      <xdr:colOff>684000</xdr:colOff>
      <xdr:row>33</xdr:row>
      <xdr:rowOff>37051</xdr:rowOff>
    </xdr:to>
    <xdr:sp macro="" textlink="">
      <xdr:nvSpPr>
        <xdr:cNvPr id="245366" name="フリーフォーム: 図形 245365">
          <a:extLst>
            <a:ext uri="{FF2B5EF4-FFF2-40B4-BE49-F238E27FC236}">
              <a16:creationId xmlns:a16="http://schemas.microsoft.com/office/drawing/2014/main" id="{B62390B1-D309-4353-9668-99550A15BCD7}"/>
            </a:ext>
          </a:extLst>
        </xdr:cNvPr>
        <xdr:cNvSpPr>
          <a:spLocks noChangeAspect="1"/>
        </xdr:cNvSpPr>
      </xdr:nvSpPr>
      <xdr:spPr>
        <a:xfrm>
          <a:off x="276300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32</xdr:row>
      <xdr:rowOff>64500</xdr:rowOff>
    </xdr:from>
    <xdr:to>
      <xdr:col>41</xdr:col>
      <xdr:colOff>502200</xdr:colOff>
      <xdr:row>33</xdr:row>
      <xdr:rowOff>37051</xdr:rowOff>
    </xdr:to>
    <xdr:sp macro="" textlink="">
      <xdr:nvSpPr>
        <xdr:cNvPr id="245367" name="フリーフォーム: 図形 245366">
          <a:extLst>
            <a:ext uri="{FF2B5EF4-FFF2-40B4-BE49-F238E27FC236}">
              <a16:creationId xmlns:a16="http://schemas.microsoft.com/office/drawing/2014/main" id="{97B2370F-FD2D-4E6C-983B-EFA66F6465D2}"/>
            </a:ext>
          </a:extLst>
        </xdr:cNvPr>
        <xdr:cNvSpPr>
          <a:spLocks noChangeAspect="1"/>
        </xdr:cNvSpPr>
      </xdr:nvSpPr>
      <xdr:spPr>
        <a:xfrm>
          <a:off x="281519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27</xdr:row>
      <xdr:rowOff>75750</xdr:rowOff>
    </xdr:from>
    <xdr:to>
      <xdr:col>40</xdr:col>
      <xdr:colOff>432003</xdr:colOff>
      <xdr:row>32</xdr:row>
      <xdr:rowOff>136501</xdr:rowOff>
    </xdr:to>
    <xdr:sp macro="" textlink="">
      <xdr:nvSpPr>
        <xdr:cNvPr id="245368" name="フリーフォーム: 図形 245367">
          <a:extLst>
            <a:ext uri="{FF2B5EF4-FFF2-40B4-BE49-F238E27FC236}">
              <a16:creationId xmlns:a16="http://schemas.microsoft.com/office/drawing/2014/main" id="{0A2E208F-9692-45A7-9E38-68E3055C78FD}"/>
            </a:ext>
          </a:extLst>
        </xdr:cNvPr>
        <xdr:cNvSpPr>
          <a:spLocks noChangeAspect="1"/>
        </xdr:cNvSpPr>
      </xdr:nvSpPr>
      <xdr:spPr>
        <a:xfrm>
          <a:off x="275760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21</xdr:row>
      <xdr:rowOff>114450</xdr:rowOff>
    </xdr:from>
    <xdr:to>
      <xdr:col>40</xdr:col>
      <xdr:colOff>576000</xdr:colOff>
      <xdr:row>27</xdr:row>
      <xdr:rowOff>21751</xdr:rowOff>
    </xdr:to>
    <xdr:sp macro="" textlink="">
      <xdr:nvSpPr>
        <xdr:cNvPr id="245369" name="フリーフォーム: 図形 245368">
          <a:extLst>
            <a:ext uri="{FF2B5EF4-FFF2-40B4-BE49-F238E27FC236}">
              <a16:creationId xmlns:a16="http://schemas.microsoft.com/office/drawing/2014/main" id="{DC9ED5C8-A637-4FEE-9C09-6B169D106863}"/>
            </a:ext>
          </a:extLst>
        </xdr:cNvPr>
        <xdr:cNvSpPr>
          <a:spLocks noChangeAspect="1"/>
        </xdr:cNvSpPr>
      </xdr:nvSpPr>
      <xdr:spPr>
        <a:xfrm>
          <a:off x="277559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26</xdr:row>
      <xdr:rowOff>139200</xdr:rowOff>
    </xdr:from>
    <xdr:to>
      <xdr:col>41</xdr:col>
      <xdr:colOff>160202</xdr:colOff>
      <xdr:row>27</xdr:row>
      <xdr:rowOff>111751</xdr:rowOff>
    </xdr:to>
    <xdr:sp macro="" textlink="">
      <xdr:nvSpPr>
        <xdr:cNvPr id="245370" name="フリーフォーム: 図形 245369">
          <a:extLst>
            <a:ext uri="{FF2B5EF4-FFF2-40B4-BE49-F238E27FC236}">
              <a16:creationId xmlns:a16="http://schemas.microsoft.com/office/drawing/2014/main" id="{10666AE1-BC5C-4F5B-B720-52C748453131}"/>
            </a:ext>
          </a:extLst>
        </xdr:cNvPr>
        <xdr:cNvSpPr>
          <a:spLocks noChangeAspect="1"/>
        </xdr:cNvSpPr>
      </xdr:nvSpPr>
      <xdr:spPr>
        <a:xfrm>
          <a:off x="278280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26</xdr:row>
      <xdr:rowOff>139200</xdr:rowOff>
    </xdr:from>
    <xdr:to>
      <xdr:col>41</xdr:col>
      <xdr:colOff>664202</xdr:colOff>
      <xdr:row>27</xdr:row>
      <xdr:rowOff>111751</xdr:rowOff>
    </xdr:to>
    <xdr:sp macro="" textlink="">
      <xdr:nvSpPr>
        <xdr:cNvPr id="245371" name="フリーフォーム: 図形 245370">
          <a:extLst>
            <a:ext uri="{FF2B5EF4-FFF2-40B4-BE49-F238E27FC236}">
              <a16:creationId xmlns:a16="http://schemas.microsoft.com/office/drawing/2014/main" id="{38C72BBE-5894-453A-92DD-75DE16CD9A76}"/>
            </a:ext>
          </a:extLst>
        </xdr:cNvPr>
        <xdr:cNvSpPr>
          <a:spLocks noChangeAspect="1"/>
        </xdr:cNvSpPr>
      </xdr:nvSpPr>
      <xdr:spPr>
        <a:xfrm>
          <a:off x="283320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22</xdr:row>
      <xdr:rowOff>51000</xdr:rowOff>
    </xdr:from>
    <xdr:to>
      <xdr:col>41</xdr:col>
      <xdr:colOff>178201</xdr:colOff>
      <xdr:row>27</xdr:row>
      <xdr:rowOff>3751</xdr:rowOff>
    </xdr:to>
    <xdr:sp macro="" textlink="">
      <xdr:nvSpPr>
        <xdr:cNvPr id="245372" name="フリーフォーム: 図形 245371">
          <a:extLst>
            <a:ext uri="{FF2B5EF4-FFF2-40B4-BE49-F238E27FC236}">
              <a16:creationId xmlns:a16="http://schemas.microsoft.com/office/drawing/2014/main" id="{44858B06-305C-4ED5-A986-2DBFC9F55D0A}"/>
            </a:ext>
          </a:extLst>
        </xdr:cNvPr>
        <xdr:cNvSpPr>
          <a:spLocks noChangeAspect="1"/>
        </xdr:cNvSpPr>
      </xdr:nvSpPr>
      <xdr:spPr>
        <a:xfrm>
          <a:off x="280260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21</xdr:row>
      <xdr:rowOff>114450</xdr:rowOff>
    </xdr:from>
    <xdr:to>
      <xdr:col>41</xdr:col>
      <xdr:colOff>430201</xdr:colOff>
      <xdr:row>26</xdr:row>
      <xdr:rowOff>157201</xdr:rowOff>
    </xdr:to>
    <xdr:sp macro="" textlink="">
      <xdr:nvSpPr>
        <xdr:cNvPr id="245373" name="フリーフォーム: 図形 245372">
          <a:extLst>
            <a:ext uri="{FF2B5EF4-FFF2-40B4-BE49-F238E27FC236}">
              <a16:creationId xmlns:a16="http://schemas.microsoft.com/office/drawing/2014/main" id="{70615729-6B47-495D-A91D-09CF75A825A7}"/>
            </a:ext>
          </a:extLst>
        </xdr:cNvPr>
        <xdr:cNvSpPr>
          <a:spLocks noChangeAspect="1"/>
        </xdr:cNvSpPr>
      </xdr:nvSpPr>
      <xdr:spPr>
        <a:xfrm>
          <a:off x="282960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22</xdr:row>
      <xdr:rowOff>69000</xdr:rowOff>
    </xdr:from>
    <xdr:to>
      <xdr:col>42</xdr:col>
      <xdr:colOff>68400</xdr:colOff>
      <xdr:row>27</xdr:row>
      <xdr:rowOff>3751</xdr:rowOff>
    </xdr:to>
    <xdr:sp macro="" textlink="">
      <xdr:nvSpPr>
        <xdr:cNvPr id="245374" name="フリーフォーム: 図形 245373">
          <a:extLst>
            <a:ext uri="{FF2B5EF4-FFF2-40B4-BE49-F238E27FC236}">
              <a16:creationId xmlns:a16="http://schemas.microsoft.com/office/drawing/2014/main" id="{384130A9-FEEF-448F-94E5-0686524E9724}"/>
            </a:ext>
          </a:extLst>
        </xdr:cNvPr>
        <xdr:cNvSpPr>
          <a:spLocks noChangeAspect="1"/>
        </xdr:cNvSpPr>
      </xdr:nvSpPr>
      <xdr:spPr>
        <a:xfrm>
          <a:off x="283500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27</xdr:row>
      <xdr:rowOff>75750</xdr:rowOff>
    </xdr:from>
    <xdr:to>
      <xdr:col>41</xdr:col>
      <xdr:colOff>466202</xdr:colOff>
      <xdr:row>31</xdr:row>
      <xdr:rowOff>163951</xdr:rowOff>
    </xdr:to>
    <xdr:sp macro="" textlink="">
      <xdr:nvSpPr>
        <xdr:cNvPr id="245375" name="フリーフォーム: 図形 245374">
          <a:extLst>
            <a:ext uri="{FF2B5EF4-FFF2-40B4-BE49-F238E27FC236}">
              <a16:creationId xmlns:a16="http://schemas.microsoft.com/office/drawing/2014/main" id="{F0B26BFC-A578-4956-8904-C16D24E4DEEC}"/>
            </a:ext>
          </a:extLst>
        </xdr:cNvPr>
        <xdr:cNvSpPr>
          <a:spLocks noChangeAspect="1"/>
        </xdr:cNvSpPr>
      </xdr:nvSpPr>
      <xdr:spPr>
        <a:xfrm>
          <a:off x="283139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27</xdr:row>
      <xdr:rowOff>93750</xdr:rowOff>
    </xdr:from>
    <xdr:to>
      <xdr:col>41</xdr:col>
      <xdr:colOff>196200</xdr:colOff>
      <xdr:row>32</xdr:row>
      <xdr:rowOff>118501</xdr:rowOff>
    </xdr:to>
    <xdr:sp macro="" textlink="">
      <xdr:nvSpPr>
        <xdr:cNvPr id="245376" name="フリーフォーム: 図形 245375">
          <a:extLst>
            <a:ext uri="{FF2B5EF4-FFF2-40B4-BE49-F238E27FC236}">
              <a16:creationId xmlns:a16="http://schemas.microsoft.com/office/drawing/2014/main" id="{95986700-4CEA-43AC-B3E5-7AE5CAF83803}"/>
            </a:ext>
          </a:extLst>
        </xdr:cNvPr>
        <xdr:cNvSpPr>
          <a:spLocks noChangeAspect="1"/>
        </xdr:cNvSpPr>
      </xdr:nvSpPr>
      <xdr:spPr>
        <a:xfrm>
          <a:off x="280800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27</xdr:row>
      <xdr:rowOff>75750</xdr:rowOff>
    </xdr:from>
    <xdr:to>
      <xdr:col>41</xdr:col>
      <xdr:colOff>160202</xdr:colOff>
      <xdr:row>32</xdr:row>
      <xdr:rowOff>10501</xdr:rowOff>
    </xdr:to>
    <xdr:sp macro="" textlink="">
      <xdr:nvSpPr>
        <xdr:cNvPr id="245377" name="フリーフォーム: 図形 245376">
          <a:extLst>
            <a:ext uri="{FF2B5EF4-FFF2-40B4-BE49-F238E27FC236}">
              <a16:creationId xmlns:a16="http://schemas.microsoft.com/office/drawing/2014/main" id="{80B59E92-711C-4ABE-A40B-22B26E0F0EA5}"/>
            </a:ext>
          </a:extLst>
        </xdr:cNvPr>
        <xdr:cNvSpPr>
          <a:spLocks noChangeAspect="1"/>
        </xdr:cNvSpPr>
      </xdr:nvSpPr>
      <xdr:spPr>
        <a:xfrm>
          <a:off x="277559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21</xdr:row>
      <xdr:rowOff>42450</xdr:rowOff>
    </xdr:from>
    <xdr:to>
      <xdr:col>44</xdr:col>
      <xdr:colOff>93601</xdr:colOff>
      <xdr:row>22</xdr:row>
      <xdr:rowOff>15001</xdr:rowOff>
    </xdr:to>
    <xdr:sp macro="" textlink="">
      <xdr:nvSpPr>
        <xdr:cNvPr id="245378" name="フリーフォーム: 図形 245377">
          <a:extLst>
            <a:ext uri="{FF2B5EF4-FFF2-40B4-BE49-F238E27FC236}">
              <a16:creationId xmlns:a16="http://schemas.microsoft.com/office/drawing/2014/main" id="{B88A6E24-7639-4A35-A83D-2B6F0813D343}"/>
            </a:ext>
          </a:extLst>
        </xdr:cNvPr>
        <xdr:cNvSpPr>
          <a:spLocks noChangeAspect="1"/>
        </xdr:cNvSpPr>
      </xdr:nvSpPr>
      <xdr:spPr>
        <a:xfrm>
          <a:off x="298008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21</xdr:row>
      <xdr:rowOff>42450</xdr:rowOff>
    </xdr:from>
    <xdr:to>
      <xdr:col>44</xdr:col>
      <xdr:colOff>633600</xdr:colOff>
      <xdr:row>22</xdr:row>
      <xdr:rowOff>15001</xdr:rowOff>
    </xdr:to>
    <xdr:sp macro="" textlink="">
      <xdr:nvSpPr>
        <xdr:cNvPr id="245379" name="フリーフォーム: 図形 245378">
          <a:extLst>
            <a:ext uri="{FF2B5EF4-FFF2-40B4-BE49-F238E27FC236}">
              <a16:creationId xmlns:a16="http://schemas.microsoft.com/office/drawing/2014/main" id="{50C1F99A-58C1-46C0-A196-41B848821AA7}"/>
            </a:ext>
          </a:extLst>
        </xdr:cNvPr>
        <xdr:cNvSpPr>
          <a:spLocks noChangeAspect="1"/>
        </xdr:cNvSpPr>
      </xdr:nvSpPr>
      <xdr:spPr>
        <a:xfrm>
          <a:off x="303407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21</xdr:row>
      <xdr:rowOff>114450</xdr:rowOff>
    </xdr:from>
    <xdr:to>
      <xdr:col>45</xdr:col>
      <xdr:colOff>19801</xdr:colOff>
      <xdr:row>27</xdr:row>
      <xdr:rowOff>21751</xdr:rowOff>
    </xdr:to>
    <xdr:sp macro="" textlink="">
      <xdr:nvSpPr>
        <xdr:cNvPr id="245380" name="フリーフォーム: 図形 245379">
          <a:extLst>
            <a:ext uri="{FF2B5EF4-FFF2-40B4-BE49-F238E27FC236}">
              <a16:creationId xmlns:a16="http://schemas.microsoft.com/office/drawing/2014/main" id="{9416D725-B82B-49D5-BE3E-D989E5577ACA}"/>
            </a:ext>
          </a:extLst>
        </xdr:cNvPr>
        <xdr:cNvSpPr>
          <a:spLocks noChangeAspect="1"/>
        </xdr:cNvSpPr>
      </xdr:nvSpPr>
      <xdr:spPr>
        <a:xfrm>
          <a:off x="305927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27</xdr:row>
      <xdr:rowOff>75750</xdr:rowOff>
    </xdr:from>
    <xdr:to>
      <xdr:col>44</xdr:col>
      <xdr:colOff>525600</xdr:colOff>
      <xdr:row>32</xdr:row>
      <xdr:rowOff>136501</xdr:rowOff>
    </xdr:to>
    <xdr:sp macro="" textlink="">
      <xdr:nvSpPr>
        <xdr:cNvPr id="245381" name="フリーフォーム: 図形 245380">
          <a:extLst>
            <a:ext uri="{FF2B5EF4-FFF2-40B4-BE49-F238E27FC236}">
              <a16:creationId xmlns:a16="http://schemas.microsoft.com/office/drawing/2014/main" id="{FA0AD613-D7A9-4C90-868A-410A3838C192}"/>
            </a:ext>
          </a:extLst>
        </xdr:cNvPr>
        <xdr:cNvSpPr>
          <a:spLocks noChangeAspect="1"/>
        </xdr:cNvSpPr>
      </xdr:nvSpPr>
      <xdr:spPr>
        <a:xfrm>
          <a:off x="304128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32</xdr:row>
      <xdr:rowOff>64500</xdr:rowOff>
    </xdr:from>
    <xdr:to>
      <xdr:col>43</xdr:col>
      <xdr:colOff>455400</xdr:colOff>
      <xdr:row>33</xdr:row>
      <xdr:rowOff>37051</xdr:rowOff>
    </xdr:to>
    <xdr:sp macro="" textlink="">
      <xdr:nvSpPr>
        <xdr:cNvPr id="245382" name="フリーフォーム: 図形 245381">
          <a:extLst>
            <a:ext uri="{FF2B5EF4-FFF2-40B4-BE49-F238E27FC236}">
              <a16:creationId xmlns:a16="http://schemas.microsoft.com/office/drawing/2014/main" id="{9806C6EF-B998-431C-9CD9-C9D4666DAD1B}"/>
            </a:ext>
          </a:extLst>
        </xdr:cNvPr>
        <xdr:cNvSpPr>
          <a:spLocks noChangeAspect="1"/>
        </xdr:cNvSpPr>
      </xdr:nvSpPr>
      <xdr:spPr>
        <a:xfrm>
          <a:off x="294588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32</xdr:row>
      <xdr:rowOff>64500</xdr:rowOff>
    </xdr:from>
    <xdr:to>
      <xdr:col>44</xdr:col>
      <xdr:colOff>273600</xdr:colOff>
      <xdr:row>33</xdr:row>
      <xdr:rowOff>37051</xdr:rowOff>
    </xdr:to>
    <xdr:sp macro="" textlink="">
      <xdr:nvSpPr>
        <xdr:cNvPr id="245383" name="フリーフォーム: 図形 245382">
          <a:extLst>
            <a:ext uri="{FF2B5EF4-FFF2-40B4-BE49-F238E27FC236}">
              <a16:creationId xmlns:a16="http://schemas.microsoft.com/office/drawing/2014/main" id="{E955E2B2-AA2A-4DBF-8DDE-E9CB8681CA94}"/>
            </a:ext>
          </a:extLst>
        </xdr:cNvPr>
        <xdr:cNvSpPr>
          <a:spLocks noChangeAspect="1"/>
        </xdr:cNvSpPr>
      </xdr:nvSpPr>
      <xdr:spPr>
        <a:xfrm>
          <a:off x="299807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27</xdr:row>
      <xdr:rowOff>75750</xdr:rowOff>
    </xdr:from>
    <xdr:to>
      <xdr:col>43</xdr:col>
      <xdr:colOff>203403</xdr:colOff>
      <xdr:row>32</xdr:row>
      <xdr:rowOff>136501</xdr:rowOff>
    </xdr:to>
    <xdr:sp macro="" textlink="">
      <xdr:nvSpPr>
        <xdr:cNvPr id="245384" name="フリーフォーム: 図形 245383">
          <a:extLst>
            <a:ext uri="{FF2B5EF4-FFF2-40B4-BE49-F238E27FC236}">
              <a16:creationId xmlns:a16="http://schemas.microsoft.com/office/drawing/2014/main" id="{229332C1-EC0C-4E57-9F16-D725C88E9B04}"/>
            </a:ext>
          </a:extLst>
        </xdr:cNvPr>
        <xdr:cNvSpPr>
          <a:spLocks noChangeAspect="1"/>
        </xdr:cNvSpPr>
      </xdr:nvSpPr>
      <xdr:spPr>
        <a:xfrm>
          <a:off x="294048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21</xdr:row>
      <xdr:rowOff>114450</xdr:rowOff>
    </xdr:from>
    <xdr:to>
      <xdr:col>43</xdr:col>
      <xdr:colOff>347400</xdr:colOff>
      <xdr:row>27</xdr:row>
      <xdr:rowOff>21751</xdr:rowOff>
    </xdr:to>
    <xdr:sp macro="" textlink="">
      <xdr:nvSpPr>
        <xdr:cNvPr id="245385" name="フリーフォーム: 図形 245384">
          <a:extLst>
            <a:ext uri="{FF2B5EF4-FFF2-40B4-BE49-F238E27FC236}">
              <a16:creationId xmlns:a16="http://schemas.microsoft.com/office/drawing/2014/main" id="{116B57EF-739F-4AB6-8B46-3EB9FDAE6E3D}"/>
            </a:ext>
          </a:extLst>
        </xdr:cNvPr>
        <xdr:cNvSpPr>
          <a:spLocks noChangeAspect="1"/>
        </xdr:cNvSpPr>
      </xdr:nvSpPr>
      <xdr:spPr>
        <a:xfrm>
          <a:off x="295847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26</xdr:row>
      <xdr:rowOff>139200</xdr:rowOff>
    </xdr:from>
    <xdr:to>
      <xdr:col>43</xdr:col>
      <xdr:colOff>617402</xdr:colOff>
      <xdr:row>27</xdr:row>
      <xdr:rowOff>111751</xdr:rowOff>
    </xdr:to>
    <xdr:sp macro="" textlink="">
      <xdr:nvSpPr>
        <xdr:cNvPr id="245386" name="フリーフォーム: 図形 245385">
          <a:extLst>
            <a:ext uri="{FF2B5EF4-FFF2-40B4-BE49-F238E27FC236}">
              <a16:creationId xmlns:a16="http://schemas.microsoft.com/office/drawing/2014/main" id="{52C04FB8-70E4-4CCC-B8D9-A81C2141ACAF}"/>
            </a:ext>
          </a:extLst>
        </xdr:cNvPr>
        <xdr:cNvSpPr>
          <a:spLocks noChangeAspect="1"/>
        </xdr:cNvSpPr>
      </xdr:nvSpPr>
      <xdr:spPr>
        <a:xfrm>
          <a:off x="296568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26</xdr:row>
      <xdr:rowOff>139200</xdr:rowOff>
    </xdr:from>
    <xdr:to>
      <xdr:col>44</xdr:col>
      <xdr:colOff>435602</xdr:colOff>
      <xdr:row>27</xdr:row>
      <xdr:rowOff>111751</xdr:rowOff>
    </xdr:to>
    <xdr:sp macro="" textlink="">
      <xdr:nvSpPr>
        <xdr:cNvPr id="245387" name="フリーフォーム: 図形 245386">
          <a:extLst>
            <a:ext uri="{FF2B5EF4-FFF2-40B4-BE49-F238E27FC236}">
              <a16:creationId xmlns:a16="http://schemas.microsoft.com/office/drawing/2014/main" id="{B8B813DA-92DA-4B16-9FC6-FFF04772D0CC}"/>
            </a:ext>
          </a:extLst>
        </xdr:cNvPr>
        <xdr:cNvSpPr>
          <a:spLocks noChangeAspect="1"/>
        </xdr:cNvSpPr>
      </xdr:nvSpPr>
      <xdr:spPr>
        <a:xfrm>
          <a:off x="301608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22</xdr:row>
      <xdr:rowOff>51000</xdr:rowOff>
    </xdr:from>
    <xdr:to>
      <xdr:col>43</xdr:col>
      <xdr:colOff>635401</xdr:colOff>
      <xdr:row>27</xdr:row>
      <xdr:rowOff>3751</xdr:rowOff>
    </xdr:to>
    <xdr:sp macro="" textlink="">
      <xdr:nvSpPr>
        <xdr:cNvPr id="245388" name="フリーフォーム: 図形 245387">
          <a:extLst>
            <a:ext uri="{FF2B5EF4-FFF2-40B4-BE49-F238E27FC236}">
              <a16:creationId xmlns:a16="http://schemas.microsoft.com/office/drawing/2014/main" id="{7188F3E5-0876-4C7C-8C22-A2072BF1CF01}"/>
            </a:ext>
          </a:extLst>
        </xdr:cNvPr>
        <xdr:cNvSpPr>
          <a:spLocks noChangeAspect="1"/>
        </xdr:cNvSpPr>
      </xdr:nvSpPr>
      <xdr:spPr>
        <a:xfrm>
          <a:off x="298548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21</xdr:row>
      <xdr:rowOff>114450</xdr:rowOff>
    </xdr:from>
    <xdr:to>
      <xdr:col>44</xdr:col>
      <xdr:colOff>201601</xdr:colOff>
      <xdr:row>26</xdr:row>
      <xdr:rowOff>157201</xdr:rowOff>
    </xdr:to>
    <xdr:sp macro="" textlink="">
      <xdr:nvSpPr>
        <xdr:cNvPr id="245389" name="フリーフォーム: 図形 245388">
          <a:extLst>
            <a:ext uri="{FF2B5EF4-FFF2-40B4-BE49-F238E27FC236}">
              <a16:creationId xmlns:a16="http://schemas.microsoft.com/office/drawing/2014/main" id="{018E446D-C44A-4FE2-B470-DC410CB7A916}"/>
            </a:ext>
          </a:extLst>
        </xdr:cNvPr>
        <xdr:cNvSpPr>
          <a:spLocks noChangeAspect="1"/>
        </xdr:cNvSpPr>
      </xdr:nvSpPr>
      <xdr:spPr>
        <a:xfrm>
          <a:off x="301248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22</xdr:row>
      <xdr:rowOff>69000</xdr:rowOff>
    </xdr:from>
    <xdr:to>
      <xdr:col>44</xdr:col>
      <xdr:colOff>525600</xdr:colOff>
      <xdr:row>27</xdr:row>
      <xdr:rowOff>3751</xdr:rowOff>
    </xdr:to>
    <xdr:sp macro="" textlink="">
      <xdr:nvSpPr>
        <xdr:cNvPr id="245390" name="フリーフォーム: 図形 245389">
          <a:extLst>
            <a:ext uri="{FF2B5EF4-FFF2-40B4-BE49-F238E27FC236}">
              <a16:creationId xmlns:a16="http://schemas.microsoft.com/office/drawing/2014/main" id="{32A8FA71-74C0-431D-ACCC-17B2412E13C3}"/>
            </a:ext>
          </a:extLst>
        </xdr:cNvPr>
        <xdr:cNvSpPr>
          <a:spLocks noChangeAspect="1"/>
        </xdr:cNvSpPr>
      </xdr:nvSpPr>
      <xdr:spPr>
        <a:xfrm>
          <a:off x="301788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27</xdr:row>
      <xdr:rowOff>75750</xdr:rowOff>
    </xdr:from>
    <xdr:to>
      <xdr:col>44</xdr:col>
      <xdr:colOff>237602</xdr:colOff>
      <xdr:row>31</xdr:row>
      <xdr:rowOff>163951</xdr:rowOff>
    </xdr:to>
    <xdr:sp macro="" textlink="">
      <xdr:nvSpPr>
        <xdr:cNvPr id="245391" name="フリーフォーム: 図形 245390">
          <a:extLst>
            <a:ext uri="{FF2B5EF4-FFF2-40B4-BE49-F238E27FC236}">
              <a16:creationId xmlns:a16="http://schemas.microsoft.com/office/drawing/2014/main" id="{249C0BC6-628C-462D-BB72-ACB89C677686}"/>
            </a:ext>
          </a:extLst>
        </xdr:cNvPr>
        <xdr:cNvSpPr>
          <a:spLocks noChangeAspect="1"/>
        </xdr:cNvSpPr>
      </xdr:nvSpPr>
      <xdr:spPr>
        <a:xfrm>
          <a:off x="301427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27</xdr:row>
      <xdr:rowOff>93750</xdr:rowOff>
    </xdr:from>
    <xdr:to>
      <xdr:col>43</xdr:col>
      <xdr:colOff>653400</xdr:colOff>
      <xdr:row>32</xdr:row>
      <xdr:rowOff>118501</xdr:rowOff>
    </xdr:to>
    <xdr:sp macro="" textlink="">
      <xdr:nvSpPr>
        <xdr:cNvPr id="245392" name="フリーフォーム: 図形 245391">
          <a:extLst>
            <a:ext uri="{FF2B5EF4-FFF2-40B4-BE49-F238E27FC236}">
              <a16:creationId xmlns:a16="http://schemas.microsoft.com/office/drawing/2014/main" id="{CBCAA54B-2BE9-4D23-A568-169CABDFBD39}"/>
            </a:ext>
          </a:extLst>
        </xdr:cNvPr>
        <xdr:cNvSpPr>
          <a:spLocks noChangeAspect="1"/>
        </xdr:cNvSpPr>
      </xdr:nvSpPr>
      <xdr:spPr>
        <a:xfrm>
          <a:off x="299088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27</xdr:row>
      <xdr:rowOff>75750</xdr:rowOff>
    </xdr:from>
    <xdr:to>
      <xdr:col>43</xdr:col>
      <xdr:colOff>617402</xdr:colOff>
      <xdr:row>32</xdr:row>
      <xdr:rowOff>10501</xdr:rowOff>
    </xdr:to>
    <xdr:sp macro="" textlink="">
      <xdr:nvSpPr>
        <xdr:cNvPr id="245393" name="フリーフォーム: 図形 245392">
          <a:extLst>
            <a:ext uri="{FF2B5EF4-FFF2-40B4-BE49-F238E27FC236}">
              <a16:creationId xmlns:a16="http://schemas.microsoft.com/office/drawing/2014/main" id="{35990321-6032-4258-A469-CA6B59C28E7A}"/>
            </a:ext>
          </a:extLst>
        </xdr:cNvPr>
        <xdr:cNvSpPr>
          <a:spLocks noChangeAspect="1"/>
        </xdr:cNvSpPr>
      </xdr:nvSpPr>
      <xdr:spPr>
        <a:xfrm>
          <a:off x="295847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21</xdr:row>
      <xdr:rowOff>42450</xdr:rowOff>
    </xdr:from>
    <xdr:to>
      <xdr:col>46</xdr:col>
      <xdr:colOff>550801</xdr:colOff>
      <xdr:row>22</xdr:row>
      <xdr:rowOff>15001</xdr:rowOff>
    </xdr:to>
    <xdr:sp macro="" textlink="">
      <xdr:nvSpPr>
        <xdr:cNvPr id="245394" name="フリーフォーム: 図形 245393">
          <a:extLst>
            <a:ext uri="{FF2B5EF4-FFF2-40B4-BE49-F238E27FC236}">
              <a16:creationId xmlns:a16="http://schemas.microsoft.com/office/drawing/2014/main" id="{5E563557-A210-415A-A969-7C414E54183F}"/>
            </a:ext>
          </a:extLst>
        </xdr:cNvPr>
        <xdr:cNvSpPr>
          <a:spLocks noChangeAspect="1"/>
        </xdr:cNvSpPr>
      </xdr:nvSpPr>
      <xdr:spPr>
        <a:xfrm>
          <a:off x="316296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21</xdr:row>
      <xdr:rowOff>42450</xdr:rowOff>
    </xdr:from>
    <xdr:to>
      <xdr:col>47</xdr:col>
      <xdr:colOff>405000</xdr:colOff>
      <xdr:row>22</xdr:row>
      <xdr:rowOff>15001</xdr:rowOff>
    </xdr:to>
    <xdr:sp macro="" textlink="">
      <xdr:nvSpPr>
        <xdr:cNvPr id="245395" name="フリーフォーム: 図形 245394">
          <a:extLst>
            <a:ext uri="{FF2B5EF4-FFF2-40B4-BE49-F238E27FC236}">
              <a16:creationId xmlns:a16="http://schemas.microsoft.com/office/drawing/2014/main" id="{E55C49C9-FE6C-4029-B84F-BF23E278903A}"/>
            </a:ext>
          </a:extLst>
        </xdr:cNvPr>
        <xdr:cNvSpPr>
          <a:spLocks noChangeAspect="1"/>
        </xdr:cNvSpPr>
      </xdr:nvSpPr>
      <xdr:spPr>
        <a:xfrm>
          <a:off x="321695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21</xdr:row>
      <xdr:rowOff>114450</xdr:rowOff>
    </xdr:from>
    <xdr:to>
      <xdr:col>47</xdr:col>
      <xdr:colOff>477001</xdr:colOff>
      <xdr:row>27</xdr:row>
      <xdr:rowOff>21751</xdr:rowOff>
    </xdr:to>
    <xdr:sp macro="" textlink="">
      <xdr:nvSpPr>
        <xdr:cNvPr id="245396" name="フリーフォーム: 図形 245395">
          <a:extLst>
            <a:ext uri="{FF2B5EF4-FFF2-40B4-BE49-F238E27FC236}">
              <a16:creationId xmlns:a16="http://schemas.microsoft.com/office/drawing/2014/main" id="{679E152F-3322-4765-9FDE-E85901336F43}"/>
            </a:ext>
          </a:extLst>
        </xdr:cNvPr>
        <xdr:cNvSpPr>
          <a:spLocks noChangeAspect="1"/>
        </xdr:cNvSpPr>
      </xdr:nvSpPr>
      <xdr:spPr>
        <a:xfrm>
          <a:off x="324215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27</xdr:row>
      <xdr:rowOff>75750</xdr:rowOff>
    </xdr:from>
    <xdr:to>
      <xdr:col>47</xdr:col>
      <xdr:colOff>297000</xdr:colOff>
      <xdr:row>32</xdr:row>
      <xdr:rowOff>136501</xdr:rowOff>
    </xdr:to>
    <xdr:sp macro="" textlink="">
      <xdr:nvSpPr>
        <xdr:cNvPr id="245397" name="フリーフォーム: 図形 245396">
          <a:extLst>
            <a:ext uri="{FF2B5EF4-FFF2-40B4-BE49-F238E27FC236}">
              <a16:creationId xmlns:a16="http://schemas.microsoft.com/office/drawing/2014/main" id="{E4B040EB-E378-4C13-ACE8-466B6A2B359B}"/>
            </a:ext>
          </a:extLst>
        </xdr:cNvPr>
        <xdr:cNvSpPr>
          <a:spLocks noChangeAspect="1"/>
        </xdr:cNvSpPr>
      </xdr:nvSpPr>
      <xdr:spPr>
        <a:xfrm>
          <a:off x="322416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32</xdr:row>
      <xdr:rowOff>64500</xdr:rowOff>
    </xdr:from>
    <xdr:to>
      <xdr:col>46</xdr:col>
      <xdr:colOff>226800</xdr:colOff>
      <xdr:row>33</xdr:row>
      <xdr:rowOff>37051</xdr:rowOff>
    </xdr:to>
    <xdr:sp macro="" textlink="">
      <xdr:nvSpPr>
        <xdr:cNvPr id="245398" name="フリーフォーム: 図形 245397">
          <a:extLst>
            <a:ext uri="{FF2B5EF4-FFF2-40B4-BE49-F238E27FC236}">
              <a16:creationId xmlns:a16="http://schemas.microsoft.com/office/drawing/2014/main" id="{5BDB448A-8584-4D7F-B9D8-17C8F70A7396}"/>
            </a:ext>
          </a:extLst>
        </xdr:cNvPr>
        <xdr:cNvSpPr>
          <a:spLocks noChangeAspect="1"/>
        </xdr:cNvSpPr>
      </xdr:nvSpPr>
      <xdr:spPr>
        <a:xfrm>
          <a:off x="312876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32</xdr:row>
      <xdr:rowOff>64500</xdr:rowOff>
    </xdr:from>
    <xdr:to>
      <xdr:col>47</xdr:col>
      <xdr:colOff>45000</xdr:colOff>
      <xdr:row>33</xdr:row>
      <xdr:rowOff>37051</xdr:rowOff>
    </xdr:to>
    <xdr:sp macro="" textlink="">
      <xdr:nvSpPr>
        <xdr:cNvPr id="245399" name="フリーフォーム: 図形 245398">
          <a:extLst>
            <a:ext uri="{FF2B5EF4-FFF2-40B4-BE49-F238E27FC236}">
              <a16:creationId xmlns:a16="http://schemas.microsoft.com/office/drawing/2014/main" id="{9C15F041-0846-464B-B8D6-6592E861ABFD}"/>
            </a:ext>
          </a:extLst>
        </xdr:cNvPr>
        <xdr:cNvSpPr>
          <a:spLocks noChangeAspect="1"/>
        </xdr:cNvSpPr>
      </xdr:nvSpPr>
      <xdr:spPr>
        <a:xfrm>
          <a:off x="318095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27</xdr:row>
      <xdr:rowOff>75750</xdr:rowOff>
    </xdr:from>
    <xdr:to>
      <xdr:col>45</xdr:col>
      <xdr:colOff>660603</xdr:colOff>
      <xdr:row>32</xdr:row>
      <xdr:rowOff>136501</xdr:rowOff>
    </xdr:to>
    <xdr:sp macro="" textlink="">
      <xdr:nvSpPr>
        <xdr:cNvPr id="245400" name="フリーフォーム: 図形 245399">
          <a:extLst>
            <a:ext uri="{FF2B5EF4-FFF2-40B4-BE49-F238E27FC236}">
              <a16:creationId xmlns:a16="http://schemas.microsoft.com/office/drawing/2014/main" id="{C9B13365-D008-4B13-9BEB-ED260AD45E21}"/>
            </a:ext>
          </a:extLst>
        </xdr:cNvPr>
        <xdr:cNvSpPr>
          <a:spLocks noChangeAspect="1"/>
        </xdr:cNvSpPr>
      </xdr:nvSpPr>
      <xdr:spPr>
        <a:xfrm>
          <a:off x="312336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21</xdr:row>
      <xdr:rowOff>114450</xdr:rowOff>
    </xdr:from>
    <xdr:to>
      <xdr:col>46</xdr:col>
      <xdr:colOff>118800</xdr:colOff>
      <xdr:row>27</xdr:row>
      <xdr:rowOff>21751</xdr:rowOff>
    </xdr:to>
    <xdr:sp macro="" textlink="">
      <xdr:nvSpPr>
        <xdr:cNvPr id="245401" name="フリーフォーム: 図形 245400">
          <a:extLst>
            <a:ext uri="{FF2B5EF4-FFF2-40B4-BE49-F238E27FC236}">
              <a16:creationId xmlns:a16="http://schemas.microsoft.com/office/drawing/2014/main" id="{9010BB4F-49E8-4EBF-979D-75D8327725EA}"/>
            </a:ext>
          </a:extLst>
        </xdr:cNvPr>
        <xdr:cNvSpPr>
          <a:spLocks noChangeAspect="1"/>
        </xdr:cNvSpPr>
      </xdr:nvSpPr>
      <xdr:spPr>
        <a:xfrm>
          <a:off x="314135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26</xdr:row>
      <xdr:rowOff>139200</xdr:rowOff>
    </xdr:from>
    <xdr:to>
      <xdr:col>46</xdr:col>
      <xdr:colOff>388802</xdr:colOff>
      <xdr:row>27</xdr:row>
      <xdr:rowOff>111751</xdr:rowOff>
    </xdr:to>
    <xdr:sp macro="" textlink="">
      <xdr:nvSpPr>
        <xdr:cNvPr id="245402" name="フリーフォーム: 図形 245401">
          <a:extLst>
            <a:ext uri="{FF2B5EF4-FFF2-40B4-BE49-F238E27FC236}">
              <a16:creationId xmlns:a16="http://schemas.microsoft.com/office/drawing/2014/main" id="{6C9953F3-B8E3-485F-8F43-1F6DB36CFE84}"/>
            </a:ext>
          </a:extLst>
        </xdr:cNvPr>
        <xdr:cNvSpPr>
          <a:spLocks noChangeAspect="1"/>
        </xdr:cNvSpPr>
      </xdr:nvSpPr>
      <xdr:spPr>
        <a:xfrm>
          <a:off x="314856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26</xdr:row>
      <xdr:rowOff>139200</xdr:rowOff>
    </xdr:from>
    <xdr:to>
      <xdr:col>47</xdr:col>
      <xdr:colOff>207002</xdr:colOff>
      <xdr:row>27</xdr:row>
      <xdr:rowOff>111751</xdr:rowOff>
    </xdr:to>
    <xdr:sp macro="" textlink="">
      <xdr:nvSpPr>
        <xdr:cNvPr id="245403" name="フリーフォーム: 図形 245402">
          <a:extLst>
            <a:ext uri="{FF2B5EF4-FFF2-40B4-BE49-F238E27FC236}">
              <a16:creationId xmlns:a16="http://schemas.microsoft.com/office/drawing/2014/main" id="{9559CCCE-FDD3-4E64-BB9D-B146D19E20BE}"/>
            </a:ext>
          </a:extLst>
        </xdr:cNvPr>
        <xdr:cNvSpPr>
          <a:spLocks noChangeAspect="1"/>
        </xdr:cNvSpPr>
      </xdr:nvSpPr>
      <xdr:spPr>
        <a:xfrm>
          <a:off x="319896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22</xdr:row>
      <xdr:rowOff>51000</xdr:rowOff>
    </xdr:from>
    <xdr:to>
      <xdr:col>46</xdr:col>
      <xdr:colOff>406801</xdr:colOff>
      <xdr:row>27</xdr:row>
      <xdr:rowOff>3751</xdr:rowOff>
    </xdr:to>
    <xdr:sp macro="" textlink="">
      <xdr:nvSpPr>
        <xdr:cNvPr id="245404" name="フリーフォーム: 図形 245403">
          <a:extLst>
            <a:ext uri="{FF2B5EF4-FFF2-40B4-BE49-F238E27FC236}">
              <a16:creationId xmlns:a16="http://schemas.microsoft.com/office/drawing/2014/main" id="{D4BAB582-CAD5-47CD-94C1-5830C0BC8C6D}"/>
            </a:ext>
          </a:extLst>
        </xdr:cNvPr>
        <xdr:cNvSpPr>
          <a:spLocks noChangeAspect="1"/>
        </xdr:cNvSpPr>
      </xdr:nvSpPr>
      <xdr:spPr>
        <a:xfrm>
          <a:off x="316836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21</xdr:row>
      <xdr:rowOff>114450</xdr:rowOff>
    </xdr:from>
    <xdr:to>
      <xdr:col>46</xdr:col>
      <xdr:colOff>658801</xdr:colOff>
      <xdr:row>26</xdr:row>
      <xdr:rowOff>157201</xdr:rowOff>
    </xdr:to>
    <xdr:sp macro="" textlink="">
      <xdr:nvSpPr>
        <xdr:cNvPr id="245405" name="フリーフォーム: 図形 245404">
          <a:extLst>
            <a:ext uri="{FF2B5EF4-FFF2-40B4-BE49-F238E27FC236}">
              <a16:creationId xmlns:a16="http://schemas.microsoft.com/office/drawing/2014/main" id="{656BAD23-8833-4890-B35E-3131F9B41A67}"/>
            </a:ext>
          </a:extLst>
        </xdr:cNvPr>
        <xdr:cNvSpPr>
          <a:spLocks noChangeAspect="1"/>
        </xdr:cNvSpPr>
      </xdr:nvSpPr>
      <xdr:spPr>
        <a:xfrm>
          <a:off x="319536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22</xdr:row>
      <xdr:rowOff>69000</xdr:rowOff>
    </xdr:from>
    <xdr:to>
      <xdr:col>47</xdr:col>
      <xdr:colOff>297000</xdr:colOff>
      <xdr:row>27</xdr:row>
      <xdr:rowOff>3751</xdr:rowOff>
    </xdr:to>
    <xdr:sp macro="" textlink="">
      <xdr:nvSpPr>
        <xdr:cNvPr id="245406" name="フリーフォーム: 図形 245405">
          <a:extLst>
            <a:ext uri="{FF2B5EF4-FFF2-40B4-BE49-F238E27FC236}">
              <a16:creationId xmlns:a16="http://schemas.microsoft.com/office/drawing/2014/main" id="{9504F9C7-1028-45D4-9843-4AAB4883DCD5}"/>
            </a:ext>
          </a:extLst>
        </xdr:cNvPr>
        <xdr:cNvSpPr>
          <a:spLocks noChangeAspect="1"/>
        </xdr:cNvSpPr>
      </xdr:nvSpPr>
      <xdr:spPr>
        <a:xfrm>
          <a:off x="320076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27</xdr:row>
      <xdr:rowOff>75750</xdr:rowOff>
    </xdr:from>
    <xdr:to>
      <xdr:col>47</xdr:col>
      <xdr:colOff>9002</xdr:colOff>
      <xdr:row>31</xdr:row>
      <xdr:rowOff>163951</xdr:rowOff>
    </xdr:to>
    <xdr:sp macro="" textlink="">
      <xdr:nvSpPr>
        <xdr:cNvPr id="245407" name="フリーフォーム: 図形 245406">
          <a:extLst>
            <a:ext uri="{FF2B5EF4-FFF2-40B4-BE49-F238E27FC236}">
              <a16:creationId xmlns:a16="http://schemas.microsoft.com/office/drawing/2014/main" id="{B071BD32-880E-411D-8323-E269E5E70A53}"/>
            </a:ext>
          </a:extLst>
        </xdr:cNvPr>
        <xdr:cNvSpPr>
          <a:spLocks noChangeAspect="1"/>
        </xdr:cNvSpPr>
      </xdr:nvSpPr>
      <xdr:spPr>
        <a:xfrm>
          <a:off x="319715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27</xdr:row>
      <xdr:rowOff>93750</xdr:rowOff>
    </xdr:from>
    <xdr:to>
      <xdr:col>46</xdr:col>
      <xdr:colOff>424800</xdr:colOff>
      <xdr:row>32</xdr:row>
      <xdr:rowOff>118501</xdr:rowOff>
    </xdr:to>
    <xdr:sp macro="" textlink="">
      <xdr:nvSpPr>
        <xdr:cNvPr id="245408" name="フリーフォーム: 図形 245407">
          <a:extLst>
            <a:ext uri="{FF2B5EF4-FFF2-40B4-BE49-F238E27FC236}">
              <a16:creationId xmlns:a16="http://schemas.microsoft.com/office/drawing/2014/main" id="{8740B0DF-5320-453B-A638-4A2DF8A73CC3}"/>
            </a:ext>
          </a:extLst>
        </xdr:cNvPr>
        <xdr:cNvSpPr>
          <a:spLocks noChangeAspect="1"/>
        </xdr:cNvSpPr>
      </xdr:nvSpPr>
      <xdr:spPr>
        <a:xfrm>
          <a:off x="317376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27</xdr:row>
      <xdr:rowOff>75750</xdr:rowOff>
    </xdr:from>
    <xdr:to>
      <xdr:col>46</xdr:col>
      <xdr:colOff>388802</xdr:colOff>
      <xdr:row>32</xdr:row>
      <xdr:rowOff>10501</xdr:rowOff>
    </xdr:to>
    <xdr:sp macro="" textlink="">
      <xdr:nvSpPr>
        <xdr:cNvPr id="245409" name="フリーフォーム: 図形 245408">
          <a:extLst>
            <a:ext uri="{FF2B5EF4-FFF2-40B4-BE49-F238E27FC236}">
              <a16:creationId xmlns:a16="http://schemas.microsoft.com/office/drawing/2014/main" id="{739A725F-4AB2-49EF-B61D-3BB2BAA1C7AE}"/>
            </a:ext>
          </a:extLst>
        </xdr:cNvPr>
        <xdr:cNvSpPr>
          <a:spLocks noChangeAspect="1"/>
        </xdr:cNvSpPr>
      </xdr:nvSpPr>
      <xdr:spPr>
        <a:xfrm>
          <a:off x="314135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21</xdr:row>
      <xdr:rowOff>42450</xdr:rowOff>
    </xdr:from>
    <xdr:to>
      <xdr:col>49</xdr:col>
      <xdr:colOff>322201</xdr:colOff>
      <xdr:row>22</xdr:row>
      <xdr:rowOff>15001</xdr:rowOff>
    </xdr:to>
    <xdr:sp macro="" textlink="">
      <xdr:nvSpPr>
        <xdr:cNvPr id="245410" name="フリーフォーム: 図形 245409">
          <a:extLst>
            <a:ext uri="{FF2B5EF4-FFF2-40B4-BE49-F238E27FC236}">
              <a16:creationId xmlns:a16="http://schemas.microsoft.com/office/drawing/2014/main" id="{B658039C-201A-4703-9C17-EB46B96BACA2}"/>
            </a:ext>
          </a:extLst>
        </xdr:cNvPr>
        <xdr:cNvSpPr>
          <a:spLocks noChangeAspect="1"/>
        </xdr:cNvSpPr>
      </xdr:nvSpPr>
      <xdr:spPr>
        <a:xfrm>
          <a:off x="334584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21</xdr:row>
      <xdr:rowOff>42450</xdr:rowOff>
    </xdr:from>
    <xdr:to>
      <xdr:col>50</xdr:col>
      <xdr:colOff>176400</xdr:colOff>
      <xdr:row>22</xdr:row>
      <xdr:rowOff>15001</xdr:rowOff>
    </xdr:to>
    <xdr:sp macro="" textlink="">
      <xdr:nvSpPr>
        <xdr:cNvPr id="245411" name="フリーフォーム: 図形 245410">
          <a:extLst>
            <a:ext uri="{FF2B5EF4-FFF2-40B4-BE49-F238E27FC236}">
              <a16:creationId xmlns:a16="http://schemas.microsoft.com/office/drawing/2014/main" id="{C17F29ED-115A-4410-981F-DA800132C307}"/>
            </a:ext>
          </a:extLst>
        </xdr:cNvPr>
        <xdr:cNvSpPr>
          <a:spLocks noChangeAspect="1"/>
        </xdr:cNvSpPr>
      </xdr:nvSpPr>
      <xdr:spPr>
        <a:xfrm>
          <a:off x="339983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21</xdr:row>
      <xdr:rowOff>114450</xdr:rowOff>
    </xdr:from>
    <xdr:to>
      <xdr:col>50</xdr:col>
      <xdr:colOff>248401</xdr:colOff>
      <xdr:row>27</xdr:row>
      <xdr:rowOff>21751</xdr:rowOff>
    </xdr:to>
    <xdr:sp macro="" textlink="">
      <xdr:nvSpPr>
        <xdr:cNvPr id="245412" name="フリーフォーム: 図形 245411">
          <a:extLst>
            <a:ext uri="{FF2B5EF4-FFF2-40B4-BE49-F238E27FC236}">
              <a16:creationId xmlns:a16="http://schemas.microsoft.com/office/drawing/2014/main" id="{1EF71CFC-1F19-4092-B829-39DEE4FA8C75}"/>
            </a:ext>
          </a:extLst>
        </xdr:cNvPr>
        <xdr:cNvSpPr>
          <a:spLocks noChangeAspect="1"/>
        </xdr:cNvSpPr>
      </xdr:nvSpPr>
      <xdr:spPr>
        <a:xfrm>
          <a:off x="342503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27</xdr:row>
      <xdr:rowOff>75750</xdr:rowOff>
    </xdr:from>
    <xdr:to>
      <xdr:col>50</xdr:col>
      <xdr:colOff>68400</xdr:colOff>
      <xdr:row>32</xdr:row>
      <xdr:rowOff>136501</xdr:rowOff>
    </xdr:to>
    <xdr:sp macro="" textlink="">
      <xdr:nvSpPr>
        <xdr:cNvPr id="245413" name="フリーフォーム: 図形 245412">
          <a:extLst>
            <a:ext uri="{FF2B5EF4-FFF2-40B4-BE49-F238E27FC236}">
              <a16:creationId xmlns:a16="http://schemas.microsoft.com/office/drawing/2014/main" id="{9AA58B17-B30B-4B26-9CD9-D16B6CA4AB30}"/>
            </a:ext>
          </a:extLst>
        </xdr:cNvPr>
        <xdr:cNvSpPr>
          <a:spLocks noChangeAspect="1"/>
        </xdr:cNvSpPr>
      </xdr:nvSpPr>
      <xdr:spPr>
        <a:xfrm>
          <a:off x="340704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32</xdr:row>
      <xdr:rowOff>64500</xdr:rowOff>
    </xdr:from>
    <xdr:to>
      <xdr:col>48</xdr:col>
      <xdr:colOff>684000</xdr:colOff>
      <xdr:row>33</xdr:row>
      <xdr:rowOff>37051</xdr:rowOff>
    </xdr:to>
    <xdr:sp macro="" textlink="">
      <xdr:nvSpPr>
        <xdr:cNvPr id="245414" name="フリーフォーム: 図形 245413">
          <a:extLst>
            <a:ext uri="{FF2B5EF4-FFF2-40B4-BE49-F238E27FC236}">
              <a16:creationId xmlns:a16="http://schemas.microsoft.com/office/drawing/2014/main" id="{4717B24F-E0ED-4A41-A506-260DBFC0A7CB}"/>
            </a:ext>
          </a:extLst>
        </xdr:cNvPr>
        <xdr:cNvSpPr>
          <a:spLocks noChangeAspect="1"/>
        </xdr:cNvSpPr>
      </xdr:nvSpPr>
      <xdr:spPr>
        <a:xfrm>
          <a:off x="331164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32</xdr:row>
      <xdr:rowOff>64500</xdr:rowOff>
    </xdr:from>
    <xdr:to>
      <xdr:col>49</xdr:col>
      <xdr:colOff>502200</xdr:colOff>
      <xdr:row>33</xdr:row>
      <xdr:rowOff>37051</xdr:rowOff>
    </xdr:to>
    <xdr:sp macro="" textlink="">
      <xdr:nvSpPr>
        <xdr:cNvPr id="245415" name="フリーフォーム: 図形 245414">
          <a:extLst>
            <a:ext uri="{FF2B5EF4-FFF2-40B4-BE49-F238E27FC236}">
              <a16:creationId xmlns:a16="http://schemas.microsoft.com/office/drawing/2014/main" id="{C374146B-E75C-4B7D-9647-5C352711CD5D}"/>
            </a:ext>
          </a:extLst>
        </xdr:cNvPr>
        <xdr:cNvSpPr>
          <a:spLocks noChangeAspect="1"/>
        </xdr:cNvSpPr>
      </xdr:nvSpPr>
      <xdr:spPr>
        <a:xfrm>
          <a:off x="336383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27</xdr:row>
      <xdr:rowOff>75750</xdr:rowOff>
    </xdr:from>
    <xdr:to>
      <xdr:col>48</xdr:col>
      <xdr:colOff>432003</xdr:colOff>
      <xdr:row>32</xdr:row>
      <xdr:rowOff>136501</xdr:rowOff>
    </xdr:to>
    <xdr:sp macro="" textlink="">
      <xdr:nvSpPr>
        <xdr:cNvPr id="245416" name="フリーフォーム: 図形 245415">
          <a:extLst>
            <a:ext uri="{FF2B5EF4-FFF2-40B4-BE49-F238E27FC236}">
              <a16:creationId xmlns:a16="http://schemas.microsoft.com/office/drawing/2014/main" id="{1C0AF853-AD40-492C-BD15-2ED260FDCE30}"/>
            </a:ext>
          </a:extLst>
        </xdr:cNvPr>
        <xdr:cNvSpPr>
          <a:spLocks noChangeAspect="1"/>
        </xdr:cNvSpPr>
      </xdr:nvSpPr>
      <xdr:spPr>
        <a:xfrm>
          <a:off x="330624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21</xdr:row>
      <xdr:rowOff>114450</xdr:rowOff>
    </xdr:from>
    <xdr:to>
      <xdr:col>48</xdr:col>
      <xdr:colOff>576000</xdr:colOff>
      <xdr:row>27</xdr:row>
      <xdr:rowOff>21751</xdr:rowOff>
    </xdr:to>
    <xdr:sp macro="" textlink="">
      <xdr:nvSpPr>
        <xdr:cNvPr id="245417" name="フリーフォーム: 図形 245416">
          <a:extLst>
            <a:ext uri="{FF2B5EF4-FFF2-40B4-BE49-F238E27FC236}">
              <a16:creationId xmlns:a16="http://schemas.microsoft.com/office/drawing/2014/main" id="{C8B12550-C03F-491A-858E-AD253C801AEA}"/>
            </a:ext>
          </a:extLst>
        </xdr:cNvPr>
        <xdr:cNvSpPr>
          <a:spLocks noChangeAspect="1"/>
        </xdr:cNvSpPr>
      </xdr:nvSpPr>
      <xdr:spPr>
        <a:xfrm>
          <a:off x="332423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26</xdr:row>
      <xdr:rowOff>139200</xdr:rowOff>
    </xdr:from>
    <xdr:to>
      <xdr:col>49</xdr:col>
      <xdr:colOff>160202</xdr:colOff>
      <xdr:row>27</xdr:row>
      <xdr:rowOff>111751</xdr:rowOff>
    </xdr:to>
    <xdr:sp macro="" textlink="">
      <xdr:nvSpPr>
        <xdr:cNvPr id="245418" name="フリーフォーム: 図形 245417">
          <a:extLst>
            <a:ext uri="{FF2B5EF4-FFF2-40B4-BE49-F238E27FC236}">
              <a16:creationId xmlns:a16="http://schemas.microsoft.com/office/drawing/2014/main" id="{0700DA21-4044-4242-8A04-A4726040B792}"/>
            </a:ext>
          </a:extLst>
        </xdr:cNvPr>
        <xdr:cNvSpPr>
          <a:spLocks noChangeAspect="1"/>
        </xdr:cNvSpPr>
      </xdr:nvSpPr>
      <xdr:spPr>
        <a:xfrm>
          <a:off x="333144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26</xdr:row>
      <xdr:rowOff>139200</xdr:rowOff>
    </xdr:from>
    <xdr:to>
      <xdr:col>49</xdr:col>
      <xdr:colOff>664202</xdr:colOff>
      <xdr:row>27</xdr:row>
      <xdr:rowOff>111751</xdr:rowOff>
    </xdr:to>
    <xdr:sp macro="" textlink="">
      <xdr:nvSpPr>
        <xdr:cNvPr id="245419" name="フリーフォーム: 図形 245418">
          <a:extLst>
            <a:ext uri="{FF2B5EF4-FFF2-40B4-BE49-F238E27FC236}">
              <a16:creationId xmlns:a16="http://schemas.microsoft.com/office/drawing/2014/main" id="{58A33CA7-1A56-45B4-9BB4-EF216B6DDAC4}"/>
            </a:ext>
          </a:extLst>
        </xdr:cNvPr>
        <xdr:cNvSpPr>
          <a:spLocks noChangeAspect="1"/>
        </xdr:cNvSpPr>
      </xdr:nvSpPr>
      <xdr:spPr>
        <a:xfrm>
          <a:off x="338184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22</xdr:row>
      <xdr:rowOff>51000</xdr:rowOff>
    </xdr:from>
    <xdr:to>
      <xdr:col>49</xdr:col>
      <xdr:colOff>178201</xdr:colOff>
      <xdr:row>27</xdr:row>
      <xdr:rowOff>3751</xdr:rowOff>
    </xdr:to>
    <xdr:sp macro="" textlink="">
      <xdr:nvSpPr>
        <xdr:cNvPr id="245420" name="フリーフォーム: 図形 245419">
          <a:extLst>
            <a:ext uri="{FF2B5EF4-FFF2-40B4-BE49-F238E27FC236}">
              <a16:creationId xmlns:a16="http://schemas.microsoft.com/office/drawing/2014/main" id="{A90A7C32-E02B-4D92-9224-74FEF4FFBA4E}"/>
            </a:ext>
          </a:extLst>
        </xdr:cNvPr>
        <xdr:cNvSpPr>
          <a:spLocks noChangeAspect="1"/>
        </xdr:cNvSpPr>
      </xdr:nvSpPr>
      <xdr:spPr>
        <a:xfrm>
          <a:off x="335124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21</xdr:row>
      <xdr:rowOff>114450</xdr:rowOff>
    </xdr:from>
    <xdr:to>
      <xdr:col>49</xdr:col>
      <xdr:colOff>430201</xdr:colOff>
      <xdr:row>26</xdr:row>
      <xdr:rowOff>157201</xdr:rowOff>
    </xdr:to>
    <xdr:sp macro="" textlink="">
      <xdr:nvSpPr>
        <xdr:cNvPr id="245421" name="フリーフォーム: 図形 245420">
          <a:extLst>
            <a:ext uri="{FF2B5EF4-FFF2-40B4-BE49-F238E27FC236}">
              <a16:creationId xmlns:a16="http://schemas.microsoft.com/office/drawing/2014/main" id="{12CA652F-CF81-4D71-9D90-404BF46D9485}"/>
            </a:ext>
          </a:extLst>
        </xdr:cNvPr>
        <xdr:cNvSpPr>
          <a:spLocks noChangeAspect="1"/>
        </xdr:cNvSpPr>
      </xdr:nvSpPr>
      <xdr:spPr>
        <a:xfrm>
          <a:off x="337824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22</xdr:row>
      <xdr:rowOff>69000</xdr:rowOff>
    </xdr:from>
    <xdr:to>
      <xdr:col>50</xdr:col>
      <xdr:colOff>68400</xdr:colOff>
      <xdr:row>27</xdr:row>
      <xdr:rowOff>3751</xdr:rowOff>
    </xdr:to>
    <xdr:sp macro="" textlink="">
      <xdr:nvSpPr>
        <xdr:cNvPr id="245422" name="フリーフォーム: 図形 245421">
          <a:extLst>
            <a:ext uri="{FF2B5EF4-FFF2-40B4-BE49-F238E27FC236}">
              <a16:creationId xmlns:a16="http://schemas.microsoft.com/office/drawing/2014/main" id="{A121C11E-3EE9-4F61-969B-DCEA1902180D}"/>
            </a:ext>
          </a:extLst>
        </xdr:cNvPr>
        <xdr:cNvSpPr>
          <a:spLocks noChangeAspect="1"/>
        </xdr:cNvSpPr>
      </xdr:nvSpPr>
      <xdr:spPr>
        <a:xfrm>
          <a:off x="338364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27</xdr:row>
      <xdr:rowOff>75750</xdr:rowOff>
    </xdr:from>
    <xdr:to>
      <xdr:col>49</xdr:col>
      <xdr:colOff>466202</xdr:colOff>
      <xdr:row>31</xdr:row>
      <xdr:rowOff>163951</xdr:rowOff>
    </xdr:to>
    <xdr:sp macro="" textlink="">
      <xdr:nvSpPr>
        <xdr:cNvPr id="245423" name="フリーフォーム: 図形 245422">
          <a:extLst>
            <a:ext uri="{FF2B5EF4-FFF2-40B4-BE49-F238E27FC236}">
              <a16:creationId xmlns:a16="http://schemas.microsoft.com/office/drawing/2014/main" id="{E6A606A8-71C9-45D3-900E-B3AD3BFD456F}"/>
            </a:ext>
          </a:extLst>
        </xdr:cNvPr>
        <xdr:cNvSpPr>
          <a:spLocks noChangeAspect="1"/>
        </xdr:cNvSpPr>
      </xdr:nvSpPr>
      <xdr:spPr>
        <a:xfrm>
          <a:off x="338003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27</xdr:row>
      <xdr:rowOff>93750</xdr:rowOff>
    </xdr:from>
    <xdr:to>
      <xdr:col>49</xdr:col>
      <xdr:colOff>196200</xdr:colOff>
      <xdr:row>32</xdr:row>
      <xdr:rowOff>118501</xdr:rowOff>
    </xdr:to>
    <xdr:sp macro="" textlink="">
      <xdr:nvSpPr>
        <xdr:cNvPr id="245424" name="フリーフォーム: 図形 245423">
          <a:extLst>
            <a:ext uri="{FF2B5EF4-FFF2-40B4-BE49-F238E27FC236}">
              <a16:creationId xmlns:a16="http://schemas.microsoft.com/office/drawing/2014/main" id="{F9FA519A-D9F7-4A4C-A72A-B6DDBD6A55E8}"/>
            </a:ext>
          </a:extLst>
        </xdr:cNvPr>
        <xdr:cNvSpPr>
          <a:spLocks noChangeAspect="1"/>
        </xdr:cNvSpPr>
      </xdr:nvSpPr>
      <xdr:spPr>
        <a:xfrm>
          <a:off x="335664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27</xdr:row>
      <xdr:rowOff>75750</xdr:rowOff>
    </xdr:from>
    <xdr:to>
      <xdr:col>49</xdr:col>
      <xdr:colOff>160202</xdr:colOff>
      <xdr:row>32</xdr:row>
      <xdr:rowOff>10501</xdr:rowOff>
    </xdr:to>
    <xdr:sp macro="" textlink="">
      <xdr:nvSpPr>
        <xdr:cNvPr id="245425" name="フリーフォーム: 図形 245424">
          <a:extLst>
            <a:ext uri="{FF2B5EF4-FFF2-40B4-BE49-F238E27FC236}">
              <a16:creationId xmlns:a16="http://schemas.microsoft.com/office/drawing/2014/main" id="{36A60154-AFA8-4634-B16E-77B8E0D972EB}"/>
            </a:ext>
          </a:extLst>
        </xdr:cNvPr>
        <xdr:cNvSpPr>
          <a:spLocks noChangeAspect="1"/>
        </xdr:cNvSpPr>
      </xdr:nvSpPr>
      <xdr:spPr>
        <a:xfrm>
          <a:off x="332423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21</xdr:row>
      <xdr:rowOff>42450</xdr:rowOff>
    </xdr:from>
    <xdr:to>
      <xdr:col>52</xdr:col>
      <xdr:colOff>93601</xdr:colOff>
      <xdr:row>22</xdr:row>
      <xdr:rowOff>15001</xdr:rowOff>
    </xdr:to>
    <xdr:sp macro="" textlink="">
      <xdr:nvSpPr>
        <xdr:cNvPr id="245426" name="フリーフォーム: 図形 245425">
          <a:extLst>
            <a:ext uri="{FF2B5EF4-FFF2-40B4-BE49-F238E27FC236}">
              <a16:creationId xmlns:a16="http://schemas.microsoft.com/office/drawing/2014/main" id="{079A58C0-31CB-4AB7-96BE-EA37C0F4D043}"/>
            </a:ext>
          </a:extLst>
        </xdr:cNvPr>
        <xdr:cNvSpPr>
          <a:spLocks noChangeAspect="1"/>
        </xdr:cNvSpPr>
      </xdr:nvSpPr>
      <xdr:spPr>
        <a:xfrm>
          <a:off x="352872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21</xdr:row>
      <xdr:rowOff>42450</xdr:rowOff>
    </xdr:from>
    <xdr:to>
      <xdr:col>52</xdr:col>
      <xdr:colOff>633600</xdr:colOff>
      <xdr:row>22</xdr:row>
      <xdr:rowOff>15001</xdr:rowOff>
    </xdr:to>
    <xdr:sp macro="" textlink="">
      <xdr:nvSpPr>
        <xdr:cNvPr id="245427" name="フリーフォーム: 図形 245426">
          <a:extLst>
            <a:ext uri="{FF2B5EF4-FFF2-40B4-BE49-F238E27FC236}">
              <a16:creationId xmlns:a16="http://schemas.microsoft.com/office/drawing/2014/main" id="{8119F5A6-3ABC-4793-BCE9-E2A720B03507}"/>
            </a:ext>
          </a:extLst>
        </xdr:cNvPr>
        <xdr:cNvSpPr>
          <a:spLocks noChangeAspect="1"/>
        </xdr:cNvSpPr>
      </xdr:nvSpPr>
      <xdr:spPr>
        <a:xfrm>
          <a:off x="358271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21</xdr:row>
      <xdr:rowOff>114450</xdr:rowOff>
    </xdr:from>
    <xdr:to>
      <xdr:col>53</xdr:col>
      <xdr:colOff>19801</xdr:colOff>
      <xdr:row>27</xdr:row>
      <xdr:rowOff>21751</xdr:rowOff>
    </xdr:to>
    <xdr:sp macro="" textlink="">
      <xdr:nvSpPr>
        <xdr:cNvPr id="245428" name="フリーフォーム: 図形 245427">
          <a:extLst>
            <a:ext uri="{FF2B5EF4-FFF2-40B4-BE49-F238E27FC236}">
              <a16:creationId xmlns:a16="http://schemas.microsoft.com/office/drawing/2014/main" id="{FEAE1003-9A6F-4D5E-9BA4-0196FF61C62F}"/>
            </a:ext>
          </a:extLst>
        </xdr:cNvPr>
        <xdr:cNvSpPr>
          <a:spLocks noChangeAspect="1"/>
        </xdr:cNvSpPr>
      </xdr:nvSpPr>
      <xdr:spPr>
        <a:xfrm>
          <a:off x="360791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27</xdr:row>
      <xdr:rowOff>75750</xdr:rowOff>
    </xdr:from>
    <xdr:to>
      <xdr:col>52</xdr:col>
      <xdr:colOff>525600</xdr:colOff>
      <xdr:row>32</xdr:row>
      <xdr:rowOff>136501</xdr:rowOff>
    </xdr:to>
    <xdr:sp macro="" textlink="">
      <xdr:nvSpPr>
        <xdr:cNvPr id="245429" name="フリーフォーム: 図形 245428">
          <a:extLst>
            <a:ext uri="{FF2B5EF4-FFF2-40B4-BE49-F238E27FC236}">
              <a16:creationId xmlns:a16="http://schemas.microsoft.com/office/drawing/2014/main" id="{07BB1D44-1E42-4042-8B88-F25B707AFCDD}"/>
            </a:ext>
          </a:extLst>
        </xdr:cNvPr>
        <xdr:cNvSpPr>
          <a:spLocks noChangeAspect="1"/>
        </xdr:cNvSpPr>
      </xdr:nvSpPr>
      <xdr:spPr>
        <a:xfrm>
          <a:off x="358992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32</xdr:row>
      <xdr:rowOff>64500</xdr:rowOff>
    </xdr:from>
    <xdr:to>
      <xdr:col>51</xdr:col>
      <xdr:colOff>455400</xdr:colOff>
      <xdr:row>33</xdr:row>
      <xdr:rowOff>37051</xdr:rowOff>
    </xdr:to>
    <xdr:sp macro="" textlink="">
      <xdr:nvSpPr>
        <xdr:cNvPr id="245430" name="フリーフォーム: 図形 245429">
          <a:extLst>
            <a:ext uri="{FF2B5EF4-FFF2-40B4-BE49-F238E27FC236}">
              <a16:creationId xmlns:a16="http://schemas.microsoft.com/office/drawing/2014/main" id="{672B6700-2408-4743-9E75-C4F988C5A10F}"/>
            </a:ext>
          </a:extLst>
        </xdr:cNvPr>
        <xdr:cNvSpPr>
          <a:spLocks noChangeAspect="1"/>
        </xdr:cNvSpPr>
      </xdr:nvSpPr>
      <xdr:spPr>
        <a:xfrm>
          <a:off x="349452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32</xdr:row>
      <xdr:rowOff>64500</xdr:rowOff>
    </xdr:from>
    <xdr:to>
      <xdr:col>52</xdr:col>
      <xdr:colOff>273600</xdr:colOff>
      <xdr:row>33</xdr:row>
      <xdr:rowOff>37051</xdr:rowOff>
    </xdr:to>
    <xdr:sp macro="" textlink="">
      <xdr:nvSpPr>
        <xdr:cNvPr id="245431" name="フリーフォーム: 図形 245430">
          <a:extLst>
            <a:ext uri="{FF2B5EF4-FFF2-40B4-BE49-F238E27FC236}">
              <a16:creationId xmlns:a16="http://schemas.microsoft.com/office/drawing/2014/main" id="{0555E9E5-6DE2-463D-85BB-6616989DC291}"/>
            </a:ext>
          </a:extLst>
        </xdr:cNvPr>
        <xdr:cNvSpPr>
          <a:spLocks noChangeAspect="1"/>
        </xdr:cNvSpPr>
      </xdr:nvSpPr>
      <xdr:spPr>
        <a:xfrm>
          <a:off x="354671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27</xdr:row>
      <xdr:rowOff>75750</xdr:rowOff>
    </xdr:from>
    <xdr:to>
      <xdr:col>51</xdr:col>
      <xdr:colOff>203403</xdr:colOff>
      <xdr:row>32</xdr:row>
      <xdr:rowOff>136501</xdr:rowOff>
    </xdr:to>
    <xdr:sp macro="" textlink="">
      <xdr:nvSpPr>
        <xdr:cNvPr id="245432" name="フリーフォーム: 図形 245431">
          <a:extLst>
            <a:ext uri="{FF2B5EF4-FFF2-40B4-BE49-F238E27FC236}">
              <a16:creationId xmlns:a16="http://schemas.microsoft.com/office/drawing/2014/main" id="{A16F28F7-03FD-4CD7-A62A-2EA9D8C8DFA7}"/>
            </a:ext>
          </a:extLst>
        </xdr:cNvPr>
        <xdr:cNvSpPr>
          <a:spLocks noChangeAspect="1"/>
        </xdr:cNvSpPr>
      </xdr:nvSpPr>
      <xdr:spPr>
        <a:xfrm>
          <a:off x="348912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21</xdr:row>
      <xdr:rowOff>114450</xdr:rowOff>
    </xdr:from>
    <xdr:to>
      <xdr:col>51</xdr:col>
      <xdr:colOff>347400</xdr:colOff>
      <xdr:row>27</xdr:row>
      <xdr:rowOff>21751</xdr:rowOff>
    </xdr:to>
    <xdr:sp macro="" textlink="">
      <xdr:nvSpPr>
        <xdr:cNvPr id="245433" name="フリーフォーム: 図形 245432">
          <a:extLst>
            <a:ext uri="{FF2B5EF4-FFF2-40B4-BE49-F238E27FC236}">
              <a16:creationId xmlns:a16="http://schemas.microsoft.com/office/drawing/2014/main" id="{D945417C-DD83-418A-B646-66348DB2B561}"/>
            </a:ext>
          </a:extLst>
        </xdr:cNvPr>
        <xdr:cNvSpPr>
          <a:spLocks noChangeAspect="1"/>
        </xdr:cNvSpPr>
      </xdr:nvSpPr>
      <xdr:spPr>
        <a:xfrm>
          <a:off x="350711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26</xdr:row>
      <xdr:rowOff>139200</xdr:rowOff>
    </xdr:from>
    <xdr:to>
      <xdr:col>51</xdr:col>
      <xdr:colOff>617402</xdr:colOff>
      <xdr:row>27</xdr:row>
      <xdr:rowOff>111751</xdr:rowOff>
    </xdr:to>
    <xdr:sp macro="" textlink="">
      <xdr:nvSpPr>
        <xdr:cNvPr id="245434" name="フリーフォーム: 図形 245433">
          <a:extLst>
            <a:ext uri="{FF2B5EF4-FFF2-40B4-BE49-F238E27FC236}">
              <a16:creationId xmlns:a16="http://schemas.microsoft.com/office/drawing/2014/main" id="{D8D42BED-3645-4FE5-950A-85A591A0A0AC}"/>
            </a:ext>
          </a:extLst>
        </xdr:cNvPr>
        <xdr:cNvSpPr>
          <a:spLocks noChangeAspect="1"/>
        </xdr:cNvSpPr>
      </xdr:nvSpPr>
      <xdr:spPr>
        <a:xfrm>
          <a:off x="351432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26</xdr:row>
      <xdr:rowOff>139200</xdr:rowOff>
    </xdr:from>
    <xdr:to>
      <xdr:col>52</xdr:col>
      <xdr:colOff>435602</xdr:colOff>
      <xdr:row>27</xdr:row>
      <xdr:rowOff>111751</xdr:rowOff>
    </xdr:to>
    <xdr:sp macro="" textlink="">
      <xdr:nvSpPr>
        <xdr:cNvPr id="245435" name="フリーフォーム: 図形 245434">
          <a:extLst>
            <a:ext uri="{FF2B5EF4-FFF2-40B4-BE49-F238E27FC236}">
              <a16:creationId xmlns:a16="http://schemas.microsoft.com/office/drawing/2014/main" id="{DC76B911-EB13-4312-AA62-0B73BD9AAE36}"/>
            </a:ext>
          </a:extLst>
        </xdr:cNvPr>
        <xdr:cNvSpPr>
          <a:spLocks noChangeAspect="1"/>
        </xdr:cNvSpPr>
      </xdr:nvSpPr>
      <xdr:spPr>
        <a:xfrm>
          <a:off x="356472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22</xdr:row>
      <xdr:rowOff>51000</xdr:rowOff>
    </xdr:from>
    <xdr:to>
      <xdr:col>51</xdr:col>
      <xdr:colOff>635401</xdr:colOff>
      <xdr:row>27</xdr:row>
      <xdr:rowOff>3751</xdr:rowOff>
    </xdr:to>
    <xdr:sp macro="" textlink="">
      <xdr:nvSpPr>
        <xdr:cNvPr id="245436" name="フリーフォーム: 図形 245435">
          <a:extLst>
            <a:ext uri="{FF2B5EF4-FFF2-40B4-BE49-F238E27FC236}">
              <a16:creationId xmlns:a16="http://schemas.microsoft.com/office/drawing/2014/main" id="{D99F82D1-AC8C-4AED-B6B5-1ED663D7E5AD}"/>
            </a:ext>
          </a:extLst>
        </xdr:cNvPr>
        <xdr:cNvSpPr>
          <a:spLocks noChangeAspect="1"/>
        </xdr:cNvSpPr>
      </xdr:nvSpPr>
      <xdr:spPr>
        <a:xfrm>
          <a:off x="353412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21</xdr:row>
      <xdr:rowOff>114450</xdr:rowOff>
    </xdr:from>
    <xdr:to>
      <xdr:col>52</xdr:col>
      <xdr:colOff>201601</xdr:colOff>
      <xdr:row>26</xdr:row>
      <xdr:rowOff>157201</xdr:rowOff>
    </xdr:to>
    <xdr:sp macro="" textlink="">
      <xdr:nvSpPr>
        <xdr:cNvPr id="245437" name="フリーフォーム: 図形 245436">
          <a:extLst>
            <a:ext uri="{FF2B5EF4-FFF2-40B4-BE49-F238E27FC236}">
              <a16:creationId xmlns:a16="http://schemas.microsoft.com/office/drawing/2014/main" id="{B931A70A-4A38-4C6B-BC34-BA8A2F230EA0}"/>
            </a:ext>
          </a:extLst>
        </xdr:cNvPr>
        <xdr:cNvSpPr>
          <a:spLocks noChangeAspect="1"/>
        </xdr:cNvSpPr>
      </xdr:nvSpPr>
      <xdr:spPr>
        <a:xfrm>
          <a:off x="356112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22</xdr:row>
      <xdr:rowOff>69000</xdr:rowOff>
    </xdr:from>
    <xdr:to>
      <xdr:col>52</xdr:col>
      <xdr:colOff>525600</xdr:colOff>
      <xdr:row>27</xdr:row>
      <xdr:rowOff>3751</xdr:rowOff>
    </xdr:to>
    <xdr:sp macro="" textlink="">
      <xdr:nvSpPr>
        <xdr:cNvPr id="245438" name="フリーフォーム: 図形 245437">
          <a:extLst>
            <a:ext uri="{FF2B5EF4-FFF2-40B4-BE49-F238E27FC236}">
              <a16:creationId xmlns:a16="http://schemas.microsoft.com/office/drawing/2014/main" id="{822A82D6-3B49-4705-8D05-C999D722D184}"/>
            </a:ext>
          </a:extLst>
        </xdr:cNvPr>
        <xdr:cNvSpPr>
          <a:spLocks noChangeAspect="1"/>
        </xdr:cNvSpPr>
      </xdr:nvSpPr>
      <xdr:spPr>
        <a:xfrm>
          <a:off x="356652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27</xdr:row>
      <xdr:rowOff>75750</xdr:rowOff>
    </xdr:from>
    <xdr:to>
      <xdr:col>52</xdr:col>
      <xdr:colOff>237602</xdr:colOff>
      <xdr:row>31</xdr:row>
      <xdr:rowOff>163951</xdr:rowOff>
    </xdr:to>
    <xdr:sp macro="" textlink="">
      <xdr:nvSpPr>
        <xdr:cNvPr id="245439" name="フリーフォーム: 図形 245438">
          <a:extLst>
            <a:ext uri="{FF2B5EF4-FFF2-40B4-BE49-F238E27FC236}">
              <a16:creationId xmlns:a16="http://schemas.microsoft.com/office/drawing/2014/main" id="{EED738B5-E72E-4E3E-8316-FD5F076025EF}"/>
            </a:ext>
          </a:extLst>
        </xdr:cNvPr>
        <xdr:cNvSpPr>
          <a:spLocks noChangeAspect="1"/>
        </xdr:cNvSpPr>
      </xdr:nvSpPr>
      <xdr:spPr>
        <a:xfrm>
          <a:off x="356291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27</xdr:row>
      <xdr:rowOff>93750</xdr:rowOff>
    </xdr:from>
    <xdr:to>
      <xdr:col>51</xdr:col>
      <xdr:colOff>653400</xdr:colOff>
      <xdr:row>32</xdr:row>
      <xdr:rowOff>118501</xdr:rowOff>
    </xdr:to>
    <xdr:sp macro="" textlink="">
      <xdr:nvSpPr>
        <xdr:cNvPr id="245440" name="フリーフォーム: 図形 245439">
          <a:extLst>
            <a:ext uri="{FF2B5EF4-FFF2-40B4-BE49-F238E27FC236}">
              <a16:creationId xmlns:a16="http://schemas.microsoft.com/office/drawing/2014/main" id="{B2833A96-B190-4364-95D3-5919B8991CDB}"/>
            </a:ext>
          </a:extLst>
        </xdr:cNvPr>
        <xdr:cNvSpPr>
          <a:spLocks noChangeAspect="1"/>
        </xdr:cNvSpPr>
      </xdr:nvSpPr>
      <xdr:spPr>
        <a:xfrm>
          <a:off x="353952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27</xdr:row>
      <xdr:rowOff>75750</xdr:rowOff>
    </xdr:from>
    <xdr:to>
      <xdr:col>51</xdr:col>
      <xdr:colOff>617402</xdr:colOff>
      <xdr:row>32</xdr:row>
      <xdr:rowOff>10501</xdr:rowOff>
    </xdr:to>
    <xdr:sp macro="" textlink="">
      <xdr:nvSpPr>
        <xdr:cNvPr id="245441" name="フリーフォーム: 図形 245440">
          <a:extLst>
            <a:ext uri="{FF2B5EF4-FFF2-40B4-BE49-F238E27FC236}">
              <a16:creationId xmlns:a16="http://schemas.microsoft.com/office/drawing/2014/main" id="{930AC656-FDD8-4247-B5F7-7BA06404D1E1}"/>
            </a:ext>
          </a:extLst>
        </xdr:cNvPr>
        <xdr:cNvSpPr>
          <a:spLocks noChangeAspect="1"/>
        </xdr:cNvSpPr>
      </xdr:nvSpPr>
      <xdr:spPr>
        <a:xfrm>
          <a:off x="350711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21</xdr:row>
      <xdr:rowOff>42450</xdr:rowOff>
    </xdr:from>
    <xdr:to>
      <xdr:col>54</xdr:col>
      <xdr:colOff>550801</xdr:colOff>
      <xdr:row>22</xdr:row>
      <xdr:rowOff>15001</xdr:rowOff>
    </xdr:to>
    <xdr:sp macro="" textlink="">
      <xdr:nvSpPr>
        <xdr:cNvPr id="245442" name="フリーフォーム: 図形 245441">
          <a:extLst>
            <a:ext uri="{FF2B5EF4-FFF2-40B4-BE49-F238E27FC236}">
              <a16:creationId xmlns:a16="http://schemas.microsoft.com/office/drawing/2014/main" id="{B0E3BB03-5A4C-4A54-A2E5-676A8EDAEB81}"/>
            </a:ext>
          </a:extLst>
        </xdr:cNvPr>
        <xdr:cNvSpPr>
          <a:spLocks noChangeAspect="1"/>
        </xdr:cNvSpPr>
      </xdr:nvSpPr>
      <xdr:spPr>
        <a:xfrm>
          <a:off x="371160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21</xdr:row>
      <xdr:rowOff>42450</xdr:rowOff>
    </xdr:from>
    <xdr:to>
      <xdr:col>55</xdr:col>
      <xdr:colOff>405000</xdr:colOff>
      <xdr:row>22</xdr:row>
      <xdr:rowOff>15001</xdr:rowOff>
    </xdr:to>
    <xdr:sp macro="" textlink="">
      <xdr:nvSpPr>
        <xdr:cNvPr id="245443" name="フリーフォーム: 図形 245442">
          <a:extLst>
            <a:ext uri="{FF2B5EF4-FFF2-40B4-BE49-F238E27FC236}">
              <a16:creationId xmlns:a16="http://schemas.microsoft.com/office/drawing/2014/main" id="{5355E6D5-11AB-4B8A-AC03-7586A3260704}"/>
            </a:ext>
          </a:extLst>
        </xdr:cNvPr>
        <xdr:cNvSpPr>
          <a:spLocks noChangeAspect="1"/>
        </xdr:cNvSpPr>
      </xdr:nvSpPr>
      <xdr:spPr>
        <a:xfrm>
          <a:off x="376559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21</xdr:row>
      <xdr:rowOff>114450</xdr:rowOff>
    </xdr:from>
    <xdr:to>
      <xdr:col>55</xdr:col>
      <xdr:colOff>477001</xdr:colOff>
      <xdr:row>27</xdr:row>
      <xdr:rowOff>21751</xdr:rowOff>
    </xdr:to>
    <xdr:sp macro="" textlink="">
      <xdr:nvSpPr>
        <xdr:cNvPr id="245444" name="フリーフォーム: 図形 245443">
          <a:extLst>
            <a:ext uri="{FF2B5EF4-FFF2-40B4-BE49-F238E27FC236}">
              <a16:creationId xmlns:a16="http://schemas.microsoft.com/office/drawing/2014/main" id="{32F10144-8D28-4B93-8463-4967F3BEF2AC}"/>
            </a:ext>
          </a:extLst>
        </xdr:cNvPr>
        <xdr:cNvSpPr>
          <a:spLocks noChangeAspect="1"/>
        </xdr:cNvSpPr>
      </xdr:nvSpPr>
      <xdr:spPr>
        <a:xfrm>
          <a:off x="379079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27</xdr:row>
      <xdr:rowOff>75750</xdr:rowOff>
    </xdr:from>
    <xdr:to>
      <xdr:col>55</xdr:col>
      <xdr:colOff>297000</xdr:colOff>
      <xdr:row>32</xdr:row>
      <xdr:rowOff>136501</xdr:rowOff>
    </xdr:to>
    <xdr:sp macro="" textlink="">
      <xdr:nvSpPr>
        <xdr:cNvPr id="245445" name="フリーフォーム: 図形 245444">
          <a:extLst>
            <a:ext uri="{FF2B5EF4-FFF2-40B4-BE49-F238E27FC236}">
              <a16:creationId xmlns:a16="http://schemas.microsoft.com/office/drawing/2014/main" id="{B36FD3EB-03FD-42EC-8BE2-539CEB24DCB5}"/>
            </a:ext>
          </a:extLst>
        </xdr:cNvPr>
        <xdr:cNvSpPr>
          <a:spLocks noChangeAspect="1"/>
        </xdr:cNvSpPr>
      </xdr:nvSpPr>
      <xdr:spPr>
        <a:xfrm>
          <a:off x="377280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32</xdr:row>
      <xdr:rowOff>64500</xdr:rowOff>
    </xdr:from>
    <xdr:to>
      <xdr:col>54</xdr:col>
      <xdr:colOff>226800</xdr:colOff>
      <xdr:row>33</xdr:row>
      <xdr:rowOff>37051</xdr:rowOff>
    </xdr:to>
    <xdr:sp macro="" textlink="">
      <xdr:nvSpPr>
        <xdr:cNvPr id="245446" name="フリーフォーム: 図形 245445">
          <a:extLst>
            <a:ext uri="{FF2B5EF4-FFF2-40B4-BE49-F238E27FC236}">
              <a16:creationId xmlns:a16="http://schemas.microsoft.com/office/drawing/2014/main" id="{254041CF-8FD7-4B8A-8B88-623AC935DE7D}"/>
            </a:ext>
          </a:extLst>
        </xdr:cNvPr>
        <xdr:cNvSpPr>
          <a:spLocks noChangeAspect="1"/>
        </xdr:cNvSpPr>
      </xdr:nvSpPr>
      <xdr:spPr>
        <a:xfrm>
          <a:off x="367740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32</xdr:row>
      <xdr:rowOff>64500</xdr:rowOff>
    </xdr:from>
    <xdr:to>
      <xdr:col>55</xdr:col>
      <xdr:colOff>45000</xdr:colOff>
      <xdr:row>33</xdr:row>
      <xdr:rowOff>37051</xdr:rowOff>
    </xdr:to>
    <xdr:sp macro="" textlink="">
      <xdr:nvSpPr>
        <xdr:cNvPr id="245447" name="フリーフォーム: 図形 245446">
          <a:extLst>
            <a:ext uri="{FF2B5EF4-FFF2-40B4-BE49-F238E27FC236}">
              <a16:creationId xmlns:a16="http://schemas.microsoft.com/office/drawing/2014/main" id="{4E8800F2-FF1C-414B-825C-BA2F038696D6}"/>
            </a:ext>
          </a:extLst>
        </xdr:cNvPr>
        <xdr:cNvSpPr>
          <a:spLocks noChangeAspect="1"/>
        </xdr:cNvSpPr>
      </xdr:nvSpPr>
      <xdr:spPr>
        <a:xfrm>
          <a:off x="372959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27</xdr:row>
      <xdr:rowOff>75750</xdr:rowOff>
    </xdr:from>
    <xdr:to>
      <xdr:col>53</xdr:col>
      <xdr:colOff>660603</xdr:colOff>
      <xdr:row>32</xdr:row>
      <xdr:rowOff>136501</xdr:rowOff>
    </xdr:to>
    <xdr:sp macro="" textlink="">
      <xdr:nvSpPr>
        <xdr:cNvPr id="245448" name="フリーフォーム: 図形 245447">
          <a:extLst>
            <a:ext uri="{FF2B5EF4-FFF2-40B4-BE49-F238E27FC236}">
              <a16:creationId xmlns:a16="http://schemas.microsoft.com/office/drawing/2014/main" id="{6EE9B854-FED2-4A3A-A7E3-AFB4FF5B9EAB}"/>
            </a:ext>
          </a:extLst>
        </xdr:cNvPr>
        <xdr:cNvSpPr>
          <a:spLocks noChangeAspect="1"/>
        </xdr:cNvSpPr>
      </xdr:nvSpPr>
      <xdr:spPr>
        <a:xfrm>
          <a:off x="367200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21</xdr:row>
      <xdr:rowOff>114450</xdr:rowOff>
    </xdr:from>
    <xdr:to>
      <xdr:col>54</xdr:col>
      <xdr:colOff>118800</xdr:colOff>
      <xdr:row>27</xdr:row>
      <xdr:rowOff>21751</xdr:rowOff>
    </xdr:to>
    <xdr:sp macro="" textlink="">
      <xdr:nvSpPr>
        <xdr:cNvPr id="245449" name="フリーフォーム: 図形 245448">
          <a:extLst>
            <a:ext uri="{FF2B5EF4-FFF2-40B4-BE49-F238E27FC236}">
              <a16:creationId xmlns:a16="http://schemas.microsoft.com/office/drawing/2014/main" id="{87DC896E-E252-4316-B5EE-187F6B92B518}"/>
            </a:ext>
          </a:extLst>
        </xdr:cNvPr>
        <xdr:cNvSpPr>
          <a:spLocks noChangeAspect="1"/>
        </xdr:cNvSpPr>
      </xdr:nvSpPr>
      <xdr:spPr>
        <a:xfrm>
          <a:off x="368999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26</xdr:row>
      <xdr:rowOff>139200</xdr:rowOff>
    </xdr:from>
    <xdr:to>
      <xdr:col>54</xdr:col>
      <xdr:colOff>388802</xdr:colOff>
      <xdr:row>27</xdr:row>
      <xdr:rowOff>111751</xdr:rowOff>
    </xdr:to>
    <xdr:sp macro="" textlink="">
      <xdr:nvSpPr>
        <xdr:cNvPr id="245450" name="フリーフォーム: 図形 245449">
          <a:extLst>
            <a:ext uri="{FF2B5EF4-FFF2-40B4-BE49-F238E27FC236}">
              <a16:creationId xmlns:a16="http://schemas.microsoft.com/office/drawing/2014/main" id="{ED02B82D-B078-4993-AA6E-9F28BF0E4904}"/>
            </a:ext>
          </a:extLst>
        </xdr:cNvPr>
        <xdr:cNvSpPr>
          <a:spLocks noChangeAspect="1"/>
        </xdr:cNvSpPr>
      </xdr:nvSpPr>
      <xdr:spPr>
        <a:xfrm>
          <a:off x="369720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26</xdr:row>
      <xdr:rowOff>139200</xdr:rowOff>
    </xdr:from>
    <xdr:to>
      <xdr:col>55</xdr:col>
      <xdr:colOff>207002</xdr:colOff>
      <xdr:row>27</xdr:row>
      <xdr:rowOff>111751</xdr:rowOff>
    </xdr:to>
    <xdr:sp macro="" textlink="">
      <xdr:nvSpPr>
        <xdr:cNvPr id="245451" name="フリーフォーム: 図形 245450">
          <a:extLst>
            <a:ext uri="{FF2B5EF4-FFF2-40B4-BE49-F238E27FC236}">
              <a16:creationId xmlns:a16="http://schemas.microsoft.com/office/drawing/2014/main" id="{A24CDB55-791D-4405-9B0C-A556EFAD1FDB}"/>
            </a:ext>
          </a:extLst>
        </xdr:cNvPr>
        <xdr:cNvSpPr>
          <a:spLocks noChangeAspect="1"/>
        </xdr:cNvSpPr>
      </xdr:nvSpPr>
      <xdr:spPr>
        <a:xfrm>
          <a:off x="374760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22</xdr:row>
      <xdr:rowOff>51000</xdr:rowOff>
    </xdr:from>
    <xdr:to>
      <xdr:col>54</xdr:col>
      <xdr:colOff>406801</xdr:colOff>
      <xdr:row>27</xdr:row>
      <xdr:rowOff>3751</xdr:rowOff>
    </xdr:to>
    <xdr:sp macro="" textlink="">
      <xdr:nvSpPr>
        <xdr:cNvPr id="245452" name="フリーフォーム: 図形 245451">
          <a:extLst>
            <a:ext uri="{FF2B5EF4-FFF2-40B4-BE49-F238E27FC236}">
              <a16:creationId xmlns:a16="http://schemas.microsoft.com/office/drawing/2014/main" id="{409D1FD8-0431-4DA6-9115-632EE71DFC49}"/>
            </a:ext>
          </a:extLst>
        </xdr:cNvPr>
        <xdr:cNvSpPr>
          <a:spLocks noChangeAspect="1"/>
        </xdr:cNvSpPr>
      </xdr:nvSpPr>
      <xdr:spPr>
        <a:xfrm>
          <a:off x="371700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21</xdr:row>
      <xdr:rowOff>114450</xdr:rowOff>
    </xdr:from>
    <xdr:to>
      <xdr:col>54</xdr:col>
      <xdr:colOff>658801</xdr:colOff>
      <xdr:row>26</xdr:row>
      <xdr:rowOff>157201</xdr:rowOff>
    </xdr:to>
    <xdr:sp macro="" textlink="">
      <xdr:nvSpPr>
        <xdr:cNvPr id="245453" name="フリーフォーム: 図形 245452">
          <a:extLst>
            <a:ext uri="{FF2B5EF4-FFF2-40B4-BE49-F238E27FC236}">
              <a16:creationId xmlns:a16="http://schemas.microsoft.com/office/drawing/2014/main" id="{D1448BC6-705F-4E02-9911-9819487BA0EB}"/>
            </a:ext>
          </a:extLst>
        </xdr:cNvPr>
        <xdr:cNvSpPr>
          <a:spLocks noChangeAspect="1"/>
        </xdr:cNvSpPr>
      </xdr:nvSpPr>
      <xdr:spPr>
        <a:xfrm>
          <a:off x="374400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22</xdr:row>
      <xdr:rowOff>69000</xdr:rowOff>
    </xdr:from>
    <xdr:to>
      <xdr:col>55</xdr:col>
      <xdr:colOff>297000</xdr:colOff>
      <xdr:row>27</xdr:row>
      <xdr:rowOff>3751</xdr:rowOff>
    </xdr:to>
    <xdr:sp macro="" textlink="">
      <xdr:nvSpPr>
        <xdr:cNvPr id="245454" name="フリーフォーム: 図形 245453">
          <a:extLst>
            <a:ext uri="{FF2B5EF4-FFF2-40B4-BE49-F238E27FC236}">
              <a16:creationId xmlns:a16="http://schemas.microsoft.com/office/drawing/2014/main" id="{DCB04135-F464-4BFF-86DA-AAE5461AF229}"/>
            </a:ext>
          </a:extLst>
        </xdr:cNvPr>
        <xdr:cNvSpPr>
          <a:spLocks noChangeAspect="1"/>
        </xdr:cNvSpPr>
      </xdr:nvSpPr>
      <xdr:spPr>
        <a:xfrm>
          <a:off x="374940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27</xdr:row>
      <xdr:rowOff>75750</xdr:rowOff>
    </xdr:from>
    <xdr:to>
      <xdr:col>55</xdr:col>
      <xdr:colOff>9002</xdr:colOff>
      <xdr:row>31</xdr:row>
      <xdr:rowOff>163951</xdr:rowOff>
    </xdr:to>
    <xdr:sp macro="" textlink="">
      <xdr:nvSpPr>
        <xdr:cNvPr id="245455" name="フリーフォーム: 図形 245454">
          <a:extLst>
            <a:ext uri="{FF2B5EF4-FFF2-40B4-BE49-F238E27FC236}">
              <a16:creationId xmlns:a16="http://schemas.microsoft.com/office/drawing/2014/main" id="{00969E66-BB85-4182-A22C-64D936455AC7}"/>
            </a:ext>
          </a:extLst>
        </xdr:cNvPr>
        <xdr:cNvSpPr>
          <a:spLocks noChangeAspect="1"/>
        </xdr:cNvSpPr>
      </xdr:nvSpPr>
      <xdr:spPr>
        <a:xfrm>
          <a:off x="374579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27</xdr:row>
      <xdr:rowOff>93750</xdr:rowOff>
    </xdr:from>
    <xdr:to>
      <xdr:col>54</xdr:col>
      <xdr:colOff>424800</xdr:colOff>
      <xdr:row>32</xdr:row>
      <xdr:rowOff>118501</xdr:rowOff>
    </xdr:to>
    <xdr:sp macro="" textlink="">
      <xdr:nvSpPr>
        <xdr:cNvPr id="245456" name="フリーフォーム: 図形 245455">
          <a:extLst>
            <a:ext uri="{FF2B5EF4-FFF2-40B4-BE49-F238E27FC236}">
              <a16:creationId xmlns:a16="http://schemas.microsoft.com/office/drawing/2014/main" id="{08EB6D04-2575-4F0F-8D46-2E350ACF2A44}"/>
            </a:ext>
          </a:extLst>
        </xdr:cNvPr>
        <xdr:cNvSpPr>
          <a:spLocks noChangeAspect="1"/>
        </xdr:cNvSpPr>
      </xdr:nvSpPr>
      <xdr:spPr>
        <a:xfrm>
          <a:off x="372240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27</xdr:row>
      <xdr:rowOff>75750</xdr:rowOff>
    </xdr:from>
    <xdr:to>
      <xdr:col>54</xdr:col>
      <xdr:colOff>388802</xdr:colOff>
      <xdr:row>32</xdr:row>
      <xdr:rowOff>10501</xdr:rowOff>
    </xdr:to>
    <xdr:sp macro="" textlink="">
      <xdr:nvSpPr>
        <xdr:cNvPr id="245457" name="フリーフォーム: 図形 245456">
          <a:extLst>
            <a:ext uri="{FF2B5EF4-FFF2-40B4-BE49-F238E27FC236}">
              <a16:creationId xmlns:a16="http://schemas.microsoft.com/office/drawing/2014/main" id="{F4C30DF9-BD6C-497B-82C3-C884D2585BA3}"/>
            </a:ext>
          </a:extLst>
        </xdr:cNvPr>
        <xdr:cNvSpPr>
          <a:spLocks noChangeAspect="1"/>
        </xdr:cNvSpPr>
      </xdr:nvSpPr>
      <xdr:spPr>
        <a:xfrm>
          <a:off x="368999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21</xdr:row>
      <xdr:rowOff>42450</xdr:rowOff>
    </xdr:from>
    <xdr:to>
      <xdr:col>57</xdr:col>
      <xdr:colOff>322201</xdr:colOff>
      <xdr:row>22</xdr:row>
      <xdr:rowOff>15001</xdr:rowOff>
    </xdr:to>
    <xdr:sp macro="" textlink="">
      <xdr:nvSpPr>
        <xdr:cNvPr id="245458" name="フリーフォーム: 図形 245457">
          <a:extLst>
            <a:ext uri="{FF2B5EF4-FFF2-40B4-BE49-F238E27FC236}">
              <a16:creationId xmlns:a16="http://schemas.microsoft.com/office/drawing/2014/main" id="{C9F7F31E-AF38-435D-9A35-B101047530FA}"/>
            </a:ext>
          </a:extLst>
        </xdr:cNvPr>
        <xdr:cNvSpPr>
          <a:spLocks noChangeAspect="1"/>
        </xdr:cNvSpPr>
      </xdr:nvSpPr>
      <xdr:spPr>
        <a:xfrm>
          <a:off x="389448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21</xdr:row>
      <xdr:rowOff>42450</xdr:rowOff>
    </xdr:from>
    <xdr:to>
      <xdr:col>58</xdr:col>
      <xdr:colOff>176400</xdr:colOff>
      <xdr:row>22</xdr:row>
      <xdr:rowOff>15001</xdr:rowOff>
    </xdr:to>
    <xdr:sp macro="" textlink="">
      <xdr:nvSpPr>
        <xdr:cNvPr id="245459" name="フリーフォーム: 図形 245458">
          <a:extLst>
            <a:ext uri="{FF2B5EF4-FFF2-40B4-BE49-F238E27FC236}">
              <a16:creationId xmlns:a16="http://schemas.microsoft.com/office/drawing/2014/main" id="{BB19C51A-4C4D-402A-9D7B-56BFA7B8663A}"/>
            </a:ext>
          </a:extLst>
        </xdr:cNvPr>
        <xdr:cNvSpPr>
          <a:spLocks noChangeAspect="1"/>
        </xdr:cNvSpPr>
      </xdr:nvSpPr>
      <xdr:spPr>
        <a:xfrm>
          <a:off x="394847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21</xdr:row>
      <xdr:rowOff>114450</xdr:rowOff>
    </xdr:from>
    <xdr:to>
      <xdr:col>58</xdr:col>
      <xdr:colOff>248401</xdr:colOff>
      <xdr:row>27</xdr:row>
      <xdr:rowOff>21751</xdr:rowOff>
    </xdr:to>
    <xdr:sp macro="" textlink="">
      <xdr:nvSpPr>
        <xdr:cNvPr id="245460" name="フリーフォーム: 図形 245459">
          <a:extLst>
            <a:ext uri="{FF2B5EF4-FFF2-40B4-BE49-F238E27FC236}">
              <a16:creationId xmlns:a16="http://schemas.microsoft.com/office/drawing/2014/main" id="{B5A47558-5FD5-403F-9465-D8AAEC546862}"/>
            </a:ext>
          </a:extLst>
        </xdr:cNvPr>
        <xdr:cNvSpPr>
          <a:spLocks noChangeAspect="1"/>
        </xdr:cNvSpPr>
      </xdr:nvSpPr>
      <xdr:spPr>
        <a:xfrm>
          <a:off x="397367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27</xdr:row>
      <xdr:rowOff>75750</xdr:rowOff>
    </xdr:from>
    <xdr:to>
      <xdr:col>58</xdr:col>
      <xdr:colOff>68400</xdr:colOff>
      <xdr:row>32</xdr:row>
      <xdr:rowOff>136501</xdr:rowOff>
    </xdr:to>
    <xdr:sp macro="" textlink="">
      <xdr:nvSpPr>
        <xdr:cNvPr id="245461" name="フリーフォーム: 図形 245460">
          <a:extLst>
            <a:ext uri="{FF2B5EF4-FFF2-40B4-BE49-F238E27FC236}">
              <a16:creationId xmlns:a16="http://schemas.microsoft.com/office/drawing/2014/main" id="{F85A69DC-AEC9-4863-B420-455F66FF71F8}"/>
            </a:ext>
          </a:extLst>
        </xdr:cNvPr>
        <xdr:cNvSpPr>
          <a:spLocks noChangeAspect="1"/>
        </xdr:cNvSpPr>
      </xdr:nvSpPr>
      <xdr:spPr>
        <a:xfrm>
          <a:off x="395568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32</xdr:row>
      <xdr:rowOff>64500</xdr:rowOff>
    </xdr:from>
    <xdr:to>
      <xdr:col>56</xdr:col>
      <xdr:colOff>684000</xdr:colOff>
      <xdr:row>33</xdr:row>
      <xdr:rowOff>37051</xdr:rowOff>
    </xdr:to>
    <xdr:sp macro="" textlink="">
      <xdr:nvSpPr>
        <xdr:cNvPr id="245462" name="フリーフォーム: 図形 245461">
          <a:extLst>
            <a:ext uri="{FF2B5EF4-FFF2-40B4-BE49-F238E27FC236}">
              <a16:creationId xmlns:a16="http://schemas.microsoft.com/office/drawing/2014/main" id="{ECB97F36-55BC-4D73-B0A2-135D6FEB64D6}"/>
            </a:ext>
          </a:extLst>
        </xdr:cNvPr>
        <xdr:cNvSpPr>
          <a:spLocks noChangeAspect="1"/>
        </xdr:cNvSpPr>
      </xdr:nvSpPr>
      <xdr:spPr>
        <a:xfrm>
          <a:off x="386028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32</xdr:row>
      <xdr:rowOff>64500</xdr:rowOff>
    </xdr:from>
    <xdr:to>
      <xdr:col>57</xdr:col>
      <xdr:colOff>502200</xdr:colOff>
      <xdr:row>33</xdr:row>
      <xdr:rowOff>37051</xdr:rowOff>
    </xdr:to>
    <xdr:sp macro="" textlink="">
      <xdr:nvSpPr>
        <xdr:cNvPr id="245463" name="フリーフォーム: 図形 245462">
          <a:extLst>
            <a:ext uri="{FF2B5EF4-FFF2-40B4-BE49-F238E27FC236}">
              <a16:creationId xmlns:a16="http://schemas.microsoft.com/office/drawing/2014/main" id="{A110E114-1679-4191-A63F-DC2142FA28F4}"/>
            </a:ext>
          </a:extLst>
        </xdr:cNvPr>
        <xdr:cNvSpPr>
          <a:spLocks noChangeAspect="1"/>
        </xdr:cNvSpPr>
      </xdr:nvSpPr>
      <xdr:spPr>
        <a:xfrm>
          <a:off x="391247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27</xdr:row>
      <xdr:rowOff>75750</xdr:rowOff>
    </xdr:from>
    <xdr:to>
      <xdr:col>56</xdr:col>
      <xdr:colOff>432003</xdr:colOff>
      <xdr:row>32</xdr:row>
      <xdr:rowOff>136501</xdr:rowOff>
    </xdr:to>
    <xdr:sp macro="" textlink="">
      <xdr:nvSpPr>
        <xdr:cNvPr id="245464" name="フリーフォーム: 図形 245463">
          <a:extLst>
            <a:ext uri="{FF2B5EF4-FFF2-40B4-BE49-F238E27FC236}">
              <a16:creationId xmlns:a16="http://schemas.microsoft.com/office/drawing/2014/main" id="{86D1149C-ECBD-4277-A0CC-34DB693F22FB}"/>
            </a:ext>
          </a:extLst>
        </xdr:cNvPr>
        <xdr:cNvSpPr>
          <a:spLocks noChangeAspect="1"/>
        </xdr:cNvSpPr>
      </xdr:nvSpPr>
      <xdr:spPr>
        <a:xfrm>
          <a:off x="385488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21</xdr:row>
      <xdr:rowOff>114450</xdr:rowOff>
    </xdr:from>
    <xdr:to>
      <xdr:col>56</xdr:col>
      <xdr:colOff>576000</xdr:colOff>
      <xdr:row>27</xdr:row>
      <xdr:rowOff>21751</xdr:rowOff>
    </xdr:to>
    <xdr:sp macro="" textlink="">
      <xdr:nvSpPr>
        <xdr:cNvPr id="245465" name="フリーフォーム: 図形 245464">
          <a:extLst>
            <a:ext uri="{FF2B5EF4-FFF2-40B4-BE49-F238E27FC236}">
              <a16:creationId xmlns:a16="http://schemas.microsoft.com/office/drawing/2014/main" id="{CD93E122-2726-41EB-A60B-A5381B51460B}"/>
            </a:ext>
          </a:extLst>
        </xdr:cNvPr>
        <xdr:cNvSpPr>
          <a:spLocks noChangeAspect="1"/>
        </xdr:cNvSpPr>
      </xdr:nvSpPr>
      <xdr:spPr>
        <a:xfrm>
          <a:off x="387287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26</xdr:row>
      <xdr:rowOff>139200</xdr:rowOff>
    </xdr:from>
    <xdr:to>
      <xdr:col>57</xdr:col>
      <xdr:colOff>160202</xdr:colOff>
      <xdr:row>27</xdr:row>
      <xdr:rowOff>111751</xdr:rowOff>
    </xdr:to>
    <xdr:sp macro="" textlink="">
      <xdr:nvSpPr>
        <xdr:cNvPr id="245466" name="フリーフォーム: 図形 245465">
          <a:extLst>
            <a:ext uri="{FF2B5EF4-FFF2-40B4-BE49-F238E27FC236}">
              <a16:creationId xmlns:a16="http://schemas.microsoft.com/office/drawing/2014/main" id="{1D1DC885-5099-43CE-AD9A-774E85C928DD}"/>
            </a:ext>
          </a:extLst>
        </xdr:cNvPr>
        <xdr:cNvSpPr>
          <a:spLocks noChangeAspect="1"/>
        </xdr:cNvSpPr>
      </xdr:nvSpPr>
      <xdr:spPr>
        <a:xfrm>
          <a:off x="388008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26</xdr:row>
      <xdr:rowOff>139200</xdr:rowOff>
    </xdr:from>
    <xdr:to>
      <xdr:col>57</xdr:col>
      <xdr:colOff>664202</xdr:colOff>
      <xdr:row>27</xdr:row>
      <xdr:rowOff>111751</xdr:rowOff>
    </xdr:to>
    <xdr:sp macro="" textlink="">
      <xdr:nvSpPr>
        <xdr:cNvPr id="245467" name="フリーフォーム: 図形 245466">
          <a:extLst>
            <a:ext uri="{FF2B5EF4-FFF2-40B4-BE49-F238E27FC236}">
              <a16:creationId xmlns:a16="http://schemas.microsoft.com/office/drawing/2014/main" id="{9C9053B2-A7F8-41BD-851C-A5D2BC35C941}"/>
            </a:ext>
          </a:extLst>
        </xdr:cNvPr>
        <xdr:cNvSpPr>
          <a:spLocks noChangeAspect="1"/>
        </xdr:cNvSpPr>
      </xdr:nvSpPr>
      <xdr:spPr>
        <a:xfrm>
          <a:off x="393048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22</xdr:row>
      <xdr:rowOff>51000</xdr:rowOff>
    </xdr:from>
    <xdr:to>
      <xdr:col>57</xdr:col>
      <xdr:colOff>178201</xdr:colOff>
      <xdr:row>27</xdr:row>
      <xdr:rowOff>3751</xdr:rowOff>
    </xdr:to>
    <xdr:sp macro="" textlink="">
      <xdr:nvSpPr>
        <xdr:cNvPr id="245468" name="フリーフォーム: 図形 245467">
          <a:extLst>
            <a:ext uri="{FF2B5EF4-FFF2-40B4-BE49-F238E27FC236}">
              <a16:creationId xmlns:a16="http://schemas.microsoft.com/office/drawing/2014/main" id="{CA536033-6F95-4C6C-8A5C-A7D603FF4283}"/>
            </a:ext>
          </a:extLst>
        </xdr:cNvPr>
        <xdr:cNvSpPr>
          <a:spLocks noChangeAspect="1"/>
        </xdr:cNvSpPr>
      </xdr:nvSpPr>
      <xdr:spPr>
        <a:xfrm>
          <a:off x="389988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21</xdr:row>
      <xdr:rowOff>114450</xdr:rowOff>
    </xdr:from>
    <xdr:to>
      <xdr:col>57</xdr:col>
      <xdr:colOff>430201</xdr:colOff>
      <xdr:row>26</xdr:row>
      <xdr:rowOff>157201</xdr:rowOff>
    </xdr:to>
    <xdr:sp macro="" textlink="">
      <xdr:nvSpPr>
        <xdr:cNvPr id="245469" name="フリーフォーム: 図形 245468">
          <a:extLst>
            <a:ext uri="{FF2B5EF4-FFF2-40B4-BE49-F238E27FC236}">
              <a16:creationId xmlns:a16="http://schemas.microsoft.com/office/drawing/2014/main" id="{96F7AC95-7C61-4B50-98AF-EF238D73DD4B}"/>
            </a:ext>
          </a:extLst>
        </xdr:cNvPr>
        <xdr:cNvSpPr>
          <a:spLocks noChangeAspect="1"/>
        </xdr:cNvSpPr>
      </xdr:nvSpPr>
      <xdr:spPr>
        <a:xfrm>
          <a:off x="392688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22</xdr:row>
      <xdr:rowOff>69000</xdr:rowOff>
    </xdr:from>
    <xdr:to>
      <xdr:col>58</xdr:col>
      <xdr:colOff>68400</xdr:colOff>
      <xdr:row>27</xdr:row>
      <xdr:rowOff>3751</xdr:rowOff>
    </xdr:to>
    <xdr:sp macro="" textlink="">
      <xdr:nvSpPr>
        <xdr:cNvPr id="245470" name="フリーフォーム: 図形 245469">
          <a:extLst>
            <a:ext uri="{FF2B5EF4-FFF2-40B4-BE49-F238E27FC236}">
              <a16:creationId xmlns:a16="http://schemas.microsoft.com/office/drawing/2014/main" id="{F8513FF6-C366-4ACD-B523-E86A1D3E1158}"/>
            </a:ext>
          </a:extLst>
        </xdr:cNvPr>
        <xdr:cNvSpPr>
          <a:spLocks noChangeAspect="1"/>
        </xdr:cNvSpPr>
      </xdr:nvSpPr>
      <xdr:spPr>
        <a:xfrm>
          <a:off x="393228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27</xdr:row>
      <xdr:rowOff>75750</xdr:rowOff>
    </xdr:from>
    <xdr:to>
      <xdr:col>57</xdr:col>
      <xdr:colOff>466202</xdr:colOff>
      <xdr:row>31</xdr:row>
      <xdr:rowOff>163951</xdr:rowOff>
    </xdr:to>
    <xdr:sp macro="" textlink="">
      <xdr:nvSpPr>
        <xdr:cNvPr id="245471" name="フリーフォーム: 図形 245470">
          <a:extLst>
            <a:ext uri="{FF2B5EF4-FFF2-40B4-BE49-F238E27FC236}">
              <a16:creationId xmlns:a16="http://schemas.microsoft.com/office/drawing/2014/main" id="{4721E66F-0D15-41D9-AF91-888FD9D07079}"/>
            </a:ext>
          </a:extLst>
        </xdr:cNvPr>
        <xdr:cNvSpPr>
          <a:spLocks noChangeAspect="1"/>
        </xdr:cNvSpPr>
      </xdr:nvSpPr>
      <xdr:spPr>
        <a:xfrm>
          <a:off x="392867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27</xdr:row>
      <xdr:rowOff>93750</xdr:rowOff>
    </xdr:from>
    <xdr:to>
      <xdr:col>57</xdr:col>
      <xdr:colOff>196200</xdr:colOff>
      <xdr:row>32</xdr:row>
      <xdr:rowOff>118501</xdr:rowOff>
    </xdr:to>
    <xdr:sp macro="" textlink="">
      <xdr:nvSpPr>
        <xdr:cNvPr id="245472" name="フリーフォーム: 図形 245471">
          <a:extLst>
            <a:ext uri="{FF2B5EF4-FFF2-40B4-BE49-F238E27FC236}">
              <a16:creationId xmlns:a16="http://schemas.microsoft.com/office/drawing/2014/main" id="{EDD1D7D0-88EA-4EEB-A51B-248715A634E9}"/>
            </a:ext>
          </a:extLst>
        </xdr:cNvPr>
        <xdr:cNvSpPr>
          <a:spLocks noChangeAspect="1"/>
        </xdr:cNvSpPr>
      </xdr:nvSpPr>
      <xdr:spPr>
        <a:xfrm>
          <a:off x="390528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27</xdr:row>
      <xdr:rowOff>75750</xdr:rowOff>
    </xdr:from>
    <xdr:to>
      <xdr:col>57</xdr:col>
      <xdr:colOff>160202</xdr:colOff>
      <xdr:row>32</xdr:row>
      <xdr:rowOff>10501</xdr:rowOff>
    </xdr:to>
    <xdr:sp macro="" textlink="">
      <xdr:nvSpPr>
        <xdr:cNvPr id="245473" name="フリーフォーム: 図形 245472">
          <a:extLst>
            <a:ext uri="{FF2B5EF4-FFF2-40B4-BE49-F238E27FC236}">
              <a16:creationId xmlns:a16="http://schemas.microsoft.com/office/drawing/2014/main" id="{116C19C7-3FA6-49E0-84FA-4C1ED08CFAF4}"/>
            </a:ext>
          </a:extLst>
        </xdr:cNvPr>
        <xdr:cNvSpPr>
          <a:spLocks noChangeAspect="1"/>
        </xdr:cNvSpPr>
      </xdr:nvSpPr>
      <xdr:spPr>
        <a:xfrm>
          <a:off x="387287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21</xdr:row>
      <xdr:rowOff>42450</xdr:rowOff>
    </xdr:from>
    <xdr:to>
      <xdr:col>60</xdr:col>
      <xdr:colOff>93601</xdr:colOff>
      <xdr:row>22</xdr:row>
      <xdr:rowOff>15001</xdr:rowOff>
    </xdr:to>
    <xdr:sp macro="" textlink="">
      <xdr:nvSpPr>
        <xdr:cNvPr id="245474" name="フリーフォーム: 図形 245473">
          <a:extLst>
            <a:ext uri="{FF2B5EF4-FFF2-40B4-BE49-F238E27FC236}">
              <a16:creationId xmlns:a16="http://schemas.microsoft.com/office/drawing/2014/main" id="{CB9D2B1F-BA6B-40DD-83C9-413B1FC94603}"/>
            </a:ext>
          </a:extLst>
        </xdr:cNvPr>
        <xdr:cNvSpPr>
          <a:spLocks noChangeAspect="1"/>
        </xdr:cNvSpPr>
      </xdr:nvSpPr>
      <xdr:spPr>
        <a:xfrm>
          <a:off x="407736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21</xdr:row>
      <xdr:rowOff>42450</xdr:rowOff>
    </xdr:from>
    <xdr:to>
      <xdr:col>60</xdr:col>
      <xdr:colOff>633600</xdr:colOff>
      <xdr:row>22</xdr:row>
      <xdr:rowOff>15001</xdr:rowOff>
    </xdr:to>
    <xdr:sp macro="" textlink="">
      <xdr:nvSpPr>
        <xdr:cNvPr id="245475" name="フリーフォーム: 図形 245474">
          <a:extLst>
            <a:ext uri="{FF2B5EF4-FFF2-40B4-BE49-F238E27FC236}">
              <a16:creationId xmlns:a16="http://schemas.microsoft.com/office/drawing/2014/main" id="{FAEB6DCB-3C25-40B5-BEE2-CEF7E93B8FAD}"/>
            </a:ext>
          </a:extLst>
        </xdr:cNvPr>
        <xdr:cNvSpPr>
          <a:spLocks noChangeAspect="1"/>
        </xdr:cNvSpPr>
      </xdr:nvSpPr>
      <xdr:spPr>
        <a:xfrm>
          <a:off x="413135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21</xdr:row>
      <xdr:rowOff>114450</xdr:rowOff>
    </xdr:from>
    <xdr:to>
      <xdr:col>61</xdr:col>
      <xdr:colOff>19801</xdr:colOff>
      <xdr:row>27</xdr:row>
      <xdr:rowOff>21751</xdr:rowOff>
    </xdr:to>
    <xdr:sp macro="" textlink="">
      <xdr:nvSpPr>
        <xdr:cNvPr id="245476" name="フリーフォーム: 図形 245475">
          <a:extLst>
            <a:ext uri="{FF2B5EF4-FFF2-40B4-BE49-F238E27FC236}">
              <a16:creationId xmlns:a16="http://schemas.microsoft.com/office/drawing/2014/main" id="{78A6F451-4BF0-43CB-B8B0-48AB30DD75AA}"/>
            </a:ext>
          </a:extLst>
        </xdr:cNvPr>
        <xdr:cNvSpPr>
          <a:spLocks noChangeAspect="1"/>
        </xdr:cNvSpPr>
      </xdr:nvSpPr>
      <xdr:spPr>
        <a:xfrm>
          <a:off x="415655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27</xdr:row>
      <xdr:rowOff>75750</xdr:rowOff>
    </xdr:from>
    <xdr:to>
      <xdr:col>60</xdr:col>
      <xdr:colOff>525600</xdr:colOff>
      <xdr:row>32</xdr:row>
      <xdr:rowOff>136501</xdr:rowOff>
    </xdr:to>
    <xdr:sp macro="" textlink="">
      <xdr:nvSpPr>
        <xdr:cNvPr id="245477" name="フリーフォーム: 図形 245476">
          <a:extLst>
            <a:ext uri="{FF2B5EF4-FFF2-40B4-BE49-F238E27FC236}">
              <a16:creationId xmlns:a16="http://schemas.microsoft.com/office/drawing/2014/main" id="{753E79B3-7A6D-4906-A55F-5CEF2D55191F}"/>
            </a:ext>
          </a:extLst>
        </xdr:cNvPr>
        <xdr:cNvSpPr>
          <a:spLocks noChangeAspect="1"/>
        </xdr:cNvSpPr>
      </xdr:nvSpPr>
      <xdr:spPr>
        <a:xfrm>
          <a:off x="413856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32</xdr:row>
      <xdr:rowOff>64500</xdr:rowOff>
    </xdr:from>
    <xdr:to>
      <xdr:col>59</xdr:col>
      <xdr:colOff>455400</xdr:colOff>
      <xdr:row>33</xdr:row>
      <xdr:rowOff>37051</xdr:rowOff>
    </xdr:to>
    <xdr:sp macro="" textlink="">
      <xdr:nvSpPr>
        <xdr:cNvPr id="245478" name="フリーフォーム: 図形 245477">
          <a:extLst>
            <a:ext uri="{FF2B5EF4-FFF2-40B4-BE49-F238E27FC236}">
              <a16:creationId xmlns:a16="http://schemas.microsoft.com/office/drawing/2014/main" id="{16D13CB5-8A8C-4089-8236-7A10EB829263}"/>
            </a:ext>
          </a:extLst>
        </xdr:cNvPr>
        <xdr:cNvSpPr>
          <a:spLocks noChangeAspect="1"/>
        </xdr:cNvSpPr>
      </xdr:nvSpPr>
      <xdr:spPr>
        <a:xfrm>
          <a:off x="404316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32</xdr:row>
      <xdr:rowOff>64500</xdr:rowOff>
    </xdr:from>
    <xdr:to>
      <xdr:col>60</xdr:col>
      <xdr:colOff>273600</xdr:colOff>
      <xdr:row>33</xdr:row>
      <xdr:rowOff>37051</xdr:rowOff>
    </xdr:to>
    <xdr:sp macro="" textlink="">
      <xdr:nvSpPr>
        <xdr:cNvPr id="245479" name="フリーフォーム: 図形 245478">
          <a:extLst>
            <a:ext uri="{FF2B5EF4-FFF2-40B4-BE49-F238E27FC236}">
              <a16:creationId xmlns:a16="http://schemas.microsoft.com/office/drawing/2014/main" id="{3155B242-A555-4C60-9E45-9916B91931CF}"/>
            </a:ext>
          </a:extLst>
        </xdr:cNvPr>
        <xdr:cNvSpPr>
          <a:spLocks noChangeAspect="1"/>
        </xdr:cNvSpPr>
      </xdr:nvSpPr>
      <xdr:spPr>
        <a:xfrm>
          <a:off x="409535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27</xdr:row>
      <xdr:rowOff>75750</xdr:rowOff>
    </xdr:from>
    <xdr:to>
      <xdr:col>59</xdr:col>
      <xdr:colOff>203403</xdr:colOff>
      <xdr:row>32</xdr:row>
      <xdr:rowOff>136501</xdr:rowOff>
    </xdr:to>
    <xdr:sp macro="" textlink="">
      <xdr:nvSpPr>
        <xdr:cNvPr id="245480" name="フリーフォーム: 図形 245479">
          <a:extLst>
            <a:ext uri="{FF2B5EF4-FFF2-40B4-BE49-F238E27FC236}">
              <a16:creationId xmlns:a16="http://schemas.microsoft.com/office/drawing/2014/main" id="{93FA6BCA-8995-4381-B683-C3B83560A8C9}"/>
            </a:ext>
          </a:extLst>
        </xdr:cNvPr>
        <xdr:cNvSpPr>
          <a:spLocks noChangeAspect="1"/>
        </xdr:cNvSpPr>
      </xdr:nvSpPr>
      <xdr:spPr>
        <a:xfrm>
          <a:off x="403776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21</xdr:row>
      <xdr:rowOff>114450</xdr:rowOff>
    </xdr:from>
    <xdr:to>
      <xdr:col>59</xdr:col>
      <xdr:colOff>347400</xdr:colOff>
      <xdr:row>27</xdr:row>
      <xdr:rowOff>21751</xdr:rowOff>
    </xdr:to>
    <xdr:sp macro="" textlink="">
      <xdr:nvSpPr>
        <xdr:cNvPr id="245481" name="フリーフォーム: 図形 245480">
          <a:extLst>
            <a:ext uri="{FF2B5EF4-FFF2-40B4-BE49-F238E27FC236}">
              <a16:creationId xmlns:a16="http://schemas.microsoft.com/office/drawing/2014/main" id="{3FFED8DC-2797-4099-8CD0-B7A155B1A989}"/>
            </a:ext>
          </a:extLst>
        </xdr:cNvPr>
        <xdr:cNvSpPr>
          <a:spLocks noChangeAspect="1"/>
        </xdr:cNvSpPr>
      </xdr:nvSpPr>
      <xdr:spPr>
        <a:xfrm>
          <a:off x="405575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26</xdr:row>
      <xdr:rowOff>139200</xdr:rowOff>
    </xdr:from>
    <xdr:to>
      <xdr:col>59</xdr:col>
      <xdr:colOff>617402</xdr:colOff>
      <xdr:row>27</xdr:row>
      <xdr:rowOff>111751</xdr:rowOff>
    </xdr:to>
    <xdr:sp macro="" textlink="">
      <xdr:nvSpPr>
        <xdr:cNvPr id="245482" name="フリーフォーム: 図形 245481">
          <a:extLst>
            <a:ext uri="{FF2B5EF4-FFF2-40B4-BE49-F238E27FC236}">
              <a16:creationId xmlns:a16="http://schemas.microsoft.com/office/drawing/2014/main" id="{443EE54F-598E-4BAD-8DA3-87846583B180}"/>
            </a:ext>
          </a:extLst>
        </xdr:cNvPr>
        <xdr:cNvSpPr>
          <a:spLocks noChangeAspect="1"/>
        </xdr:cNvSpPr>
      </xdr:nvSpPr>
      <xdr:spPr>
        <a:xfrm>
          <a:off x="406296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26</xdr:row>
      <xdr:rowOff>139200</xdr:rowOff>
    </xdr:from>
    <xdr:to>
      <xdr:col>60</xdr:col>
      <xdr:colOff>435602</xdr:colOff>
      <xdr:row>27</xdr:row>
      <xdr:rowOff>111751</xdr:rowOff>
    </xdr:to>
    <xdr:sp macro="" textlink="">
      <xdr:nvSpPr>
        <xdr:cNvPr id="245483" name="フリーフォーム: 図形 245482">
          <a:extLst>
            <a:ext uri="{FF2B5EF4-FFF2-40B4-BE49-F238E27FC236}">
              <a16:creationId xmlns:a16="http://schemas.microsoft.com/office/drawing/2014/main" id="{2AA586FE-C60F-4583-B44A-07F247BEC853}"/>
            </a:ext>
          </a:extLst>
        </xdr:cNvPr>
        <xdr:cNvSpPr>
          <a:spLocks noChangeAspect="1"/>
        </xdr:cNvSpPr>
      </xdr:nvSpPr>
      <xdr:spPr>
        <a:xfrm>
          <a:off x="411336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22</xdr:row>
      <xdr:rowOff>51000</xdr:rowOff>
    </xdr:from>
    <xdr:to>
      <xdr:col>59</xdr:col>
      <xdr:colOff>635401</xdr:colOff>
      <xdr:row>27</xdr:row>
      <xdr:rowOff>3751</xdr:rowOff>
    </xdr:to>
    <xdr:sp macro="" textlink="">
      <xdr:nvSpPr>
        <xdr:cNvPr id="245484" name="フリーフォーム: 図形 245483">
          <a:extLst>
            <a:ext uri="{FF2B5EF4-FFF2-40B4-BE49-F238E27FC236}">
              <a16:creationId xmlns:a16="http://schemas.microsoft.com/office/drawing/2014/main" id="{9AB72C8C-6286-448B-9405-4C514189CFDF}"/>
            </a:ext>
          </a:extLst>
        </xdr:cNvPr>
        <xdr:cNvSpPr>
          <a:spLocks noChangeAspect="1"/>
        </xdr:cNvSpPr>
      </xdr:nvSpPr>
      <xdr:spPr>
        <a:xfrm>
          <a:off x="408276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21</xdr:row>
      <xdr:rowOff>114450</xdr:rowOff>
    </xdr:from>
    <xdr:to>
      <xdr:col>60</xdr:col>
      <xdr:colOff>201601</xdr:colOff>
      <xdr:row>26</xdr:row>
      <xdr:rowOff>157201</xdr:rowOff>
    </xdr:to>
    <xdr:sp macro="" textlink="">
      <xdr:nvSpPr>
        <xdr:cNvPr id="245485" name="フリーフォーム: 図形 245484">
          <a:extLst>
            <a:ext uri="{FF2B5EF4-FFF2-40B4-BE49-F238E27FC236}">
              <a16:creationId xmlns:a16="http://schemas.microsoft.com/office/drawing/2014/main" id="{611813F1-4BC6-4080-9C4B-42218F0B8D2B}"/>
            </a:ext>
          </a:extLst>
        </xdr:cNvPr>
        <xdr:cNvSpPr>
          <a:spLocks noChangeAspect="1"/>
        </xdr:cNvSpPr>
      </xdr:nvSpPr>
      <xdr:spPr>
        <a:xfrm>
          <a:off x="410976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22</xdr:row>
      <xdr:rowOff>69000</xdr:rowOff>
    </xdr:from>
    <xdr:to>
      <xdr:col>60</xdr:col>
      <xdr:colOff>525600</xdr:colOff>
      <xdr:row>27</xdr:row>
      <xdr:rowOff>3751</xdr:rowOff>
    </xdr:to>
    <xdr:sp macro="" textlink="">
      <xdr:nvSpPr>
        <xdr:cNvPr id="245486" name="フリーフォーム: 図形 245485">
          <a:extLst>
            <a:ext uri="{FF2B5EF4-FFF2-40B4-BE49-F238E27FC236}">
              <a16:creationId xmlns:a16="http://schemas.microsoft.com/office/drawing/2014/main" id="{03FAD8FD-FD03-454A-860F-E989E26BEA1D}"/>
            </a:ext>
          </a:extLst>
        </xdr:cNvPr>
        <xdr:cNvSpPr>
          <a:spLocks noChangeAspect="1"/>
        </xdr:cNvSpPr>
      </xdr:nvSpPr>
      <xdr:spPr>
        <a:xfrm>
          <a:off x="411516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27</xdr:row>
      <xdr:rowOff>75750</xdr:rowOff>
    </xdr:from>
    <xdr:to>
      <xdr:col>60</xdr:col>
      <xdr:colOff>237602</xdr:colOff>
      <xdr:row>31</xdr:row>
      <xdr:rowOff>163951</xdr:rowOff>
    </xdr:to>
    <xdr:sp macro="" textlink="">
      <xdr:nvSpPr>
        <xdr:cNvPr id="245487" name="フリーフォーム: 図形 245486">
          <a:extLst>
            <a:ext uri="{FF2B5EF4-FFF2-40B4-BE49-F238E27FC236}">
              <a16:creationId xmlns:a16="http://schemas.microsoft.com/office/drawing/2014/main" id="{90BC6993-585B-43EA-95DE-8B7D7EFFA113}"/>
            </a:ext>
          </a:extLst>
        </xdr:cNvPr>
        <xdr:cNvSpPr>
          <a:spLocks noChangeAspect="1"/>
        </xdr:cNvSpPr>
      </xdr:nvSpPr>
      <xdr:spPr>
        <a:xfrm>
          <a:off x="411155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27</xdr:row>
      <xdr:rowOff>93750</xdr:rowOff>
    </xdr:from>
    <xdr:to>
      <xdr:col>59</xdr:col>
      <xdr:colOff>653400</xdr:colOff>
      <xdr:row>32</xdr:row>
      <xdr:rowOff>118501</xdr:rowOff>
    </xdr:to>
    <xdr:sp macro="" textlink="">
      <xdr:nvSpPr>
        <xdr:cNvPr id="245488" name="フリーフォーム: 図形 245487">
          <a:extLst>
            <a:ext uri="{FF2B5EF4-FFF2-40B4-BE49-F238E27FC236}">
              <a16:creationId xmlns:a16="http://schemas.microsoft.com/office/drawing/2014/main" id="{7832441A-BA54-472D-A9EA-4D52BD166F81}"/>
            </a:ext>
          </a:extLst>
        </xdr:cNvPr>
        <xdr:cNvSpPr>
          <a:spLocks noChangeAspect="1"/>
        </xdr:cNvSpPr>
      </xdr:nvSpPr>
      <xdr:spPr>
        <a:xfrm>
          <a:off x="408816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27</xdr:row>
      <xdr:rowOff>75750</xdr:rowOff>
    </xdr:from>
    <xdr:to>
      <xdr:col>59</xdr:col>
      <xdr:colOff>617402</xdr:colOff>
      <xdr:row>32</xdr:row>
      <xdr:rowOff>10501</xdr:rowOff>
    </xdr:to>
    <xdr:sp macro="" textlink="">
      <xdr:nvSpPr>
        <xdr:cNvPr id="245489" name="フリーフォーム: 図形 245488">
          <a:extLst>
            <a:ext uri="{FF2B5EF4-FFF2-40B4-BE49-F238E27FC236}">
              <a16:creationId xmlns:a16="http://schemas.microsoft.com/office/drawing/2014/main" id="{4E4C0BAB-73E5-47B8-A27D-9EB5CD564AC2}"/>
            </a:ext>
          </a:extLst>
        </xdr:cNvPr>
        <xdr:cNvSpPr>
          <a:spLocks noChangeAspect="1"/>
        </xdr:cNvSpPr>
      </xdr:nvSpPr>
      <xdr:spPr>
        <a:xfrm>
          <a:off x="405575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21</xdr:row>
      <xdr:rowOff>42450</xdr:rowOff>
    </xdr:from>
    <xdr:to>
      <xdr:col>62</xdr:col>
      <xdr:colOff>550801</xdr:colOff>
      <xdr:row>22</xdr:row>
      <xdr:rowOff>15001</xdr:rowOff>
    </xdr:to>
    <xdr:sp macro="" textlink="">
      <xdr:nvSpPr>
        <xdr:cNvPr id="245490" name="フリーフォーム: 図形 245489">
          <a:extLst>
            <a:ext uri="{FF2B5EF4-FFF2-40B4-BE49-F238E27FC236}">
              <a16:creationId xmlns:a16="http://schemas.microsoft.com/office/drawing/2014/main" id="{2C23A667-C799-46AA-B820-0A9F5E180D8E}"/>
            </a:ext>
          </a:extLst>
        </xdr:cNvPr>
        <xdr:cNvSpPr>
          <a:spLocks noChangeAspect="1"/>
        </xdr:cNvSpPr>
      </xdr:nvSpPr>
      <xdr:spPr>
        <a:xfrm>
          <a:off x="426024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21</xdr:row>
      <xdr:rowOff>42450</xdr:rowOff>
    </xdr:from>
    <xdr:to>
      <xdr:col>63</xdr:col>
      <xdr:colOff>405000</xdr:colOff>
      <xdr:row>22</xdr:row>
      <xdr:rowOff>15001</xdr:rowOff>
    </xdr:to>
    <xdr:sp macro="" textlink="">
      <xdr:nvSpPr>
        <xdr:cNvPr id="245491" name="フリーフォーム: 図形 245490">
          <a:extLst>
            <a:ext uri="{FF2B5EF4-FFF2-40B4-BE49-F238E27FC236}">
              <a16:creationId xmlns:a16="http://schemas.microsoft.com/office/drawing/2014/main" id="{48325C71-E305-487E-B957-6E3624CC90BC}"/>
            </a:ext>
          </a:extLst>
        </xdr:cNvPr>
        <xdr:cNvSpPr>
          <a:spLocks noChangeAspect="1"/>
        </xdr:cNvSpPr>
      </xdr:nvSpPr>
      <xdr:spPr>
        <a:xfrm>
          <a:off x="431423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21</xdr:row>
      <xdr:rowOff>114450</xdr:rowOff>
    </xdr:from>
    <xdr:to>
      <xdr:col>63</xdr:col>
      <xdr:colOff>477001</xdr:colOff>
      <xdr:row>27</xdr:row>
      <xdr:rowOff>21751</xdr:rowOff>
    </xdr:to>
    <xdr:sp macro="" textlink="">
      <xdr:nvSpPr>
        <xdr:cNvPr id="245492" name="フリーフォーム: 図形 245491">
          <a:extLst>
            <a:ext uri="{FF2B5EF4-FFF2-40B4-BE49-F238E27FC236}">
              <a16:creationId xmlns:a16="http://schemas.microsoft.com/office/drawing/2014/main" id="{01946A39-D97E-4C6A-997A-38B6E6E0D789}"/>
            </a:ext>
          </a:extLst>
        </xdr:cNvPr>
        <xdr:cNvSpPr>
          <a:spLocks noChangeAspect="1"/>
        </xdr:cNvSpPr>
      </xdr:nvSpPr>
      <xdr:spPr>
        <a:xfrm>
          <a:off x="433943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27</xdr:row>
      <xdr:rowOff>75750</xdr:rowOff>
    </xdr:from>
    <xdr:to>
      <xdr:col>63</xdr:col>
      <xdr:colOff>297000</xdr:colOff>
      <xdr:row>32</xdr:row>
      <xdr:rowOff>136501</xdr:rowOff>
    </xdr:to>
    <xdr:sp macro="" textlink="">
      <xdr:nvSpPr>
        <xdr:cNvPr id="245493" name="フリーフォーム: 図形 245492">
          <a:extLst>
            <a:ext uri="{FF2B5EF4-FFF2-40B4-BE49-F238E27FC236}">
              <a16:creationId xmlns:a16="http://schemas.microsoft.com/office/drawing/2014/main" id="{E0803008-3314-44D0-987C-27FB78C46AD5}"/>
            </a:ext>
          </a:extLst>
        </xdr:cNvPr>
        <xdr:cNvSpPr>
          <a:spLocks noChangeAspect="1"/>
        </xdr:cNvSpPr>
      </xdr:nvSpPr>
      <xdr:spPr>
        <a:xfrm>
          <a:off x="432144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32</xdr:row>
      <xdr:rowOff>64500</xdr:rowOff>
    </xdr:from>
    <xdr:to>
      <xdr:col>62</xdr:col>
      <xdr:colOff>226800</xdr:colOff>
      <xdr:row>33</xdr:row>
      <xdr:rowOff>37051</xdr:rowOff>
    </xdr:to>
    <xdr:sp macro="" textlink="">
      <xdr:nvSpPr>
        <xdr:cNvPr id="245494" name="フリーフォーム: 図形 245493">
          <a:extLst>
            <a:ext uri="{FF2B5EF4-FFF2-40B4-BE49-F238E27FC236}">
              <a16:creationId xmlns:a16="http://schemas.microsoft.com/office/drawing/2014/main" id="{E3ED19F0-AD95-44A1-AA0C-8D6AE7B83C78}"/>
            </a:ext>
          </a:extLst>
        </xdr:cNvPr>
        <xdr:cNvSpPr>
          <a:spLocks noChangeAspect="1"/>
        </xdr:cNvSpPr>
      </xdr:nvSpPr>
      <xdr:spPr>
        <a:xfrm>
          <a:off x="422604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32</xdr:row>
      <xdr:rowOff>64500</xdr:rowOff>
    </xdr:from>
    <xdr:to>
      <xdr:col>63</xdr:col>
      <xdr:colOff>45000</xdr:colOff>
      <xdr:row>33</xdr:row>
      <xdr:rowOff>37051</xdr:rowOff>
    </xdr:to>
    <xdr:sp macro="" textlink="">
      <xdr:nvSpPr>
        <xdr:cNvPr id="245495" name="フリーフォーム: 図形 245494">
          <a:extLst>
            <a:ext uri="{FF2B5EF4-FFF2-40B4-BE49-F238E27FC236}">
              <a16:creationId xmlns:a16="http://schemas.microsoft.com/office/drawing/2014/main" id="{118E72DE-953B-4F87-9DDE-0EF683AAE184}"/>
            </a:ext>
          </a:extLst>
        </xdr:cNvPr>
        <xdr:cNvSpPr>
          <a:spLocks noChangeAspect="1"/>
        </xdr:cNvSpPr>
      </xdr:nvSpPr>
      <xdr:spPr>
        <a:xfrm>
          <a:off x="427823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27</xdr:row>
      <xdr:rowOff>75750</xdr:rowOff>
    </xdr:from>
    <xdr:to>
      <xdr:col>61</xdr:col>
      <xdr:colOff>660603</xdr:colOff>
      <xdr:row>32</xdr:row>
      <xdr:rowOff>136501</xdr:rowOff>
    </xdr:to>
    <xdr:sp macro="" textlink="">
      <xdr:nvSpPr>
        <xdr:cNvPr id="245496" name="フリーフォーム: 図形 245495">
          <a:extLst>
            <a:ext uri="{FF2B5EF4-FFF2-40B4-BE49-F238E27FC236}">
              <a16:creationId xmlns:a16="http://schemas.microsoft.com/office/drawing/2014/main" id="{17B9BEC0-3D0A-48CE-A75D-E684FCDBEC3B}"/>
            </a:ext>
          </a:extLst>
        </xdr:cNvPr>
        <xdr:cNvSpPr>
          <a:spLocks noChangeAspect="1"/>
        </xdr:cNvSpPr>
      </xdr:nvSpPr>
      <xdr:spPr>
        <a:xfrm>
          <a:off x="422064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21</xdr:row>
      <xdr:rowOff>114450</xdr:rowOff>
    </xdr:from>
    <xdr:to>
      <xdr:col>62</xdr:col>
      <xdr:colOff>118800</xdr:colOff>
      <xdr:row>27</xdr:row>
      <xdr:rowOff>21751</xdr:rowOff>
    </xdr:to>
    <xdr:sp macro="" textlink="">
      <xdr:nvSpPr>
        <xdr:cNvPr id="245497" name="フリーフォーム: 図形 245496">
          <a:extLst>
            <a:ext uri="{FF2B5EF4-FFF2-40B4-BE49-F238E27FC236}">
              <a16:creationId xmlns:a16="http://schemas.microsoft.com/office/drawing/2014/main" id="{9A95279D-92C1-4BED-BC2D-4BBCE05FA54D}"/>
            </a:ext>
          </a:extLst>
        </xdr:cNvPr>
        <xdr:cNvSpPr>
          <a:spLocks noChangeAspect="1"/>
        </xdr:cNvSpPr>
      </xdr:nvSpPr>
      <xdr:spPr>
        <a:xfrm>
          <a:off x="423863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26</xdr:row>
      <xdr:rowOff>139200</xdr:rowOff>
    </xdr:from>
    <xdr:to>
      <xdr:col>62</xdr:col>
      <xdr:colOff>388802</xdr:colOff>
      <xdr:row>27</xdr:row>
      <xdr:rowOff>111751</xdr:rowOff>
    </xdr:to>
    <xdr:sp macro="" textlink="">
      <xdr:nvSpPr>
        <xdr:cNvPr id="245498" name="フリーフォーム: 図形 245497">
          <a:extLst>
            <a:ext uri="{FF2B5EF4-FFF2-40B4-BE49-F238E27FC236}">
              <a16:creationId xmlns:a16="http://schemas.microsoft.com/office/drawing/2014/main" id="{A407B19C-3691-42BC-8695-4B6144CB36F2}"/>
            </a:ext>
          </a:extLst>
        </xdr:cNvPr>
        <xdr:cNvSpPr>
          <a:spLocks noChangeAspect="1"/>
        </xdr:cNvSpPr>
      </xdr:nvSpPr>
      <xdr:spPr>
        <a:xfrm>
          <a:off x="424584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26</xdr:row>
      <xdr:rowOff>139200</xdr:rowOff>
    </xdr:from>
    <xdr:to>
      <xdr:col>63</xdr:col>
      <xdr:colOff>207002</xdr:colOff>
      <xdr:row>27</xdr:row>
      <xdr:rowOff>111751</xdr:rowOff>
    </xdr:to>
    <xdr:sp macro="" textlink="">
      <xdr:nvSpPr>
        <xdr:cNvPr id="245499" name="フリーフォーム: 図形 245498">
          <a:extLst>
            <a:ext uri="{FF2B5EF4-FFF2-40B4-BE49-F238E27FC236}">
              <a16:creationId xmlns:a16="http://schemas.microsoft.com/office/drawing/2014/main" id="{5D9E47AF-1E1F-4EF6-851D-2A8F28C3D96B}"/>
            </a:ext>
          </a:extLst>
        </xdr:cNvPr>
        <xdr:cNvSpPr>
          <a:spLocks noChangeAspect="1"/>
        </xdr:cNvSpPr>
      </xdr:nvSpPr>
      <xdr:spPr>
        <a:xfrm>
          <a:off x="429624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22</xdr:row>
      <xdr:rowOff>51000</xdr:rowOff>
    </xdr:from>
    <xdr:to>
      <xdr:col>62</xdr:col>
      <xdr:colOff>406801</xdr:colOff>
      <xdr:row>27</xdr:row>
      <xdr:rowOff>3751</xdr:rowOff>
    </xdr:to>
    <xdr:sp macro="" textlink="">
      <xdr:nvSpPr>
        <xdr:cNvPr id="245500" name="フリーフォーム: 図形 245499">
          <a:extLst>
            <a:ext uri="{FF2B5EF4-FFF2-40B4-BE49-F238E27FC236}">
              <a16:creationId xmlns:a16="http://schemas.microsoft.com/office/drawing/2014/main" id="{D1359406-4947-4DBD-9DCE-EAD6EFF6AE3A}"/>
            </a:ext>
          </a:extLst>
        </xdr:cNvPr>
        <xdr:cNvSpPr>
          <a:spLocks noChangeAspect="1"/>
        </xdr:cNvSpPr>
      </xdr:nvSpPr>
      <xdr:spPr>
        <a:xfrm>
          <a:off x="426564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21</xdr:row>
      <xdr:rowOff>114450</xdr:rowOff>
    </xdr:from>
    <xdr:to>
      <xdr:col>62</xdr:col>
      <xdr:colOff>658801</xdr:colOff>
      <xdr:row>26</xdr:row>
      <xdr:rowOff>157201</xdr:rowOff>
    </xdr:to>
    <xdr:sp macro="" textlink="">
      <xdr:nvSpPr>
        <xdr:cNvPr id="245501" name="フリーフォーム: 図形 245500">
          <a:extLst>
            <a:ext uri="{FF2B5EF4-FFF2-40B4-BE49-F238E27FC236}">
              <a16:creationId xmlns:a16="http://schemas.microsoft.com/office/drawing/2014/main" id="{A8D4379B-C72F-41A5-8F1F-02D2DC7D0A07}"/>
            </a:ext>
          </a:extLst>
        </xdr:cNvPr>
        <xdr:cNvSpPr>
          <a:spLocks noChangeAspect="1"/>
        </xdr:cNvSpPr>
      </xdr:nvSpPr>
      <xdr:spPr>
        <a:xfrm>
          <a:off x="429264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22</xdr:row>
      <xdr:rowOff>69000</xdr:rowOff>
    </xdr:from>
    <xdr:to>
      <xdr:col>63</xdr:col>
      <xdr:colOff>297000</xdr:colOff>
      <xdr:row>27</xdr:row>
      <xdr:rowOff>3751</xdr:rowOff>
    </xdr:to>
    <xdr:sp macro="" textlink="">
      <xdr:nvSpPr>
        <xdr:cNvPr id="245502" name="フリーフォーム: 図形 245501">
          <a:extLst>
            <a:ext uri="{FF2B5EF4-FFF2-40B4-BE49-F238E27FC236}">
              <a16:creationId xmlns:a16="http://schemas.microsoft.com/office/drawing/2014/main" id="{A63E2AE1-9FBC-44D7-B489-8E043B53605F}"/>
            </a:ext>
          </a:extLst>
        </xdr:cNvPr>
        <xdr:cNvSpPr>
          <a:spLocks noChangeAspect="1"/>
        </xdr:cNvSpPr>
      </xdr:nvSpPr>
      <xdr:spPr>
        <a:xfrm>
          <a:off x="429804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27</xdr:row>
      <xdr:rowOff>75750</xdr:rowOff>
    </xdr:from>
    <xdr:to>
      <xdr:col>63</xdr:col>
      <xdr:colOff>9002</xdr:colOff>
      <xdr:row>31</xdr:row>
      <xdr:rowOff>163951</xdr:rowOff>
    </xdr:to>
    <xdr:sp macro="" textlink="">
      <xdr:nvSpPr>
        <xdr:cNvPr id="245503" name="フリーフォーム: 図形 245502">
          <a:extLst>
            <a:ext uri="{FF2B5EF4-FFF2-40B4-BE49-F238E27FC236}">
              <a16:creationId xmlns:a16="http://schemas.microsoft.com/office/drawing/2014/main" id="{3EC6B4BA-1875-412A-B3C1-FC6F225BF11E}"/>
            </a:ext>
          </a:extLst>
        </xdr:cNvPr>
        <xdr:cNvSpPr>
          <a:spLocks noChangeAspect="1"/>
        </xdr:cNvSpPr>
      </xdr:nvSpPr>
      <xdr:spPr>
        <a:xfrm>
          <a:off x="429443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27</xdr:row>
      <xdr:rowOff>93750</xdr:rowOff>
    </xdr:from>
    <xdr:to>
      <xdr:col>62</xdr:col>
      <xdr:colOff>424800</xdr:colOff>
      <xdr:row>32</xdr:row>
      <xdr:rowOff>118501</xdr:rowOff>
    </xdr:to>
    <xdr:sp macro="" textlink="">
      <xdr:nvSpPr>
        <xdr:cNvPr id="245504" name="フリーフォーム: 図形 245503">
          <a:extLst>
            <a:ext uri="{FF2B5EF4-FFF2-40B4-BE49-F238E27FC236}">
              <a16:creationId xmlns:a16="http://schemas.microsoft.com/office/drawing/2014/main" id="{4B9580CF-B215-45A4-B43B-E50C22290A71}"/>
            </a:ext>
          </a:extLst>
        </xdr:cNvPr>
        <xdr:cNvSpPr>
          <a:spLocks noChangeAspect="1"/>
        </xdr:cNvSpPr>
      </xdr:nvSpPr>
      <xdr:spPr>
        <a:xfrm>
          <a:off x="427104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27</xdr:row>
      <xdr:rowOff>75750</xdr:rowOff>
    </xdr:from>
    <xdr:to>
      <xdr:col>62</xdr:col>
      <xdr:colOff>388802</xdr:colOff>
      <xdr:row>32</xdr:row>
      <xdr:rowOff>10501</xdr:rowOff>
    </xdr:to>
    <xdr:sp macro="" textlink="">
      <xdr:nvSpPr>
        <xdr:cNvPr id="245505" name="フリーフォーム: 図形 245504">
          <a:extLst>
            <a:ext uri="{FF2B5EF4-FFF2-40B4-BE49-F238E27FC236}">
              <a16:creationId xmlns:a16="http://schemas.microsoft.com/office/drawing/2014/main" id="{11E48AC9-1434-4736-9870-6F6B1F1BDCF3}"/>
            </a:ext>
          </a:extLst>
        </xdr:cNvPr>
        <xdr:cNvSpPr>
          <a:spLocks noChangeAspect="1"/>
        </xdr:cNvSpPr>
      </xdr:nvSpPr>
      <xdr:spPr>
        <a:xfrm>
          <a:off x="423863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21</xdr:row>
      <xdr:rowOff>42450</xdr:rowOff>
    </xdr:from>
    <xdr:to>
      <xdr:col>65</xdr:col>
      <xdr:colOff>322201</xdr:colOff>
      <xdr:row>22</xdr:row>
      <xdr:rowOff>15001</xdr:rowOff>
    </xdr:to>
    <xdr:sp macro="" textlink="">
      <xdr:nvSpPr>
        <xdr:cNvPr id="245506" name="フリーフォーム: 図形 245505">
          <a:extLst>
            <a:ext uri="{FF2B5EF4-FFF2-40B4-BE49-F238E27FC236}">
              <a16:creationId xmlns:a16="http://schemas.microsoft.com/office/drawing/2014/main" id="{A8D4D0E2-ED7E-4FE9-8BC4-02D21AD604F7}"/>
            </a:ext>
          </a:extLst>
        </xdr:cNvPr>
        <xdr:cNvSpPr>
          <a:spLocks noChangeAspect="1"/>
        </xdr:cNvSpPr>
      </xdr:nvSpPr>
      <xdr:spPr>
        <a:xfrm>
          <a:off x="444312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21</xdr:row>
      <xdr:rowOff>42450</xdr:rowOff>
    </xdr:from>
    <xdr:to>
      <xdr:col>66</xdr:col>
      <xdr:colOff>176400</xdr:colOff>
      <xdr:row>22</xdr:row>
      <xdr:rowOff>15001</xdr:rowOff>
    </xdr:to>
    <xdr:sp macro="" textlink="">
      <xdr:nvSpPr>
        <xdr:cNvPr id="245507" name="フリーフォーム: 図形 245506">
          <a:extLst>
            <a:ext uri="{FF2B5EF4-FFF2-40B4-BE49-F238E27FC236}">
              <a16:creationId xmlns:a16="http://schemas.microsoft.com/office/drawing/2014/main" id="{84CF27CD-BC49-49D0-AFA8-D2F047C80F62}"/>
            </a:ext>
          </a:extLst>
        </xdr:cNvPr>
        <xdr:cNvSpPr>
          <a:spLocks noChangeAspect="1"/>
        </xdr:cNvSpPr>
      </xdr:nvSpPr>
      <xdr:spPr>
        <a:xfrm>
          <a:off x="449711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21</xdr:row>
      <xdr:rowOff>114450</xdr:rowOff>
    </xdr:from>
    <xdr:to>
      <xdr:col>66</xdr:col>
      <xdr:colOff>248401</xdr:colOff>
      <xdr:row>27</xdr:row>
      <xdr:rowOff>21751</xdr:rowOff>
    </xdr:to>
    <xdr:sp macro="" textlink="">
      <xdr:nvSpPr>
        <xdr:cNvPr id="245508" name="フリーフォーム: 図形 245507">
          <a:extLst>
            <a:ext uri="{FF2B5EF4-FFF2-40B4-BE49-F238E27FC236}">
              <a16:creationId xmlns:a16="http://schemas.microsoft.com/office/drawing/2014/main" id="{032CE891-B910-4B33-BE63-15522D0E3B2E}"/>
            </a:ext>
          </a:extLst>
        </xdr:cNvPr>
        <xdr:cNvSpPr>
          <a:spLocks noChangeAspect="1"/>
        </xdr:cNvSpPr>
      </xdr:nvSpPr>
      <xdr:spPr>
        <a:xfrm>
          <a:off x="452231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27</xdr:row>
      <xdr:rowOff>75750</xdr:rowOff>
    </xdr:from>
    <xdr:to>
      <xdr:col>66</xdr:col>
      <xdr:colOff>68400</xdr:colOff>
      <xdr:row>32</xdr:row>
      <xdr:rowOff>136501</xdr:rowOff>
    </xdr:to>
    <xdr:sp macro="" textlink="">
      <xdr:nvSpPr>
        <xdr:cNvPr id="245509" name="フリーフォーム: 図形 245508">
          <a:extLst>
            <a:ext uri="{FF2B5EF4-FFF2-40B4-BE49-F238E27FC236}">
              <a16:creationId xmlns:a16="http://schemas.microsoft.com/office/drawing/2014/main" id="{699FB9FA-80C8-40CB-A81C-ACAE794C5FAB}"/>
            </a:ext>
          </a:extLst>
        </xdr:cNvPr>
        <xdr:cNvSpPr>
          <a:spLocks noChangeAspect="1"/>
        </xdr:cNvSpPr>
      </xdr:nvSpPr>
      <xdr:spPr>
        <a:xfrm>
          <a:off x="450432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32</xdr:row>
      <xdr:rowOff>64500</xdr:rowOff>
    </xdr:from>
    <xdr:to>
      <xdr:col>64</xdr:col>
      <xdr:colOff>684000</xdr:colOff>
      <xdr:row>33</xdr:row>
      <xdr:rowOff>37051</xdr:rowOff>
    </xdr:to>
    <xdr:sp macro="" textlink="">
      <xdr:nvSpPr>
        <xdr:cNvPr id="245510" name="フリーフォーム: 図形 245509">
          <a:extLst>
            <a:ext uri="{FF2B5EF4-FFF2-40B4-BE49-F238E27FC236}">
              <a16:creationId xmlns:a16="http://schemas.microsoft.com/office/drawing/2014/main" id="{A908899E-F042-4D79-9648-FFBD8D3036D5}"/>
            </a:ext>
          </a:extLst>
        </xdr:cNvPr>
        <xdr:cNvSpPr>
          <a:spLocks noChangeAspect="1"/>
        </xdr:cNvSpPr>
      </xdr:nvSpPr>
      <xdr:spPr>
        <a:xfrm>
          <a:off x="440892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32</xdr:row>
      <xdr:rowOff>64500</xdr:rowOff>
    </xdr:from>
    <xdr:to>
      <xdr:col>65</xdr:col>
      <xdr:colOff>502200</xdr:colOff>
      <xdr:row>33</xdr:row>
      <xdr:rowOff>37051</xdr:rowOff>
    </xdr:to>
    <xdr:sp macro="" textlink="">
      <xdr:nvSpPr>
        <xdr:cNvPr id="245511" name="フリーフォーム: 図形 245510">
          <a:extLst>
            <a:ext uri="{FF2B5EF4-FFF2-40B4-BE49-F238E27FC236}">
              <a16:creationId xmlns:a16="http://schemas.microsoft.com/office/drawing/2014/main" id="{4EE3B25C-CEE8-4802-A4AC-075672D304C9}"/>
            </a:ext>
          </a:extLst>
        </xdr:cNvPr>
        <xdr:cNvSpPr>
          <a:spLocks noChangeAspect="1"/>
        </xdr:cNvSpPr>
      </xdr:nvSpPr>
      <xdr:spPr>
        <a:xfrm>
          <a:off x="446111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27</xdr:row>
      <xdr:rowOff>75750</xdr:rowOff>
    </xdr:from>
    <xdr:to>
      <xdr:col>64</xdr:col>
      <xdr:colOff>432003</xdr:colOff>
      <xdr:row>32</xdr:row>
      <xdr:rowOff>136501</xdr:rowOff>
    </xdr:to>
    <xdr:sp macro="" textlink="">
      <xdr:nvSpPr>
        <xdr:cNvPr id="245512" name="フリーフォーム: 図形 245511">
          <a:extLst>
            <a:ext uri="{FF2B5EF4-FFF2-40B4-BE49-F238E27FC236}">
              <a16:creationId xmlns:a16="http://schemas.microsoft.com/office/drawing/2014/main" id="{290140F5-E1AE-4F24-9090-5D96B79FBE8D}"/>
            </a:ext>
          </a:extLst>
        </xdr:cNvPr>
        <xdr:cNvSpPr>
          <a:spLocks noChangeAspect="1"/>
        </xdr:cNvSpPr>
      </xdr:nvSpPr>
      <xdr:spPr>
        <a:xfrm>
          <a:off x="440352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21</xdr:row>
      <xdr:rowOff>114450</xdr:rowOff>
    </xdr:from>
    <xdr:to>
      <xdr:col>64</xdr:col>
      <xdr:colOff>576000</xdr:colOff>
      <xdr:row>27</xdr:row>
      <xdr:rowOff>21751</xdr:rowOff>
    </xdr:to>
    <xdr:sp macro="" textlink="">
      <xdr:nvSpPr>
        <xdr:cNvPr id="245513" name="フリーフォーム: 図形 245512">
          <a:extLst>
            <a:ext uri="{FF2B5EF4-FFF2-40B4-BE49-F238E27FC236}">
              <a16:creationId xmlns:a16="http://schemas.microsoft.com/office/drawing/2014/main" id="{002AC841-301B-453B-A78A-312CC532229F}"/>
            </a:ext>
          </a:extLst>
        </xdr:cNvPr>
        <xdr:cNvSpPr>
          <a:spLocks noChangeAspect="1"/>
        </xdr:cNvSpPr>
      </xdr:nvSpPr>
      <xdr:spPr>
        <a:xfrm>
          <a:off x="442151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26</xdr:row>
      <xdr:rowOff>139200</xdr:rowOff>
    </xdr:from>
    <xdr:to>
      <xdr:col>65</xdr:col>
      <xdr:colOff>160202</xdr:colOff>
      <xdr:row>27</xdr:row>
      <xdr:rowOff>111751</xdr:rowOff>
    </xdr:to>
    <xdr:sp macro="" textlink="">
      <xdr:nvSpPr>
        <xdr:cNvPr id="245514" name="フリーフォーム: 図形 245513">
          <a:extLst>
            <a:ext uri="{FF2B5EF4-FFF2-40B4-BE49-F238E27FC236}">
              <a16:creationId xmlns:a16="http://schemas.microsoft.com/office/drawing/2014/main" id="{F270EF02-8B6A-4EE9-ADA8-58E2AB0F6D91}"/>
            </a:ext>
          </a:extLst>
        </xdr:cNvPr>
        <xdr:cNvSpPr>
          <a:spLocks noChangeAspect="1"/>
        </xdr:cNvSpPr>
      </xdr:nvSpPr>
      <xdr:spPr>
        <a:xfrm>
          <a:off x="442872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26</xdr:row>
      <xdr:rowOff>139200</xdr:rowOff>
    </xdr:from>
    <xdr:to>
      <xdr:col>65</xdr:col>
      <xdr:colOff>664202</xdr:colOff>
      <xdr:row>27</xdr:row>
      <xdr:rowOff>111751</xdr:rowOff>
    </xdr:to>
    <xdr:sp macro="" textlink="">
      <xdr:nvSpPr>
        <xdr:cNvPr id="245515" name="フリーフォーム: 図形 245514">
          <a:extLst>
            <a:ext uri="{FF2B5EF4-FFF2-40B4-BE49-F238E27FC236}">
              <a16:creationId xmlns:a16="http://schemas.microsoft.com/office/drawing/2014/main" id="{CB0A301F-955A-404E-A607-C5C4C33642AE}"/>
            </a:ext>
          </a:extLst>
        </xdr:cNvPr>
        <xdr:cNvSpPr>
          <a:spLocks noChangeAspect="1"/>
        </xdr:cNvSpPr>
      </xdr:nvSpPr>
      <xdr:spPr>
        <a:xfrm>
          <a:off x="447912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22</xdr:row>
      <xdr:rowOff>51000</xdr:rowOff>
    </xdr:from>
    <xdr:to>
      <xdr:col>65</xdr:col>
      <xdr:colOff>178201</xdr:colOff>
      <xdr:row>27</xdr:row>
      <xdr:rowOff>3751</xdr:rowOff>
    </xdr:to>
    <xdr:sp macro="" textlink="">
      <xdr:nvSpPr>
        <xdr:cNvPr id="245516" name="フリーフォーム: 図形 245515">
          <a:extLst>
            <a:ext uri="{FF2B5EF4-FFF2-40B4-BE49-F238E27FC236}">
              <a16:creationId xmlns:a16="http://schemas.microsoft.com/office/drawing/2014/main" id="{287CE760-E86C-4A9C-97B2-66FEDCE95808}"/>
            </a:ext>
          </a:extLst>
        </xdr:cNvPr>
        <xdr:cNvSpPr>
          <a:spLocks noChangeAspect="1"/>
        </xdr:cNvSpPr>
      </xdr:nvSpPr>
      <xdr:spPr>
        <a:xfrm>
          <a:off x="444852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21</xdr:row>
      <xdr:rowOff>114450</xdr:rowOff>
    </xdr:from>
    <xdr:to>
      <xdr:col>65</xdr:col>
      <xdr:colOff>430201</xdr:colOff>
      <xdr:row>26</xdr:row>
      <xdr:rowOff>157201</xdr:rowOff>
    </xdr:to>
    <xdr:sp macro="" textlink="">
      <xdr:nvSpPr>
        <xdr:cNvPr id="245517" name="フリーフォーム: 図形 245516">
          <a:extLst>
            <a:ext uri="{FF2B5EF4-FFF2-40B4-BE49-F238E27FC236}">
              <a16:creationId xmlns:a16="http://schemas.microsoft.com/office/drawing/2014/main" id="{E4B74515-9547-47F6-80B5-CD99EA9ED03B}"/>
            </a:ext>
          </a:extLst>
        </xdr:cNvPr>
        <xdr:cNvSpPr>
          <a:spLocks noChangeAspect="1"/>
        </xdr:cNvSpPr>
      </xdr:nvSpPr>
      <xdr:spPr>
        <a:xfrm>
          <a:off x="447552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22</xdr:row>
      <xdr:rowOff>69000</xdr:rowOff>
    </xdr:from>
    <xdr:to>
      <xdr:col>66</xdr:col>
      <xdr:colOff>68400</xdr:colOff>
      <xdr:row>27</xdr:row>
      <xdr:rowOff>3751</xdr:rowOff>
    </xdr:to>
    <xdr:sp macro="" textlink="">
      <xdr:nvSpPr>
        <xdr:cNvPr id="245518" name="フリーフォーム: 図形 245517">
          <a:extLst>
            <a:ext uri="{FF2B5EF4-FFF2-40B4-BE49-F238E27FC236}">
              <a16:creationId xmlns:a16="http://schemas.microsoft.com/office/drawing/2014/main" id="{FFC2A93B-212E-44E6-837E-E51AD38A5292}"/>
            </a:ext>
          </a:extLst>
        </xdr:cNvPr>
        <xdr:cNvSpPr>
          <a:spLocks noChangeAspect="1"/>
        </xdr:cNvSpPr>
      </xdr:nvSpPr>
      <xdr:spPr>
        <a:xfrm>
          <a:off x="448092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27</xdr:row>
      <xdr:rowOff>75750</xdr:rowOff>
    </xdr:from>
    <xdr:to>
      <xdr:col>65</xdr:col>
      <xdr:colOff>466202</xdr:colOff>
      <xdr:row>31</xdr:row>
      <xdr:rowOff>163951</xdr:rowOff>
    </xdr:to>
    <xdr:sp macro="" textlink="">
      <xdr:nvSpPr>
        <xdr:cNvPr id="245519" name="フリーフォーム: 図形 245518">
          <a:extLst>
            <a:ext uri="{FF2B5EF4-FFF2-40B4-BE49-F238E27FC236}">
              <a16:creationId xmlns:a16="http://schemas.microsoft.com/office/drawing/2014/main" id="{A46F8246-3206-4516-A0DA-3A3033C63223}"/>
            </a:ext>
          </a:extLst>
        </xdr:cNvPr>
        <xdr:cNvSpPr>
          <a:spLocks noChangeAspect="1"/>
        </xdr:cNvSpPr>
      </xdr:nvSpPr>
      <xdr:spPr>
        <a:xfrm>
          <a:off x="447731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27</xdr:row>
      <xdr:rowOff>93750</xdr:rowOff>
    </xdr:from>
    <xdr:to>
      <xdr:col>65</xdr:col>
      <xdr:colOff>196200</xdr:colOff>
      <xdr:row>32</xdr:row>
      <xdr:rowOff>118501</xdr:rowOff>
    </xdr:to>
    <xdr:sp macro="" textlink="">
      <xdr:nvSpPr>
        <xdr:cNvPr id="245520" name="フリーフォーム: 図形 245519">
          <a:extLst>
            <a:ext uri="{FF2B5EF4-FFF2-40B4-BE49-F238E27FC236}">
              <a16:creationId xmlns:a16="http://schemas.microsoft.com/office/drawing/2014/main" id="{E19B7862-D9A8-4767-80A0-698B4C65A89B}"/>
            </a:ext>
          </a:extLst>
        </xdr:cNvPr>
        <xdr:cNvSpPr>
          <a:spLocks noChangeAspect="1"/>
        </xdr:cNvSpPr>
      </xdr:nvSpPr>
      <xdr:spPr>
        <a:xfrm>
          <a:off x="445392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27</xdr:row>
      <xdr:rowOff>75750</xdr:rowOff>
    </xdr:from>
    <xdr:to>
      <xdr:col>65</xdr:col>
      <xdr:colOff>160202</xdr:colOff>
      <xdr:row>32</xdr:row>
      <xdr:rowOff>10501</xdr:rowOff>
    </xdr:to>
    <xdr:sp macro="" textlink="">
      <xdr:nvSpPr>
        <xdr:cNvPr id="245521" name="フリーフォーム: 図形 245520">
          <a:extLst>
            <a:ext uri="{FF2B5EF4-FFF2-40B4-BE49-F238E27FC236}">
              <a16:creationId xmlns:a16="http://schemas.microsoft.com/office/drawing/2014/main" id="{ED0823C5-89A9-4AB0-AF89-DA2190EFFFBC}"/>
            </a:ext>
          </a:extLst>
        </xdr:cNvPr>
        <xdr:cNvSpPr>
          <a:spLocks noChangeAspect="1"/>
        </xdr:cNvSpPr>
      </xdr:nvSpPr>
      <xdr:spPr>
        <a:xfrm>
          <a:off x="442151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21</xdr:row>
      <xdr:rowOff>42450</xdr:rowOff>
    </xdr:from>
    <xdr:to>
      <xdr:col>68</xdr:col>
      <xdr:colOff>93601</xdr:colOff>
      <xdr:row>22</xdr:row>
      <xdr:rowOff>15001</xdr:rowOff>
    </xdr:to>
    <xdr:sp macro="" textlink="">
      <xdr:nvSpPr>
        <xdr:cNvPr id="245522" name="フリーフォーム: 図形 245521">
          <a:extLst>
            <a:ext uri="{FF2B5EF4-FFF2-40B4-BE49-F238E27FC236}">
              <a16:creationId xmlns:a16="http://schemas.microsoft.com/office/drawing/2014/main" id="{A7299FFE-3BE9-4054-941F-162294C664A4}"/>
            </a:ext>
          </a:extLst>
        </xdr:cNvPr>
        <xdr:cNvSpPr>
          <a:spLocks noChangeAspect="1"/>
        </xdr:cNvSpPr>
      </xdr:nvSpPr>
      <xdr:spPr>
        <a:xfrm>
          <a:off x="462600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21</xdr:row>
      <xdr:rowOff>42450</xdr:rowOff>
    </xdr:from>
    <xdr:to>
      <xdr:col>68</xdr:col>
      <xdr:colOff>633600</xdr:colOff>
      <xdr:row>22</xdr:row>
      <xdr:rowOff>15001</xdr:rowOff>
    </xdr:to>
    <xdr:sp macro="" textlink="">
      <xdr:nvSpPr>
        <xdr:cNvPr id="245523" name="フリーフォーム: 図形 245522">
          <a:extLst>
            <a:ext uri="{FF2B5EF4-FFF2-40B4-BE49-F238E27FC236}">
              <a16:creationId xmlns:a16="http://schemas.microsoft.com/office/drawing/2014/main" id="{EBEAEEF2-837F-4A8E-8E3E-896C0C7A7016}"/>
            </a:ext>
          </a:extLst>
        </xdr:cNvPr>
        <xdr:cNvSpPr>
          <a:spLocks noChangeAspect="1"/>
        </xdr:cNvSpPr>
      </xdr:nvSpPr>
      <xdr:spPr>
        <a:xfrm>
          <a:off x="467999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21</xdr:row>
      <xdr:rowOff>114450</xdr:rowOff>
    </xdr:from>
    <xdr:to>
      <xdr:col>69</xdr:col>
      <xdr:colOff>19801</xdr:colOff>
      <xdr:row>27</xdr:row>
      <xdr:rowOff>21751</xdr:rowOff>
    </xdr:to>
    <xdr:sp macro="" textlink="">
      <xdr:nvSpPr>
        <xdr:cNvPr id="245524" name="フリーフォーム: 図形 245523">
          <a:extLst>
            <a:ext uri="{FF2B5EF4-FFF2-40B4-BE49-F238E27FC236}">
              <a16:creationId xmlns:a16="http://schemas.microsoft.com/office/drawing/2014/main" id="{3CB03034-46A9-4CF1-8923-813C3A7CEF81}"/>
            </a:ext>
          </a:extLst>
        </xdr:cNvPr>
        <xdr:cNvSpPr>
          <a:spLocks noChangeAspect="1"/>
        </xdr:cNvSpPr>
      </xdr:nvSpPr>
      <xdr:spPr>
        <a:xfrm>
          <a:off x="470519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27</xdr:row>
      <xdr:rowOff>75750</xdr:rowOff>
    </xdr:from>
    <xdr:to>
      <xdr:col>68</xdr:col>
      <xdr:colOff>525600</xdr:colOff>
      <xdr:row>32</xdr:row>
      <xdr:rowOff>136501</xdr:rowOff>
    </xdr:to>
    <xdr:sp macro="" textlink="">
      <xdr:nvSpPr>
        <xdr:cNvPr id="245525" name="フリーフォーム: 図形 245524">
          <a:extLst>
            <a:ext uri="{FF2B5EF4-FFF2-40B4-BE49-F238E27FC236}">
              <a16:creationId xmlns:a16="http://schemas.microsoft.com/office/drawing/2014/main" id="{3AE3A6E7-EEC4-446A-9212-AB7699572B1E}"/>
            </a:ext>
          </a:extLst>
        </xdr:cNvPr>
        <xdr:cNvSpPr>
          <a:spLocks noChangeAspect="1"/>
        </xdr:cNvSpPr>
      </xdr:nvSpPr>
      <xdr:spPr>
        <a:xfrm>
          <a:off x="468720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32</xdr:row>
      <xdr:rowOff>64500</xdr:rowOff>
    </xdr:from>
    <xdr:to>
      <xdr:col>67</xdr:col>
      <xdr:colOff>455400</xdr:colOff>
      <xdr:row>33</xdr:row>
      <xdr:rowOff>37051</xdr:rowOff>
    </xdr:to>
    <xdr:sp macro="" textlink="">
      <xdr:nvSpPr>
        <xdr:cNvPr id="245526" name="フリーフォーム: 図形 245525">
          <a:extLst>
            <a:ext uri="{FF2B5EF4-FFF2-40B4-BE49-F238E27FC236}">
              <a16:creationId xmlns:a16="http://schemas.microsoft.com/office/drawing/2014/main" id="{C9B10193-29CD-4F3E-B966-4FE768478C25}"/>
            </a:ext>
          </a:extLst>
        </xdr:cNvPr>
        <xdr:cNvSpPr>
          <a:spLocks noChangeAspect="1"/>
        </xdr:cNvSpPr>
      </xdr:nvSpPr>
      <xdr:spPr>
        <a:xfrm>
          <a:off x="459180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32</xdr:row>
      <xdr:rowOff>64500</xdr:rowOff>
    </xdr:from>
    <xdr:to>
      <xdr:col>68</xdr:col>
      <xdr:colOff>273600</xdr:colOff>
      <xdr:row>33</xdr:row>
      <xdr:rowOff>37051</xdr:rowOff>
    </xdr:to>
    <xdr:sp macro="" textlink="">
      <xdr:nvSpPr>
        <xdr:cNvPr id="245527" name="フリーフォーム: 図形 245526">
          <a:extLst>
            <a:ext uri="{FF2B5EF4-FFF2-40B4-BE49-F238E27FC236}">
              <a16:creationId xmlns:a16="http://schemas.microsoft.com/office/drawing/2014/main" id="{37DA285F-EDA5-4720-BC8F-04EE753F7D6D}"/>
            </a:ext>
          </a:extLst>
        </xdr:cNvPr>
        <xdr:cNvSpPr>
          <a:spLocks noChangeAspect="1"/>
        </xdr:cNvSpPr>
      </xdr:nvSpPr>
      <xdr:spPr>
        <a:xfrm>
          <a:off x="464399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27</xdr:row>
      <xdr:rowOff>75750</xdr:rowOff>
    </xdr:from>
    <xdr:to>
      <xdr:col>67</xdr:col>
      <xdr:colOff>203403</xdr:colOff>
      <xdr:row>32</xdr:row>
      <xdr:rowOff>136501</xdr:rowOff>
    </xdr:to>
    <xdr:sp macro="" textlink="">
      <xdr:nvSpPr>
        <xdr:cNvPr id="245528" name="フリーフォーム: 図形 245527">
          <a:extLst>
            <a:ext uri="{FF2B5EF4-FFF2-40B4-BE49-F238E27FC236}">
              <a16:creationId xmlns:a16="http://schemas.microsoft.com/office/drawing/2014/main" id="{CE381124-7789-4475-A812-4F63E924E7A7}"/>
            </a:ext>
          </a:extLst>
        </xdr:cNvPr>
        <xdr:cNvSpPr>
          <a:spLocks noChangeAspect="1"/>
        </xdr:cNvSpPr>
      </xdr:nvSpPr>
      <xdr:spPr>
        <a:xfrm>
          <a:off x="458640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21</xdr:row>
      <xdr:rowOff>114450</xdr:rowOff>
    </xdr:from>
    <xdr:to>
      <xdr:col>67</xdr:col>
      <xdr:colOff>347400</xdr:colOff>
      <xdr:row>27</xdr:row>
      <xdr:rowOff>21751</xdr:rowOff>
    </xdr:to>
    <xdr:sp macro="" textlink="">
      <xdr:nvSpPr>
        <xdr:cNvPr id="245529" name="フリーフォーム: 図形 245528">
          <a:extLst>
            <a:ext uri="{FF2B5EF4-FFF2-40B4-BE49-F238E27FC236}">
              <a16:creationId xmlns:a16="http://schemas.microsoft.com/office/drawing/2014/main" id="{17E66B21-E4FE-4F81-BF0D-2FF02CEB468E}"/>
            </a:ext>
          </a:extLst>
        </xdr:cNvPr>
        <xdr:cNvSpPr>
          <a:spLocks noChangeAspect="1"/>
        </xdr:cNvSpPr>
      </xdr:nvSpPr>
      <xdr:spPr>
        <a:xfrm>
          <a:off x="460439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26</xdr:row>
      <xdr:rowOff>139200</xdr:rowOff>
    </xdr:from>
    <xdr:to>
      <xdr:col>67</xdr:col>
      <xdr:colOff>617402</xdr:colOff>
      <xdr:row>27</xdr:row>
      <xdr:rowOff>111751</xdr:rowOff>
    </xdr:to>
    <xdr:sp macro="" textlink="">
      <xdr:nvSpPr>
        <xdr:cNvPr id="245530" name="フリーフォーム: 図形 245529">
          <a:extLst>
            <a:ext uri="{FF2B5EF4-FFF2-40B4-BE49-F238E27FC236}">
              <a16:creationId xmlns:a16="http://schemas.microsoft.com/office/drawing/2014/main" id="{2BB2ADF9-3904-45B0-BA2A-E8DED7E93788}"/>
            </a:ext>
          </a:extLst>
        </xdr:cNvPr>
        <xdr:cNvSpPr>
          <a:spLocks noChangeAspect="1"/>
        </xdr:cNvSpPr>
      </xdr:nvSpPr>
      <xdr:spPr>
        <a:xfrm>
          <a:off x="461160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26</xdr:row>
      <xdr:rowOff>139200</xdr:rowOff>
    </xdr:from>
    <xdr:to>
      <xdr:col>68</xdr:col>
      <xdr:colOff>435602</xdr:colOff>
      <xdr:row>27</xdr:row>
      <xdr:rowOff>111751</xdr:rowOff>
    </xdr:to>
    <xdr:sp macro="" textlink="">
      <xdr:nvSpPr>
        <xdr:cNvPr id="245531" name="フリーフォーム: 図形 245530">
          <a:extLst>
            <a:ext uri="{FF2B5EF4-FFF2-40B4-BE49-F238E27FC236}">
              <a16:creationId xmlns:a16="http://schemas.microsoft.com/office/drawing/2014/main" id="{BE89106F-B3FC-4B33-BA59-AA32C6D0E16F}"/>
            </a:ext>
          </a:extLst>
        </xdr:cNvPr>
        <xdr:cNvSpPr>
          <a:spLocks noChangeAspect="1"/>
        </xdr:cNvSpPr>
      </xdr:nvSpPr>
      <xdr:spPr>
        <a:xfrm>
          <a:off x="466200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22</xdr:row>
      <xdr:rowOff>51000</xdr:rowOff>
    </xdr:from>
    <xdr:to>
      <xdr:col>67</xdr:col>
      <xdr:colOff>635401</xdr:colOff>
      <xdr:row>27</xdr:row>
      <xdr:rowOff>3751</xdr:rowOff>
    </xdr:to>
    <xdr:sp macro="" textlink="">
      <xdr:nvSpPr>
        <xdr:cNvPr id="245532" name="フリーフォーム: 図形 245531">
          <a:extLst>
            <a:ext uri="{FF2B5EF4-FFF2-40B4-BE49-F238E27FC236}">
              <a16:creationId xmlns:a16="http://schemas.microsoft.com/office/drawing/2014/main" id="{BB886328-3132-416C-BB93-7B8BDBCEC58C}"/>
            </a:ext>
          </a:extLst>
        </xdr:cNvPr>
        <xdr:cNvSpPr>
          <a:spLocks noChangeAspect="1"/>
        </xdr:cNvSpPr>
      </xdr:nvSpPr>
      <xdr:spPr>
        <a:xfrm>
          <a:off x="463140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21</xdr:row>
      <xdr:rowOff>114450</xdr:rowOff>
    </xdr:from>
    <xdr:to>
      <xdr:col>68</xdr:col>
      <xdr:colOff>201601</xdr:colOff>
      <xdr:row>26</xdr:row>
      <xdr:rowOff>157201</xdr:rowOff>
    </xdr:to>
    <xdr:sp macro="" textlink="">
      <xdr:nvSpPr>
        <xdr:cNvPr id="245533" name="フリーフォーム: 図形 245532">
          <a:extLst>
            <a:ext uri="{FF2B5EF4-FFF2-40B4-BE49-F238E27FC236}">
              <a16:creationId xmlns:a16="http://schemas.microsoft.com/office/drawing/2014/main" id="{DD4F64AA-CE5D-4935-B869-C26DAC5F1014}"/>
            </a:ext>
          </a:extLst>
        </xdr:cNvPr>
        <xdr:cNvSpPr>
          <a:spLocks noChangeAspect="1"/>
        </xdr:cNvSpPr>
      </xdr:nvSpPr>
      <xdr:spPr>
        <a:xfrm>
          <a:off x="465840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22</xdr:row>
      <xdr:rowOff>69000</xdr:rowOff>
    </xdr:from>
    <xdr:to>
      <xdr:col>68</xdr:col>
      <xdr:colOff>525600</xdr:colOff>
      <xdr:row>27</xdr:row>
      <xdr:rowOff>3751</xdr:rowOff>
    </xdr:to>
    <xdr:sp macro="" textlink="">
      <xdr:nvSpPr>
        <xdr:cNvPr id="245534" name="フリーフォーム: 図形 245533">
          <a:extLst>
            <a:ext uri="{FF2B5EF4-FFF2-40B4-BE49-F238E27FC236}">
              <a16:creationId xmlns:a16="http://schemas.microsoft.com/office/drawing/2014/main" id="{09AFDFD1-3C61-431F-9BD2-3811C70353CD}"/>
            </a:ext>
          </a:extLst>
        </xdr:cNvPr>
        <xdr:cNvSpPr>
          <a:spLocks noChangeAspect="1"/>
        </xdr:cNvSpPr>
      </xdr:nvSpPr>
      <xdr:spPr>
        <a:xfrm>
          <a:off x="466380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27</xdr:row>
      <xdr:rowOff>75750</xdr:rowOff>
    </xdr:from>
    <xdr:to>
      <xdr:col>68</xdr:col>
      <xdr:colOff>237602</xdr:colOff>
      <xdr:row>31</xdr:row>
      <xdr:rowOff>163951</xdr:rowOff>
    </xdr:to>
    <xdr:sp macro="" textlink="">
      <xdr:nvSpPr>
        <xdr:cNvPr id="245535" name="フリーフォーム: 図形 245534">
          <a:extLst>
            <a:ext uri="{FF2B5EF4-FFF2-40B4-BE49-F238E27FC236}">
              <a16:creationId xmlns:a16="http://schemas.microsoft.com/office/drawing/2014/main" id="{8D8FD725-0265-4346-88FA-09EBA675D13D}"/>
            </a:ext>
          </a:extLst>
        </xdr:cNvPr>
        <xdr:cNvSpPr>
          <a:spLocks noChangeAspect="1"/>
        </xdr:cNvSpPr>
      </xdr:nvSpPr>
      <xdr:spPr>
        <a:xfrm>
          <a:off x="466019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27</xdr:row>
      <xdr:rowOff>93750</xdr:rowOff>
    </xdr:from>
    <xdr:to>
      <xdr:col>67</xdr:col>
      <xdr:colOff>653400</xdr:colOff>
      <xdr:row>32</xdr:row>
      <xdr:rowOff>118501</xdr:rowOff>
    </xdr:to>
    <xdr:sp macro="" textlink="">
      <xdr:nvSpPr>
        <xdr:cNvPr id="245536" name="フリーフォーム: 図形 245535">
          <a:extLst>
            <a:ext uri="{FF2B5EF4-FFF2-40B4-BE49-F238E27FC236}">
              <a16:creationId xmlns:a16="http://schemas.microsoft.com/office/drawing/2014/main" id="{4183F6D6-5B4F-4CC0-AFE7-7ADE53769C75}"/>
            </a:ext>
          </a:extLst>
        </xdr:cNvPr>
        <xdr:cNvSpPr>
          <a:spLocks noChangeAspect="1"/>
        </xdr:cNvSpPr>
      </xdr:nvSpPr>
      <xdr:spPr>
        <a:xfrm>
          <a:off x="463680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27</xdr:row>
      <xdr:rowOff>75750</xdr:rowOff>
    </xdr:from>
    <xdr:to>
      <xdr:col>67</xdr:col>
      <xdr:colOff>617402</xdr:colOff>
      <xdr:row>32</xdr:row>
      <xdr:rowOff>10501</xdr:rowOff>
    </xdr:to>
    <xdr:sp macro="" textlink="">
      <xdr:nvSpPr>
        <xdr:cNvPr id="245537" name="フリーフォーム: 図形 245536">
          <a:extLst>
            <a:ext uri="{FF2B5EF4-FFF2-40B4-BE49-F238E27FC236}">
              <a16:creationId xmlns:a16="http://schemas.microsoft.com/office/drawing/2014/main" id="{211EEDDA-1E31-4202-988B-DAE48799B4A1}"/>
            </a:ext>
          </a:extLst>
        </xdr:cNvPr>
        <xdr:cNvSpPr>
          <a:spLocks noChangeAspect="1"/>
        </xdr:cNvSpPr>
      </xdr:nvSpPr>
      <xdr:spPr>
        <a:xfrm>
          <a:off x="460439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21</xdr:row>
      <xdr:rowOff>42450</xdr:rowOff>
    </xdr:from>
    <xdr:to>
      <xdr:col>70</xdr:col>
      <xdr:colOff>550801</xdr:colOff>
      <xdr:row>22</xdr:row>
      <xdr:rowOff>15001</xdr:rowOff>
    </xdr:to>
    <xdr:sp macro="" textlink="">
      <xdr:nvSpPr>
        <xdr:cNvPr id="245538" name="フリーフォーム: 図形 245537">
          <a:extLst>
            <a:ext uri="{FF2B5EF4-FFF2-40B4-BE49-F238E27FC236}">
              <a16:creationId xmlns:a16="http://schemas.microsoft.com/office/drawing/2014/main" id="{744578A9-02C3-469B-A7EE-1BC8CFFC95C4}"/>
            </a:ext>
          </a:extLst>
        </xdr:cNvPr>
        <xdr:cNvSpPr>
          <a:spLocks noChangeAspect="1"/>
        </xdr:cNvSpPr>
      </xdr:nvSpPr>
      <xdr:spPr>
        <a:xfrm>
          <a:off x="480888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21</xdr:row>
      <xdr:rowOff>42450</xdr:rowOff>
    </xdr:from>
    <xdr:to>
      <xdr:col>71</xdr:col>
      <xdr:colOff>405000</xdr:colOff>
      <xdr:row>22</xdr:row>
      <xdr:rowOff>15001</xdr:rowOff>
    </xdr:to>
    <xdr:sp macro="" textlink="">
      <xdr:nvSpPr>
        <xdr:cNvPr id="245539" name="フリーフォーム: 図形 245538">
          <a:extLst>
            <a:ext uri="{FF2B5EF4-FFF2-40B4-BE49-F238E27FC236}">
              <a16:creationId xmlns:a16="http://schemas.microsoft.com/office/drawing/2014/main" id="{9C98C92F-58F0-4230-9515-9EAF4A745685}"/>
            </a:ext>
          </a:extLst>
        </xdr:cNvPr>
        <xdr:cNvSpPr>
          <a:spLocks noChangeAspect="1"/>
        </xdr:cNvSpPr>
      </xdr:nvSpPr>
      <xdr:spPr>
        <a:xfrm>
          <a:off x="486287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21</xdr:row>
      <xdr:rowOff>114450</xdr:rowOff>
    </xdr:from>
    <xdr:to>
      <xdr:col>71</xdr:col>
      <xdr:colOff>477001</xdr:colOff>
      <xdr:row>27</xdr:row>
      <xdr:rowOff>21751</xdr:rowOff>
    </xdr:to>
    <xdr:sp macro="" textlink="">
      <xdr:nvSpPr>
        <xdr:cNvPr id="245540" name="フリーフォーム: 図形 245539">
          <a:extLst>
            <a:ext uri="{FF2B5EF4-FFF2-40B4-BE49-F238E27FC236}">
              <a16:creationId xmlns:a16="http://schemas.microsoft.com/office/drawing/2014/main" id="{683B7995-84B0-46D7-91F9-022679FD17C3}"/>
            </a:ext>
          </a:extLst>
        </xdr:cNvPr>
        <xdr:cNvSpPr>
          <a:spLocks noChangeAspect="1"/>
        </xdr:cNvSpPr>
      </xdr:nvSpPr>
      <xdr:spPr>
        <a:xfrm>
          <a:off x="488807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27</xdr:row>
      <xdr:rowOff>75750</xdr:rowOff>
    </xdr:from>
    <xdr:to>
      <xdr:col>71</xdr:col>
      <xdr:colOff>297000</xdr:colOff>
      <xdr:row>32</xdr:row>
      <xdr:rowOff>136501</xdr:rowOff>
    </xdr:to>
    <xdr:sp macro="" textlink="">
      <xdr:nvSpPr>
        <xdr:cNvPr id="245541" name="フリーフォーム: 図形 245540">
          <a:extLst>
            <a:ext uri="{FF2B5EF4-FFF2-40B4-BE49-F238E27FC236}">
              <a16:creationId xmlns:a16="http://schemas.microsoft.com/office/drawing/2014/main" id="{F5417BCB-C60E-40D2-ABDF-6A26C7BFA514}"/>
            </a:ext>
          </a:extLst>
        </xdr:cNvPr>
        <xdr:cNvSpPr>
          <a:spLocks noChangeAspect="1"/>
        </xdr:cNvSpPr>
      </xdr:nvSpPr>
      <xdr:spPr>
        <a:xfrm>
          <a:off x="487008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32</xdr:row>
      <xdr:rowOff>64500</xdr:rowOff>
    </xdr:from>
    <xdr:to>
      <xdr:col>70</xdr:col>
      <xdr:colOff>226800</xdr:colOff>
      <xdr:row>33</xdr:row>
      <xdr:rowOff>37051</xdr:rowOff>
    </xdr:to>
    <xdr:sp macro="" textlink="">
      <xdr:nvSpPr>
        <xdr:cNvPr id="245542" name="フリーフォーム: 図形 245541">
          <a:extLst>
            <a:ext uri="{FF2B5EF4-FFF2-40B4-BE49-F238E27FC236}">
              <a16:creationId xmlns:a16="http://schemas.microsoft.com/office/drawing/2014/main" id="{008FC11C-25B4-470E-A7B7-3625B806BD38}"/>
            </a:ext>
          </a:extLst>
        </xdr:cNvPr>
        <xdr:cNvSpPr>
          <a:spLocks noChangeAspect="1"/>
        </xdr:cNvSpPr>
      </xdr:nvSpPr>
      <xdr:spPr>
        <a:xfrm>
          <a:off x="477468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32</xdr:row>
      <xdr:rowOff>64500</xdr:rowOff>
    </xdr:from>
    <xdr:to>
      <xdr:col>71</xdr:col>
      <xdr:colOff>45000</xdr:colOff>
      <xdr:row>33</xdr:row>
      <xdr:rowOff>37051</xdr:rowOff>
    </xdr:to>
    <xdr:sp macro="" textlink="">
      <xdr:nvSpPr>
        <xdr:cNvPr id="245543" name="フリーフォーム: 図形 245542">
          <a:extLst>
            <a:ext uri="{FF2B5EF4-FFF2-40B4-BE49-F238E27FC236}">
              <a16:creationId xmlns:a16="http://schemas.microsoft.com/office/drawing/2014/main" id="{FAC9C086-28D7-4E50-A01A-A70A4818A8FE}"/>
            </a:ext>
          </a:extLst>
        </xdr:cNvPr>
        <xdr:cNvSpPr>
          <a:spLocks noChangeAspect="1"/>
        </xdr:cNvSpPr>
      </xdr:nvSpPr>
      <xdr:spPr>
        <a:xfrm>
          <a:off x="482687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27</xdr:row>
      <xdr:rowOff>75750</xdr:rowOff>
    </xdr:from>
    <xdr:to>
      <xdr:col>69</xdr:col>
      <xdr:colOff>660603</xdr:colOff>
      <xdr:row>32</xdr:row>
      <xdr:rowOff>136501</xdr:rowOff>
    </xdr:to>
    <xdr:sp macro="" textlink="">
      <xdr:nvSpPr>
        <xdr:cNvPr id="245544" name="フリーフォーム: 図形 245543">
          <a:extLst>
            <a:ext uri="{FF2B5EF4-FFF2-40B4-BE49-F238E27FC236}">
              <a16:creationId xmlns:a16="http://schemas.microsoft.com/office/drawing/2014/main" id="{8C2B15B3-454B-4497-B753-71016354ABD2}"/>
            </a:ext>
          </a:extLst>
        </xdr:cNvPr>
        <xdr:cNvSpPr>
          <a:spLocks noChangeAspect="1"/>
        </xdr:cNvSpPr>
      </xdr:nvSpPr>
      <xdr:spPr>
        <a:xfrm>
          <a:off x="476928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21</xdr:row>
      <xdr:rowOff>114450</xdr:rowOff>
    </xdr:from>
    <xdr:to>
      <xdr:col>70</xdr:col>
      <xdr:colOff>118800</xdr:colOff>
      <xdr:row>27</xdr:row>
      <xdr:rowOff>21751</xdr:rowOff>
    </xdr:to>
    <xdr:sp macro="" textlink="">
      <xdr:nvSpPr>
        <xdr:cNvPr id="245545" name="フリーフォーム: 図形 245544">
          <a:extLst>
            <a:ext uri="{FF2B5EF4-FFF2-40B4-BE49-F238E27FC236}">
              <a16:creationId xmlns:a16="http://schemas.microsoft.com/office/drawing/2014/main" id="{F11F4566-2411-49FC-9A5D-EB5104377034}"/>
            </a:ext>
          </a:extLst>
        </xdr:cNvPr>
        <xdr:cNvSpPr>
          <a:spLocks noChangeAspect="1"/>
        </xdr:cNvSpPr>
      </xdr:nvSpPr>
      <xdr:spPr>
        <a:xfrm>
          <a:off x="478727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26</xdr:row>
      <xdr:rowOff>139200</xdr:rowOff>
    </xdr:from>
    <xdr:to>
      <xdr:col>70</xdr:col>
      <xdr:colOff>388802</xdr:colOff>
      <xdr:row>27</xdr:row>
      <xdr:rowOff>111751</xdr:rowOff>
    </xdr:to>
    <xdr:sp macro="" textlink="">
      <xdr:nvSpPr>
        <xdr:cNvPr id="245546" name="フリーフォーム: 図形 245545">
          <a:extLst>
            <a:ext uri="{FF2B5EF4-FFF2-40B4-BE49-F238E27FC236}">
              <a16:creationId xmlns:a16="http://schemas.microsoft.com/office/drawing/2014/main" id="{19E8C02B-8E0D-43B1-8FB2-5E8F32CFE53A}"/>
            </a:ext>
          </a:extLst>
        </xdr:cNvPr>
        <xdr:cNvSpPr>
          <a:spLocks noChangeAspect="1"/>
        </xdr:cNvSpPr>
      </xdr:nvSpPr>
      <xdr:spPr>
        <a:xfrm>
          <a:off x="479448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26</xdr:row>
      <xdr:rowOff>139200</xdr:rowOff>
    </xdr:from>
    <xdr:to>
      <xdr:col>71</xdr:col>
      <xdr:colOff>207002</xdr:colOff>
      <xdr:row>27</xdr:row>
      <xdr:rowOff>111751</xdr:rowOff>
    </xdr:to>
    <xdr:sp macro="" textlink="">
      <xdr:nvSpPr>
        <xdr:cNvPr id="245547" name="フリーフォーム: 図形 245546">
          <a:extLst>
            <a:ext uri="{FF2B5EF4-FFF2-40B4-BE49-F238E27FC236}">
              <a16:creationId xmlns:a16="http://schemas.microsoft.com/office/drawing/2014/main" id="{D3899597-E886-4696-8C6F-865F6E5BC754}"/>
            </a:ext>
          </a:extLst>
        </xdr:cNvPr>
        <xdr:cNvSpPr>
          <a:spLocks noChangeAspect="1"/>
        </xdr:cNvSpPr>
      </xdr:nvSpPr>
      <xdr:spPr>
        <a:xfrm>
          <a:off x="484488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22</xdr:row>
      <xdr:rowOff>51000</xdr:rowOff>
    </xdr:from>
    <xdr:to>
      <xdr:col>70</xdr:col>
      <xdr:colOff>406801</xdr:colOff>
      <xdr:row>27</xdr:row>
      <xdr:rowOff>3751</xdr:rowOff>
    </xdr:to>
    <xdr:sp macro="" textlink="">
      <xdr:nvSpPr>
        <xdr:cNvPr id="245548" name="フリーフォーム: 図形 245547">
          <a:extLst>
            <a:ext uri="{FF2B5EF4-FFF2-40B4-BE49-F238E27FC236}">
              <a16:creationId xmlns:a16="http://schemas.microsoft.com/office/drawing/2014/main" id="{879F8EF6-E67A-410C-BA36-E77B314F37FB}"/>
            </a:ext>
          </a:extLst>
        </xdr:cNvPr>
        <xdr:cNvSpPr>
          <a:spLocks noChangeAspect="1"/>
        </xdr:cNvSpPr>
      </xdr:nvSpPr>
      <xdr:spPr>
        <a:xfrm>
          <a:off x="481428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21</xdr:row>
      <xdr:rowOff>114450</xdr:rowOff>
    </xdr:from>
    <xdr:to>
      <xdr:col>70</xdr:col>
      <xdr:colOff>658801</xdr:colOff>
      <xdr:row>26</xdr:row>
      <xdr:rowOff>157201</xdr:rowOff>
    </xdr:to>
    <xdr:sp macro="" textlink="">
      <xdr:nvSpPr>
        <xdr:cNvPr id="245549" name="フリーフォーム: 図形 245548">
          <a:extLst>
            <a:ext uri="{FF2B5EF4-FFF2-40B4-BE49-F238E27FC236}">
              <a16:creationId xmlns:a16="http://schemas.microsoft.com/office/drawing/2014/main" id="{9A4AE6DE-F0D1-43AD-84D7-5B58E81E934E}"/>
            </a:ext>
          </a:extLst>
        </xdr:cNvPr>
        <xdr:cNvSpPr>
          <a:spLocks noChangeAspect="1"/>
        </xdr:cNvSpPr>
      </xdr:nvSpPr>
      <xdr:spPr>
        <a:xfrm>
          <a:off x="484128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22</xdr:row>
      <xdr:rowOff>69000</xdr:rowOff>
    </xdr:from>
    <xdr:to>
      <xdr:col>71</xdr:col>
      <xdr:colOff>297000</xdr:colOff>
      <xdr:row>27</xdr:row>
      <xdr:rowOff>3751</xdr:rowOff>
    </xdr:to>
    <xdr:sp macro="" textlink="">
      <xdr:nvSpPr>
        <xdr:cNvPr id="245550" name="フリーフォーム: 図形 245549">
          <a:extLst>
            <a:ext uri="{FF2B5EF4-FFF2-40B4-BE49-F238E27FC236}">
              <a16:creationId xmlns:a16="http://schemas.microsoft.com/office/drawing/2014/main" id="{A8B3BF60-B0A6-4057-94B9-991A150181E2}"/>
            </a:ext>
          </a:extLst>
        </xdr:cNvPr>
        <xdr:cNvSpPr>
          <a:spLocks noChangeAspect="1"/>
        </xdr:cNvSpPr>
      </xdr:nvSpPr>
      <xdr:spPr>
        <a:xfrm>
          <a:off x="484668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27</xdr:row>
      <xdr:rowOff>75750</xdr:rowOff>
    </xdr:from>
    <xdr:to>
      <xdr:col>71</xdr:col>
      <xdr:colOff>9002</xdr:colOff>
      <xdr:row>31</xdr:row>
      <xdr:rowOff>163951</xdr:rowOff>
    </xdr:to>
    <xdr:sp macro="" textlink="">
      <xdr:nvSpPr>
        <xdr:cNvPr id="245551" name="フリーフォーム: 図形 245550">
          <a:extLst>
            <a:ext uri="{FF2B5EF4-FFF2-40B4-BE49-F238E27FC236}">
              <a16:creationId xmlns:a16="http://schemas.microsoft.com/office/drawing/2014/main" id="{DBDC5440-8CF9-4BA5-A03E-E13C8DBE96C0}"/>
            </a:ext>
          </a:extLst>
        </xdr:cNvPr>
        <xdr:cNvSpPr>
          <a:spLocks noChangeAspect="1"/>
        </xdr:cNvSpPr>
      </xdr:nvSpPr>
      <xdr:spPr>
        <a:xfrm>
          <a:off x="484307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27</xdr:row>
      <xdr:rowOff>93750</xdr:rowOff>
    </xdr:from>
    <xdr:to>
      <xdr:col>70</xdr:col>
      <xdr:colOff>424800</xdr:colOff>
      <xdr:row>32</xdr:row>
      <xdr:rowOff>118501</xdr:rowOff>
    </xdr:to>
    <xdr:sp macro="" textlink="">
      <xdr:nvSpPr>
        <xdr:cNvPr id="245552" name="フリーフォーム: 図形 245551">
          <a:extLst>
            <a:ext uri="{FF2B5EF4-FFF2-40B4-BE49-F238E27FC236}">
              <a16:creationId xmlns:a16="http://schemas.microsoft.com/office/drawing/2014/main" id="{B199071B-93F7-40DA-A56D-4CC994C830A3}"/>
            </a:ext>
          </a:extLst>
        </xdr:cNvPr>
        <xdr:cNvSpPr>
          <a:spLocks noChangeAspect="1"/>
        </xdr:cNvSpPr>
      </xdr:nvSpPr>
      <xdr:spPr>
        <a:xfrm>
          <a:off x="481968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27</xdr:row>
      <xdr:rowOff>75750</xdr:rowOff>
    </xdr:from>
    <xdr:to>
      <xdr:col>70</xdr:col>
      <xdr:colOff>388802</xdr:colOff>
      <xdr:row>32</xdr:row>
      <xdr:rowOff>10501</xdr:rowOff>
    </xdr:to>
    <xdr:sp macro="" textlink="">
      <xdr:nvSpPr>
        <xdr:cNvPr id="245553" name="フリーフォーム: 図形 245552">
          <a:extLst>
            <a:ext uri="{FF2B5EF4-FFF2-40B4-BE49-F238E27FC236}">
              <a16:creationId xmlns:a16="http://schemas.microsoft.com/office/drawing/2014/main" id="{FBD7501B-5A0C-4A19-9F50-54CBD2FFDE0F}"/>
            </a:ext>
          </a:extLst>
        </xdr:cNvPr>
        <xdr:cNvSpPr>
          <a:spLocks noChangeAspect="1"/>
        </xdr:cNvSpPr>
      </xdr:nvSpPr>
      <xdr:spPr>
        <a:xfrm>
          <a:off x="478727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21</xdr:row>
      <xdr:rowOff>42450</xdr:rowOff>
    </xdr:from>
    <xdr:to>
      <xdr:col>73</xdr:col>
      <xdr:colOff>322201</xdr:colOff>
      <xdr:row>22</xdr:row>
      <xdr:rowOff>15001</xdr:rowOff>
    </xdr:to>
    <xdr:sp macro="" textlink="">
      <xdr:nvSpPr>
        <xdr:cNvPr id="245554" name="フリーフォーム: 図形 245553">
          <a:extLst>
            <a:ext uri="{FF2B5EF4-FFF2-40B4-BE49-F238E27FC236}">
              <a16:creationId xmlns:a16="http://schemas.microsoft.com/office/drawing/2014/main" id="{95073931-8CB9-4361-ACFB-C2ED97383EBF}"/>
            </a:ext>
          </a:extLst>
        </xdr:cNvPr>
        <xdr:cNvSpPr>
          <a:spLocks noChangeAspect="1"/>
        </xdr:cNvSpPr>
      </xdr:nvSpPr>
      <xdr:spPr>
        <a:xfrm>
          <a:off x="49917601" y="39096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21</xdr:row>
      <xdr:rowOff>42450</xdr:rowOff>
    </xdr:from>
    <xdr:to>
      <xdr:col>74</xdr:col>
      <xdr:colOff>176400</xdr:colOff>
      <xdr:row>22</xdr:row>
      <xdr:rowOff>15001</xdr:rowOff>
    </xdr:to>
    <xdr:sp macro="" textlink="">
      <xdr:nvSpPr>
        <xdr:cNvPr id="245555" name="フリーフォーム: 図形 245554">
          <a:extLst>
            <a:ext uri="{FF2B5EF4-FFF2-40B4-BE49-F238E27FC236}">
              <a16:creationId xmlns:a16="http://schemas.microsoft.com/office/drawing/2014/main" id="{E075EC71-E1BC-4C21-9CFF-0F9DD97C5E65}"/>
            </a:ext>
          </a:extLst>
        </xdr:cNvPr>
        <xdr:cNvSpPr>
          <a:spLocks noChangeAspect="1"/>
        </xdr:cNvSpPr>
      </xdr:nvSpPr>
      <xdr:spPr>
        <a:xfrm>
          <a:off x="50457599" y="39096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21</xdr:row>
      <xdr:rowOff>114450</xdr:rowOff>
    </xdr:from>
    <xdr:to>
      <xdr:col>74</xdr:col>
      <xdr:colOff>248401</xdr:colOff>
      <xdr:row>27</xdr:row>
      <xdr:rowOff>21751</xdr:rowOff>
    </xdr:to>
    <xdr:sp macro="" textlink="">
      <xdr:nvSpPr>
        <xdr:cNvPr id="245556" name="フリーフォーム: 図形 245555">
          <a:extLst>
            <a:ext uri="{FF2B5EF4-FFF2-40B4-BE49-F238E27FC236}">
              <a16:creationId xmlns:a16="http://schemas.microsoft.com/office/drawing/2014/main" id="{1DEC0805-B25A-4227-B53A-BC986D5ED271}"/>
            </a:ext>
          </a:extLst>
        </xdr:cNvPr>
        <xdr:cNvSpPr>
          <a:spLocks noChangeAspect="1"/>
        </xdr:cNvSpPr>
      </xdr:nvSpPr>
      <xdr:spPr>
        <a:xfrm>
          <a:off x="50709599" y="39816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27</xdr:row>
      <xdr:rowOff>75750</xdr:rowOff>
    </xdr:from>
    <xdr:to>
      <xdr:col>74</xdr:col>
      <xdr:colOff>68400</xdr:colOff>
      <xdr:row>32</xdr:row>
      <xdr:rowOff>136501</xdr:rowOff>
    </xdr:to>
    <xdr:sp macro="" textlink="">
      <xdr:nvSpPr>
        <xdr:cNvPr id="245557" name="フリーフォーム: 図形 245556">
          <a:extLst>
            <a:ext uri="{FF2B5EF4-FFF2-40B4-BE49-F238E27FC236}">
              <a16:creationId xmlns:a16="http://schemas.microsoft.com/office/drawing/2014/main" id="{904AA442-AC78-4D5D-94D2-B59F2E7CD68D}"/>
            </a:ext>
          </a:extLst>
        </xdr:cNvPr>
        <xdr:cNvSpPr>
          <a:spLocks noChangeAspect="1"/>
        </xdr:cNvSpPr>
      </xdr:nvSpPr>
      <xdr:spPr>
        <a:xfrm>
          <a:off x="50529601" y="49716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32</xdr:row>
      <xdr:rowOff>64500</xdr:rowOff>
    </xdr:from>
    <xdr:to>
      <xdr:col>72</xdr:col>
      <xdr:colOff>684000</xdr:colOff>
      <xdr:row>33</xdr:row>
      <xdr:rowOff>37051</xdr:rowOff>
    </xdr:to>
    <xdr:sp macro="" textlink="">
      <xdr:nvSpPr>
        <xdr:cNvPr id="245558" name="フリーフォーム: 図形 245557">
          <a:extLst>
            <a:ext uri="{FF2B5EF4-FFF2-40B4-BE49-F238E27FC236}">
              <a16:creationId xmlns:a16="http://schemas.microsoft.com/office/drawing/2014/main" id="{D4A096D7-B1DA-4311-8F9F-6CE1EE6FB53F}"/>
            </a:ext>
          </a:extLst>
        </xdr:cNvPr>
        <xdr:cNvSpPr>
          <a:spLocks noChangeAspect="1"/>
        </xdr:cNvSpPr>
      </xdr:nvSpPr>
      <xdr:spPr>
        <a:xfrm>
          <a:off x="495756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32</xdr:row>
      <xdr:rowOff>64500</xdr:rowOff>
    </xdr:from>
    <xdr:to>
      <xdr:col>73</xdr:col>
      <xdr:colOff>502200</xdr:colOff>
      <xdr:row>33</xdr:row>
      <xdr:rowOff>37051</xdr:rowOff>
    </xdr:to>
    <xdr:sp macro="" textlink="">
      <xdr:nvSpPr>
        <xdr:cNvPr id="245559" name="フリーフォーム: 図形 245558">
          <a:extLst>
            <a:ext uri="{FF2B5EF4-FFF2-40B4-BE49-F238E27FC236}">
              <a16:creationId xmlns:a16="http://schemas.microsoft.com/office/drawing/2014/main" id="{E12EECEA-C6B3-49CE-B1C0-92C958F1AFDD}"/>
            </a:ext>
          </a:extLst>
        </xdr:cNvPr>
        <xdr:cNvSpPr>
          <a:spLocks noChangeAspect="1"/>
        </xdr:cNvSpPr>
      </xdr:nvSpPr>
      <xdr:spPr>
        <a:xfrm>
          <a:off x="50097599" y="5817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27</xdr:row>
      <xdr:rowOff>75750</xdr:rowOff>
    </xdr:from>
    <xdr:to>
      <xdr:col>72</xdr:col>
      <xdr:colOff>432003</xdr:colOff>
      <xdr:row>32</xdr:row>
      <xdr:rowOff>136501</xdr:rowOff>
    </xdr:to>
    <xdr:sp macro="" textlink="">
      <xdr:nvSpPr>
        <xdr:cNvPr id="245560" name="フリーフォーム: 図形 245559">
          <a:extLst>
            <a:ext uri="{FF2B5EF4-FFF2-40B4-BE49-F238E27FC236}">
              <a16:creationId xmlns:a16="http://schemas.microsoft.com/office/drawing/2014/main" id="{03923ABC-8100-4A97-A430-CC59BE1424B4}"/>
            </a:ext>
          </a:extLst>
        </xdr:cNvPr>
        <xdr:cNvSpPr>
          <a:spLocks noChangeAspect="1"/>
        </xdr:cNvSpPr>
      </xdr:nvSpPr>
      <xdr:spPr>
        <a:xfrm>
          <a:off x="495216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21</xdr:row>
      <xdr:rowOff>114450</xdr:rowOff>
    </xdr:from>
    <xdr:to>
      <xdr:col>72</xdr:col>
      <xdr:colOff>576000</xdr:colOff>
      <xdr:row>27</xdr:row>
      <xdr:rowOff>21751</xdr:rowOff>
    </xdr:to>
    <xdr:sp macro="" textlink="">
      <xdr:nvSpPr>
        <xdr:cNvPr id="245561" name="フリーフォーム: 図形 245560">
          <a:extLst>
            <a:ext uri="{FF2B5EF4-FFF2-40B4-BE49-F238E27FC236}">
              <a16:creationId xmlns:a16="http://schemas.microsoft.com/office/drawing/2014/main" id="{3EB78A5E-1218-4C47-8560-79B2D6B23824}"/>
            </a:ext>
          </a:extLst>
        </xdr:cNvPr>
        <xdr:cNvSpPr>
          <a:spLocks noChangeAspect="1"/>
        </xdr:cNvSpPr>
      </xdr:nvSpPr>
      <xdr:spPr>
        <a:xfrm>
          <a:off x="497015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26</xdr:row>
      <xdr:rowOff>139200</xdr:rowOff>
    </xdr:from>
    <xdr:to>
      <xdr:col>73</xdr:col>
      <xdr:colOff>160202</xdr:colOff>
      <xdr:row>27</xdr:row>
      <xdr:rowOff>111751</xdr:rowOff>
    </xdr:to>
    <xdr:sp macro="" textlink="">
      <xdr:nvSpPr>
        <xdr:cNvPr id="245562" name="フリーフォーム: 図形 245561">
          <a:extLst>
            <a:ext uri="{FF2B5EF4-FFF2-40B4-BE49-F238E27FC236}">
              <a16:creationId xmlns:a16="http://schemas.microsoft.com/office/drawing/2014/main" id="{9C8D8A46-6BCA-4989-918B-2669FA4DEB4F}"/>
            </a:ext>
          </a:extLst>
        </xdr:cNvPr>
        <xdr:cNvSpPr>
          <a:spLocks noChangeAspect="1"/>
        </xdr:cNvSpPr>
      </xdr:nvSpPr>
      <xdr:spPr>
        <a:xfrm>
          <a:off x="497736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26</xdr:row>
      <xdr:rowOff>139200</xdr:rowOff>
    </xdr:from>
    <xdr:to>
      <xdr:col>73</xdr:col>
      <xdr:colOff>664202</xdr:colOff>
      <xdr:row>27</xdr:row>
      <xdr:rowOff>111751</xdr:rowOff>
    </xdr:to>
    <xdr:sp macro="" textlink="">
      <xdr:nvSpPr>
        <xdr:cNvPr id="245563" name="フリーフォーム: 図形 245562">
          <a:extLst>
            <a:ext uri="{FF2B5EF4-FFF2-40B4-BE49-F238E27FC236}">
              <a16:creationId xmlns:a16="http://schemas.microsoft.com/office/drawing/2014/main" id="{CF7FA69B-B149-45C5-A25B-CF6445DCD68E}"/>
            </a:ext>
          </a:extLst>
        </xdr:cNvPr>
        <xdr:cNvSpPr>
          <a:spLocks noChangeAspect="1"/>
        </xdr:cNvSpPr>
      </xdr:nvSpPr>
      <xdr:spPr>
        <a:xfrm>
          <a:off x="50277601" y="48636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22</xdr:row>
      <xdr:rowOff>51000</xdr:rowOff>
    </xdr:from>
    <xdr:to>
      <xdr:col>73</xdr:col>
      <xdr:colOff>178201</xdr:colOff>
      <xdr:row>27</xdr:row>
      <xdr:rowOff>3751</xdr:rowOff>
    </xdr:to>
    <xdr:sp macro="" textlink="">
      <xdr:nvSpPr>
        <xdr:cNvPr id="245564" name="フリーフォーム: 図形 245563">
          <a:extLst>
            <a:ext uri="{FF2B5EF4-FFF2-40B4-BE49-F238E27FC236}">
              <a16:creationId xmlns:a16="http://schemas.microsoft.com/office/drawing/2014/main" id="{774E99AC-70DC-4F2E-BF64-9BAD40EFBE57}"/>
            </a:ext>
          </a:extLst>
        </xdr:cNvPr>
        <xdr:cNvSpPr>
          <a:spLocks noChangeAspect="1"/>
        </xdr:cNvSpPr>
      </xdr:nvSpPr>
      <xdr:spPr>
        <a:xfrm>
          <a:off x="49971601" y="40896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21</xdr:row>
      <xdr:rowOff>114450</xdr:rowOff>
    </xdr:from>
    <xdr:to>
      <xdr:col>73</xdr:col>
      <xdr:colOff>430201</xdr:colOff>
      <xdr:row>26</xdr:row>
      <xdr:rowOff>157201</xdr:rowOff>
    </xdr:to>
    <xdr:sp macro="" textlink="">
      <xdr:nvSpPr>
        <xdr:cNvPr id="245565" name="フリーフォーム: 図形 245564">
          <a:extLst>
            <a:ext uri="{FF2B5EF4-FFF2-40B4-BE49-F238E27FC236}">
              <a16:creationId xmlns:a16="http://schemas.microsoft.com/office/drawing/2014/main" id="{9C3F08CC-34B9-4CA5-B168-BB839EEF268B}"/>
            </a:ext>
          </a:extLst>
        </xdr:cNvPr>
        <xdr:cNvSpPr>
          <a:spLocks noChangeAspect="1"/>
        </xdr:cNvSpPr>
      </xdr:nvSpPr>
      <xdr:spPr>
        <a:xfrm>
          <a:off x="50241600" y="39816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22</xdr:row>
      <xdr:rowOff>69000</xdr:rowOff>
    </xdr:from>
    <xdr:to>
      <xdr:col>74</xdr:col>
      <xdr:colOff>68400</xdr:colOff>
      <xdr:row>27</xdr:row>
      <xdr:rowOff>3751</xdr:rowOff>
    </xdr:to>
    <xdr:sp macro="" textlink="">
      <xdr:nvSpPr>
        <xdr:cNvPr id="245566" name="フリーフォーム: 図形 245565">
          <a:extLst>
            <a:ext uri="{FF2B5EF4-FFF2-40B4-BE49-F238E27FC236}">
              <a16:creationId xmlns:a16="http://schemas.microsoft.com/office/drawing/2014/main" id="{9E99162F-425C-4E7F-B590-302587655719}"/>
            </a:ext>
          </a:extLst>
        </xdr:cNvPr>
        <xdr:cNvSpPr>
          <a:spLocks noChangeAspect="1"/>
        </xdr:cNvSpPr>
      </xdr:nvSpPr>
      <xdr:spPr>
        <a:xfrm>
          <a:off x="50295600" y="41076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27</xdr:row>
      <xdr:rowOff>75750</xdr:rowOff>
    </xdr:from>
    <xdr:to>
      <xdr:col>73</xdr:col>
      <xdr:colOff>466202</xdr:colOff>
      <xdr:row>31</xdr:row>
      <xdr:rowOff>163951</xdr:rowOff>
    </xdr:to>
    <xdr:sp macro="" textlink="">
      <xdr:nvSpPr>
        <xdr:cNvPr id="245567" name="フリーフォーム: 図形 245566">
          <a:extLst>
            <a:ext uri="{FF2B5EF4-FFF2-40B4-BE49-F238E27FC236}">
              <a16:creationId xmlns:a16="http://schemas.microsoft.com/office/drawing/2014/main" id="{8D8B45C5-93C7-475E-92A5-CAC61BC20417}"/>
            </a:ext>
          </a:extLst>
        </xdr:cNvPr>
        <xdr:cNvSpPr>
          <a:spLocks noChangeAspect="1"/>
        </xdr:cNvSpPr>
      </xdr:nvSpPr>
      <xdr:spPr>
        <a:xfrm>
          <a:off x="50259599" y="49716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27</xdr:row>
      <xdr:rowOff>93750</xdr:rowOff>
    </xdr:from>
    <xdr:to>
      <xdr:col>73</xdr:col>
      <xdr:colOff>196200</xdr:colOff>
      <xdr:row>32</xdr:row>
      <xdr:rowOff>118501</xdr:rowOff>
    </xdr:to>
    <xdr:sp macro="" textlink="">
      <xdr:nvSpPr>
        <xdr:cNvPr id="245568" name="フリーフォーム: 図形 245567">
          <a:extLst>
            <a:ext uri="{FF2B5EF4-FFF2-40B4-BE49-F238E27FC236}">
              <a16:creationId xmlns:a16="http://schemas.microsoft.com/office/drawing/2014/main" id="{EB5A5DF2-6C66-4949-B83E-18E910DB1352}"/>
            </a:ext>
          </a:extLst>
        </xdr:cNvPr>
        <xdr:cNvSpPr>
          <a:spLocks noChangeAspect="1"/>
        </xdr:cNvSpPr>
      </xdr:nvSpPr>
      <xdr:spPr>
        <a:xfrm>
          <a:off x="50025601" y="49896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27</xdr:row>
      <xdr:rowOff>75750</xdr:rowOff>
    </xdr:from>
    <xdr:to>
      <xdr:col>73</xdr:col>
      <xdr:colOff>160202</xdr:colOff>
      <xdr:row>32</xdr:row>
      <xdr:rowOff>10501</xdr:rowOff>
    </xdr:to>
    <xdr:sp macro="" textlink="">
      <xdr:nvSpPr>
        <xdr:cNvPr id="245569" name="フリーフォーム: 図形 245568">
          <a:extLst>
            <a:ext uri="{FF2B5EF4-FFF2-40B4-BE49-F238E27FC236}">
              <a16:creationId xmlns:a16="http://schemas.microsoft.com/office/drawing/2014/main" id="{6F87E35B-4EE3-406C-81F1-397A58CE6A41}"/>
            </a:ext>
          </a:extLst>
        </xdr:cNvPr>
        <xdr:cNvSpPr>
          <a:spLocks noChangeAspect="1"/>
        </xdr:cNvSpPr>
      </xdr:nvSpPr>
      <xdr:spPr>
        <a:xfrm>
          <a:off x="497015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21</xdr:row>
      <xdr:rowOff>42450</xdr:rowOff>
    </xdr:from>
    <xdr:to>
      <xdr:col>76</xdr:col>
      <xdr:colOff>93601</xdr:colOff>
      <xdr:row>22</xdr:row>
      <xdr:rowOff>15001</xdr:rowOff>
    </xdr:to>
    <xdr:sp macro="" textlink="">
      <xdr:nvSpPr>
        <xdr:cNvPr id="245570" name="フリーフォーム: 図形 245569">
          <a:extLst>
            <a:ext uri="{FF2B5EF4-FFF2-40B4-BE49-F238E27FC236}">
              <a16:creationId xmlns:a16="http://schemas.microsoft.com/office/drawing/2014/main" id="{73D39861-2A1F-4107-B28F-6B2E023BCE33}"/>
            </a:ext>
          </a:extLst>
        </xdr:cNvPr>
        <xdr:cNvSpPr>
          <a:spLocks noChangeAspect="1"/>
        </xdr:cNvSpPr>
      </xdr:nvSpPr>
      <xdr:spPr>
        <a:xfrm>
          <a:off x="51746401" y="3909600"/>
          <a:ext cx="468000" cy="144001"/>
        </a:xfrm>
        <a:custGeom>
          <a:avLst/>
          <a:gdLst/>
          <a:ahLst/>
          <a:cxnLst/>
          <a:rect l="0" t="0" r="0" b="0"/>
          <a:pathLst>
            <a:path w="468000" h="144001">
              <a:moveTo>
                <a:pt x="71999" y="0"/>
              </a:moveTo>
              <a:lnTo>
                <a:pt x="432002"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21</xdr:row>
      <xdr:rowOff>42450</xdr:rowOff>
    </xdr:from>
    <xdr:to>
      <xdr:col>76</xdr:col>
      <xdr:colOff>633600</xdr:colOff>
      <xdr:row>22</xdr:row>
      <xdr:rowOff>15001</xdr:rowOff>
    </xdr:to>
    <xdr:sp macro="" textlink="">
      <xdr:nvSpPr>
        <xdr:cNvPr id="245571" name="フリーフォーム: 図形 245570">
          <a:extLst>
            <a:ext uri="{FF2B5EF4-FFF2-40B4-BE49-F238E27FC236}">
              <a16:creationId xmlns:a16="http://schemas.microsoft.com/office/drawing/2014/main" id="{198A6B9F-2128-46C5-BD5A-4D5FAFE0A584}"/>
            </a:ext>
          </a:extLst>
        </xdr:cNvPr>
        <xdr:cNvSpPr>
          <a:spLocks noChangeAspect="1"/>
        </xdr:cNvSpPr>
      </xdr:nvSpPr>
      <xdr:spPr>
        <a:xfrm>
          <a:off x="52286402" y="39096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21</xdr:row>
      <xdr:rowOff>114450</xdr:rowOff>
    </xdr:from>
    <xdr:to>
      <xdr:col>77</xdr:col>
      <xdr:colOff>19801</xdr:colOff>
      <xdr:row>27</xdr:row>
      <xdr:rowOff>21751</xdr:rowOff>
    </xdr:to>
    <xdr:sp macro="" textlink="">
      <xdr:nvSpPr>
        <xdr:cNvPr id="245572" name="フリーフォーム: 図形 245571">
          <a:extLst>
            <a:ext uri="{FF2B5EF4-FFF2-40B4-BE49-F238E27FC236}">
              <a16:creationId xmlns:a16="http://schemas.microsoft.com/office/drawing/2014/main" id="{B7C0B75A-882E-4260-BE65-79830C32A842}"/>
            </a:ext>
          </a:extLst>
        </xdr:cNvPr>
        <xdr:cNvSpPr>
          <a:spLocks noChangeAspect="1"/>
        </xdr:cNvSpPr>
      </xdr:nvSpPr>
      <xdr:spPr>
        <a:xfrm>
          <a:off x="52538399" y="39816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27</xdr:row>
      <xdr:rowOff>75750</xdr:rowOff>
    </xdr:from>
    <xdr:to>
      <xdr:col>76</xdr:col>
      <xdr:colOff>525600</xdr:colOff>
      <xdr:row>32</xdr:row>
      <xdr:rowOff>136501</xdr:rowOff>
    </xdr:to>
    <xdr:sp macro="" textlink="">
      <xdr:nvSpPr>
        <xdr:cNvPr id="245573" name="フリーフォーム: 図形 245572">
          <a:extLst>
            <a:ext uri="{FF2B5EF4-FFF2-40B4-BE49-F238E27FC236}">
              <a16:creationId xmlns:a16="http://schemas.microsoft.com/office/drawing/2014/main" id="{7CF9DB1C-4C69-4E74-8263-110012DBC891}"/>
            </a:ext>
          </a:extLst>
        </xdr:cNvPr>
        <xdr:cNvSpPr>
          <a:spLocks noChangeAspect="1"/>
        </xdr:cNvSpPr>
      </xdr:nvSpPr>
      <xdr:spPr>
        <a:xfrm>
          <a:off x="52358398" y="49716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32</xdr:row>
      <xdr:rowOff>64500</xdr:rowOff>
    </xdr:from>
    <xdr:to>
      <xdr:col>75</xdr:col>
      <xdr:colOff>455400</xdr:colOff>
      <xdr:row>33</xdr:row>
      <xdr:rowOff>37051</xdr:rowOff>
    </xdr:to>
    <xdr:sp macro="" textlink="">
      <xdr:nvSpPr>
        <xdr:cNvPr id="245574" name="フリーフォーム: 図形 245573">
          <a:extLst>
            <a:ext uri="{FF2B5EF4-FFF2-40B4-BE49-F238E27FC236}">
              <a16:creationId xmlns:a16="http://schemas.microsoft.com/office/drawing/2014/main" id="{83E442C1-849C-43FD-A98B-CAB5161C975A}"/>
            </a:ext>
          </a:extLst>
        </xdr:cNvPr>
        <xdr:cNvSpPr>
          <a:spLocks noChangeAspect="1"/>
        </xdr:cNvSpPr>
      </xdr:nvSpPr>
      <xdr:spPr>
        <a:xfrm>
          <a:off x="51404400" y="5817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32</xdr:row>
      <xdr:rowOff>64500</xdr:rowOff>
    </xdr:from>
    <xdr:to>
      <xdr:col>76</xdr:col>
      <xdr:colOff>273603</xdr:colOff>
      <xdr:row>33</xdr:row>
      <xdr:rowOff>37051</xdr:rowOff>
    </xdr:to>
    <xdr:sp macro="" textlink="">
      <xdr:nvSpPr>
        <xdr:cNvPr id="245575" name="フリーフォーム: 図形 245574">
          <a:extLst>
            <a:ext uri="{FF2B5EF4-FFF2-40B4-BE49-F238E27FC236}">
              <a16:creationId xmlns:a16="http://schemas.microsoft.com/office/drawing/2014/main" id="{FD3C70B9-FB43-451A-8CF8-052320118682}"/>
            </a:ext>
          </a:extLst>
        </xdr:cNvPr>
        <xdr:cNvSpPr>
          <a:spLocks noChangeAspect="1"/>
        </xdr:cNvSpPr>
      </xdr:nvSpPr>
      <xdr:spPr>
        <a:xfrm>
          <a:off x="51926399" y="58176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27</xdr:row>
      <xdr:rowOff>75750</xdr:rowOff>
    </xdr:from>
    <xdr:to>
      <xdr:col>75</xdr:col>
      <xdr:colOff>203403</xdr:colOff>
      <xdr:row>32</xdr:row>
      <xdr:rowOff>136501</xdr:rowOff>
    </xdr:to>
    <xdr:sp macro="" textlink="">
      <xdr:nvSpPr>
        <xdr:cNvPr id="245576" name="フリーフォーム: 図形 245575">
          <a:extLst>
            <a:ext uri="{FF2B5EF4-FFF2-40B4-BE49-F238E27FC236}">
              <a16:creationId xmlns:a16="http://schemas.microsoft.com/office/drawing/2014/main" id="{939D6D47-710C-47CA-B467-6D9CCA290368}"/>
            </a:ext>
          </a:extLst>
        </xdr:cNvPr>
        <xdr:cNvSpPr>
          <a:spLocks noChangeAspect="1"/>
        </xdr:cNvSpPr>
      </xdr:nvSpPr>
      <xdr:spPr>
        <a:xfrm>
          <a:off x="51350401" y="49716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21</xdr:row>
      <xdr:rowOff>114450</xdr:rowOff>
    </xdr:from>
    <xdr:to>
      <xdr:col>75</xdr:col>
      <xdr:colOff>347400</xdr:colOff>
      <xdr:row>27</xdr:row>
      <xdr:rowOff>21751</xdr:rowOff>
    </xdr:to>
    <xdr:sp macro="" textlink="">
      <xdr:nvSpPr>
        <xdr:cNvPr id="245577" name="フリーフォーム: 図形 245576">
          <a:extLst>
            <a:ext uri="{FF2B5EF4-FFF2-40B4-BE49-F238E27FC236}">
              <a16:creationId xmlns:a16="http://schemas.microsoft.com/office/drawing/2014/main" id="{B1895B29-C1E1-4AB4-85B0-4DA717778CA9}"/>
            </a:ext>
          </a:extLst>
        </xdr:cNvPr>
        <xdr:cNvSpPr>
          <a:spLocks noChangeAspect="1"/>
        </xdr:cNvSpPr>
      </xdr:nvSpPr>
      <xdr:spPr>
        <a:xfrm>
          <a:off x="51530399" y="39816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26</xdr:row>
      <xdr:rowOff>139200</xdr:rowOff>
    </xdr:from>
    <xdr:to>
      <xdr:col>75</xdr:col>
      <xdr:colOff>617402</xdr:colOff>
      <xdr:row>27</xdr:row>
      <xdr:rowOff>111751</xdr:rowOff>
    </xdr:to>
    <xdr:sp macro="" textlink="">
      <xdr:nvSpPr>
        <xdr:cNvPr id="245578" name="フリーフォーム: 図形 245577">
          <a:extLst>
            <a:ext uri="{FF2B5EF4-FFF2-40B4-BE49-F238E27FC236}">
              <a16:creationId xmlns:a16="http://schemas.microsoft.com/office/drawing/2014/main" id="{8B98DEAC-76F5-44E4-8710-DC5C5A6B8FD1}"/>
            </a:ext>
          </a:extLst>
        </xdr:cNvPr>
        <xdr:cNvSpPr>
          <a:spLocks noChangeAspect="1"/>
        </xdr:cNvSpPr>
      </xdr:nvSpPr>
      <xdr:spPr>
        <a:xfrm>
          <a:off x="51602401" y="48636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26</xdr:row>
      <xdr:rowOff>139200</xdr:rowOff>
    </xdr:from>
    <xdr:to>
      <xdr:col>76</xdr:col>
      <xdr:colOff>435602</xdr:colOff>
      <xdr:row>27</xdr:row>
      <xdr:rowOff>111751</xdr:rowOff>
    </xdr:to>
    <xdr:sp macro="" textlink="">
      <xdr:nvSpPr>
        <xdr:cNvPr id="245579" name="フリーフォーム: 図形 245578">
          <a:extLst>
            <a:ext uri="{FF2B5EF4-FFF2-40B4-BE49-F238E27FC236}">
              <a16:creationId xmlns:a16="http://schemas.microsoft.com/office/drawing/2014/main" id="{9641C43D-A0DB-4D22-9408-2F5F300E0959}"/>
            </a:ext>
          </a:extLst>
        </xdr:cNvPr>
        <xdr:cNvSpPr>
          <a:spLocks noChangeAspect="1"/>
        </xdr:cNvSpPr>
      </xdr:nvSpPr>
      <xdr:spPr>
        <a:xfrm>
          <a:off x="52106401" y="48636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22</xdr:row>
      <xdr:rowOff>51000</xdr:rowOff>
    </xdr:from>
    <xdr:to>
      <xdr:col>75</xdr:col>
      <xdr:colOff>635404</xdr:colOff>
      <xdr:row>27</xdr:row>
      <xdr:rowOff>3751</xdr:rowOff>
    </xdr:to>
    <xdr:sp macro="" textlink="">
      <xdr:nvSpPr>
        <xdr:cNvPr id="245580" name="フリーフォーム: 図形 245579">
          <a:extLst>
            <a:ext uri="{FF2B5EF4-FFF2-40B4-BE49-F238E27FC236}">
              <a16:creationId xmlns:a16="http://schemas.microsoft.com/office/drawing/2014/main" id="{C2E1E3C9-6638-4893-A1E0-0D94DA4E1CE6}"/>
            </a:ext>
          </a:extLst>
        </xdr:cNvPr>
        <xdr:cNvSpPr>
          <a:spLocks noChangeAspect="1"/>
        </xdr:cNvSpPr>
      </xdr:nvSpPr>
      <xdr:spPr>
        <a:xfrm>
          <a:off x="51800401" y="4089600"/>
          <a:ext cx="270003" cy="810001"/>
        </a:xfrm>
        <a:custGeom>
          <a:avLst/>
          <a:gdLst/>
          <a:ahLst/>
          <a:cxnLst/>
          <a:rect l="0" t="0" r="0" b="0"/>
          <a:pathLst>
            <a:path w="270003" h="810001">
              <a:moveTo>
                <a:pt x="0" y="180000"/>
              </a:moveTo>
              <a:lnTo>
                <a:pt x="17999" y="0"/>
              </a:lnTo>
              <a:lnTo>
                <a:pt x="108000" y="108000"/>
              </a:lnTo>
              <a:lnTo>
                <a:pt x="215999" y="468000"/>
              </a:lnTo>
              <a:lnTo>
                <a:pt x="270002"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21</xdr:row>
      <xdr:rowOff>114450</xdr:rowOff>
    </xdr:from>
    <xdr:to>
      <xdr:col>76</xdr:col>
      <xdr:colOff>201601</xdr:colOff>
      <xdr:row>26</xdr:row>
      <xdr:rowOff>157201</xdr:rowOff>
    </xdr:to>
    <xdr:sp macro="" textlink="">
      <xdr:nvSpPr>
        <xdr:cNvPr id="245581" name="フリーフォーム: 図形 245580">
          <a:extLst>
            <a:ext uri="{FF2B5EF4-FFF2-40B4-BE49-F238E27FC236}">
              <a16:creationId xmlns:a16="http://schemas.microsoft.com/office/drawing/2014/main" id="{69EC1E1B-B956-41AD-8895-F4E941558FFE}"/>
            </a:ext>
          </a:extLst>
        </xdr:cNvPr>
        <xdr:cNvSpPr>
          <a:spLocks noChangeAspect="1"/>
        </xdr:cNvSpPr>
      </xdr:nvSpPr>
      <xdr:spPr>
        <a:xfrm>
          <a:off x="52070403" y="39816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22</xdr:row>
      <xdr:rowOff>69000</xdr:rowOff>
    </xdr:from>
    <xdr:to>
      <xdr:col>76</xdr:col>
      <xdr:colOff>525600</xdr:colOff>
      <xdr:row>27</xdr:row>
      <xdr:rowOff>3751</xdr:rowOff>
    </xdr:to>
    <xdr:sp macro="" textlink="">
      <xdr:nvSpPr>
        <xdr:cNvPr id="245582" name="フリーフォーム: 図形 245581">
          <a:extLst>
            <a:ext uri="{FF2B5EF4-FFF2-40B4-BE49-F238E27FC236}">
              <a16:creationId xmlns:a16="http://schemas.microsoft.com/office/drawing/2014/main" id="{CC308245-47FE-43AC-A120-93CE0C2A6121}"/>
            </a:ext>
          </a:extLst>
        </xdr:cNvPr>
        <xdr:cNvSpPr>
          <a:spLocks noChangeAspect="1"/>
        </xdr:cNvSpPr>
      </xdr:nvSpPr>
      <xdr:spPr>
        <a:xfrm>
          <a:off x="52124403" y="41076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27</xdr:row>
      <xdr:rowOff>75750</xdr:rowOff>
    </xdr:from>
    <xdr:to>
      <xdr:col>76</xdr:col>
      <xdr:colOff>237599</xdr:colOff>
      <xdr:row>31</xdr:row>
      <xdr:rowOff>163951</xdr:rowOff>
    </xdr:to>
    <xdr:sp macro="" textlink="">
      <xdr:nvSpPr>
        <xdr:cNvPr id="245583" name="フリーフォーム: 図形 245582">
          <a:extLst>
            <a:ext uri="{FF2B5EF4-FFF2-40B4-BE49-F238E27FC236}">
              <a16:creationId xmlns:a16="http://schemas.microsoft.com/office/drawing/2014/main" id="{6FA70A32-D32D-49EB-8124-78336E020F1C}"/>
            </a:ext>
          </a:extLst>
        </xdr:cNvPr>
        <xdr:cNvSpPr>
          <a:spLocks noChangeAspect="1"/>
        </xdr:cNvSpPr>
      </xdr:nvSpPr>
      <xdr:spPr>
        <a:xfrm>
          <a:off x="52088399" y="49716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27</xdr:row>
      <xdr:rowOff>93750</xdr:rowOff>
    </xdr:from>
    <xdr:to>
      <xdr:col>75</xdr:col>
      <xdr:colOff>653400</xdr:colOff>
      <xdr:row>32</xdr:row>
      <xdr:rowOff>118501</xdr:rowOff>
    </xdr:to>
    <xdr:sp macro="" textlink="">
      <xdr:nvSpPr>
        <xdr:cNvPr id="245584" name="フリーフォーム: 図形 245583">
          <a:extLst>
            <a:ext uri="{FF2B5EF4-FFF2-40B4-BE49-F238E27FC236}">
              <a16:creationId xmlns:a16="http://schemas.microsoft.com/office/drawing/2014/main" id="{08217DB5-7B12-4BB0-80D2-D8692C72311C}"/>
            </a:ext>
          </a:extLst>
        </xdr:cNvPr>
        <xdr:cNvSpPr>
          <a:spLocks noChangeAspect="1"/>
        </xdr:cNvSpPr>
      </xdr:nvSpPr>
      <xdr:spPr>
        <a:xfrm>
          <a:off x="51854401" y="4989600"/>
          <a:ext cx="233999" cy="882001"/>
        </a:xfrm>
        <a:custGeom>
          <a:avLst/>
          <a:gdLst/>
          <a:ahLst/>
          <a:cxnLst/>
          <a:rect l="0" t="0" r="0" b="0"/>
          <a:pathLst>
            <a:path w="233999" h="882001">
              <a:moveTo>
                <a:pt x="107999" y="216000"/>
              </a:moveTo>
              <a:lnTo>
                <a:pt x="216002"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27</xdr:row>
      <xdr:rowOff>75750</xdr:rowOff>
    </xdr:from>
    <xdr:to>
      <xdr:col>75</xdr:col>
      <xdr:colOff>617402</xdr:colOff>
      <xdr:row>32</xdr:row>
      <xdr:rowOff>10501</xdr:rowOff>
    </xdr:to>
    <xdr:sp macro="" textlink="">
      <xdr:nvSpPr>
        <xdr:cNvPr id="245585" name="フリーフォーム: 図形 245584">
          <a:extLst>
            <a:ext uri="{FF2B5EF4-FFF2-40B4-BE49-F238E27FC236}">
              <a16:creationId xmlns:a16="http://schemas.microsoft.com/office/drawing/2014/main" id="{5BD1926E-5FB7-490E-88ED-981943523BBB}"/>
            </a:ext>
          </a:extLst>
        </xdr:cNvPr>
        <xdr:cNvSpPr>
          <a:spLocks noChangeAspect="1"/>
        </xdr:cNvSpPr>
      </xdr:nvSpPr>
      <xdr:spPr>
        <a:xfrm>
          <a:off x="51530399" y="49716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21</xdr:row>
      <xdr:rowOff>42450</xdr:rowOff>
    </xdr:from>
    <xdr:to>
      <xdr:col>78</xdr:col>
      <xdr:colOff>550801</xdr:colOff>
      <xdr:row>22</xdr:row>
      <xdr:rowOff>15001</xdr:rowOff>
    </xdr:to>
    <xdr:sp macro="" textlink="">
      <xdr:nvSpPr>
        <xdr:cNvPr id="245586" name="フリーフォーム: 図形 245585">
          <a:extLst>
            <a:ext uri="{FF2B5EF4-FFF2-40B4-BE49-F238E27FC236}">
              <a16:creationId xmlns:a16="http://schemas.microsoft.com/office/drawing/2014/main" id="{C15441F6-423F-4819-B9C0-7A89C93FC4DE}"/>
            </a:ext>
          </a:extLst>
        </xdr:cNvPr>
        <xdr:cNvSpPr>
          <a:spLocks noChangeAspect="1"/>
        </xdr:cNvSpPr>
      </xdr:nvSpPr>
      <xdr:spPr>
        <a:xfrm>
          <a:off x="53575198" y="39096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21</xdr:row>
      <xdr:rowOff>42450</xdr:rowOff>
    </xdr:from>
    <xdr:to>
      <xdr:col>79</xdr:col>
      <xdr:colOff>405000</xdr:colOff>
      <xdr:row>22</xdr:row>
      <xdr:rowOff>15001</xdr:rowOff>
    </xdr:to>
    <xdr:sp macro="" textlink="">
      <xdr:nvSpPr>
        <xdr:cNvPr id="245587" name="フリーフォーム: 図形 245586">
          <a:extLst>
            <a:ext uri="{FF2B5EF4-FFF2-40B4-BE49-F238E27FC236}">
              <a16:creationId xmlns:a16="http://schemas.microsoft.com/office/drawing/2014/main" id="{55B986BA-47D6-4469-A3A9-D12D129F5863}"/>
            </a:ext>
          </a:extLst>
        </xdr:cNvPr>
        <xdr:cNvSpPr>
          <a:spLocks noChangeAspect="1"/>
        </xdr:cNvSpPr>
      </xdr:nvSpPr>
      <xdr:spPr>
        <a:xfrm>
          <a:off x="54115202" y="39096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21</xdr:row>
      <xdr:rowOff>114450</xdr:rowOff>
    </xdr:from>
    <xdr:to>
      <xdr:col>79</xdr:col>
      <xdr:colOff>477001</xdr:colOff>
      <xdr:row>27</xdr:row>
      <xdr:rowOff>21751</xdr:rowOff>
    </xdr:to>
    <xdr:sp macro="" textlink="">
      <xdr:nvSpPr>
        <xdr:cNvPr id="245588" name="フリーフォーム: 図形 245587">
          <a:extLst>
            <a:ext uri="{FF2B5EF4-FFF2-40B4-BE49-F238E27FC236}">
              <a16:creationId xmlns:a16="http://schemas.microsoft.com/office/drawing/2014/main" id="{B3A8F922-4F54-40B4-87A7-E120859DAFB8}"/>
            </a:ext>
          </a:extLst>
        </xdr:cNvPr>
        <xdr:cNvSpPr>
          <a:spLocks noChangeAspect="1"/>
        </xdr:cNvSpPr>
      </xdr:nvSpPr>
      <xdr:spPr>
        <a:xfrm>
          <a:off x="54367199" y="39816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27</xdr:row>
      <xdr:rowOff>75750</xdr:rowOff>
    </xdr:from>
    <xdr:to>
      <xdr:col>79</xdr:col>
      <xdr:colOff>297000</xdr:colOff>
      <xdr:row>32</xdr:row>
      <xdr:rowOff>136501</xdr:rowOff>
    </xdr:to>
    <xdr:sp macro="" textlink="">
      <xdr:nvSpPr>
        <xdr:cNvPr id="245589" name="フリーフォーム: 図形 245588">
          <a:extLst>
            <a:ext uri="{FF2B5EF4-FFF2-40B4-BE49-F238E27FC236}">
              <a16:creationId xmlns:a16="http://schemas.microsoft.com/office/drawing/2014/main" id="{8D363C45-4E78-44A2-9E3F-1F4265D820F6}"/>
            </a:ext>
          </a:extLst>
        </xdr:cNvPr>
        <xdr:cNvSpPr>
          <a:spLocks noChangeAspect="1"/>
        </xdr:cNvSpPr>
      </xdr:nvSpPr>
      <xdr:spPr>
        <a:xfrm>
          <a:off x="54187198" y="49716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32</xdr:row>
      <xdr:rowOff>64500</xdr:rowOff>
    </xdr:from>
    <xdr:to>
      <xdr:col>78</xdr:col>
      <xdr:colOff>226803</xdr:colOff>
      <xdr:row>33</xdr:row>
      <xdr:rowOff>37051</xdr:rowOff>
    </xdr:to>
    <xdr:sp macro="" textlink="">
      <xdr:nvSpPr>
        <xdr:cNvPr id="245590" name="フリーフォーム: 図形 245589">
          <a:extLst>
            <a:ext uri="{FF2B5EF4-FFF2-40B4-BE49-F238E27FC236}">
              <a16:creationId xmlns:a16="http://schemas.microsoft.com/office/drawing/2014/main" id="{094810E3-E89E-431F-9359-5600E057805D}"/>
            </a:ext>
          </a:extLst>
        </xdr:cNvPr>
        <xdr:cNvSpPr>
          <a:spLocks noChangeAspect="1"/>
        </xdr:cNvSpPr>
      </xdr:nvSpPr>
      <xdr:spPr>
        <a:xfrm>
          <a:off x="53233197" y="58176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32</xdr:row>
      <xdr:rowOff>64500</xdr:rowOff>
    </xdr:from>
    <xdr:to>
      <xdr:col>79</xdr:col>
      <xdr:colOff>45003</xdr:colOff>
      <xdr:row>33</xdr:row>
      <xdr:rowOff>37051</xdr:rowOff>
    </xdr:to>
    <xdr:sp macro="" textlink="">
      <xdr:nvSpPr>
        <xdr:cNvPr id="245591" name="フリーフォーム: 図形 245590">
          <a:extLst>
            <a:ext uri="{FF2B5EF4-FFF2-40B4-BE49-F238E27FC236}">
              <a16:creationId xmlns:a16="http://schemas.microsoft.com/office/drawing/2014/main" id="{482E5EE8-30FE-4ED4-88B1-9C64C724ECD9}"/>
            </a:ext>
          </a:extLst>
        </xdr:cNvPr>
        <xdr:cNvSpPr>
          <a:spLocks noChangeAspect="1"/>
        </xdr:cNvSpPr>
      </xdr:nvSpPr>
      <xdr:spPr>
        <a:xfrm>
          <a:off x="53755199" y="58176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27</xdr:row>
      <xdr:rowOff>75750</xdr:rowOff>
    </xdr:from>
    <xdr:to>
      <xdr:col>77</xdr:col>
      <xdr:colOff>660599</xdr:colOff>
      <xdr:row>32</xdr:row>
      <xdr:rowOff>136501</xdr:rowOff>
    </xdr:to>
    <xdr:sp macro="" textlink="">
      <xdr:nvSpPr>
        <xdr:cNvPr id="245592" name="フリーフォーム: 図形 245591">
          <a:extLst>
            <a:ext uri="{FF2B5EF4-FFF2-40B4-BE49-F238E27FC236}">
              <a16:creationId xmlns:a16="http://schemas.microsoft.com/office/drawing/2014/main" id="{F558F832-B242-4E88-A80C-813731A48D6B}"/>
            </a:ext>
          </a:extLst>
        </xdr:cNvPr>
        <xdr:cNvSpPr>
          <a:spLocks noChangeAspect="1"/>
        </xdr:cNvSpPr>
      </xdr:nvSpPr>
      <xdr:spPr>
        <a:xfrm>
          <a:off x="53179197" y="49716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21</xdr:row>
      <xdr:rowOff>114450</xdr:rowOff>
    </xdr:from>
    <xdr:to>
      <xdr:col>78</xdr:col>
      <xdr:colOff>118803</xdr:colOff>
      <xdr:row>27</xdr:row>
      <xdr:rowOff>21751</xdr:rowOff>
    </xdr:to>
    <xdr:sp macro="" textlink="">
      <xdr:nvSpPr>
        <xdr:cNvPr id="245593" name="フリーフォーム: 図形 245592">
          <a:extLst>
            <a:ext uri="{FF2B5EF4-FFF2-40B4-BE49-F238E27FC236}">
              <a16:creationId xmlns:a16="http://schemas.microsoft.com/office/drawing/2014/main" id="{82412053-6128-4683-BA4B-5FF3BDA2A466}"/>
            </a:ext>
          </a:extLst>
        </xdr:cNvPr>
        <xdr:cNvSpPr>
          <a:spLocks noChangeAspect="1"/>
        </xdr:cNvSpPr>
      </xdr:nvSpPr>
      <xdr:spPr>
        <a:xfrm>
          <a:off x="53359199" y="39816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26</xdr:row>
      <xdr:rowOff>139200</xdr:rowOff>
    </xdr:from>
    <xdr:to>
      <xdr:col>78</xdr:col>
      <xdr:colOff>388802</xdr:colOff>
      <xdr:row>27</xdr:row>
      <xdr:rowOff>111751</xdr:rowOff>
    </xdr:to>
    <xdr:sp macro="" textlink="">
      <xdr:nvSpPr>
        <xdr:cNvPr id="245594" name="フリーフォーム: 図形 245593">
          <a:extLst>
            <a:ext uri="{FF2B5EF4-FFF2-40B4-BE49-F238E27FC236}">
              <a16:creationId xmlns:a16="http://schemas.microsoft.com/office/drawing/2014/main" id="{6676960E-B3F8-4AA5-B685-BA1E35606396}"/>
            </a:ext>
          </a:extLst>
        </xdr:cNvPr>
        <xdr:cNvSpPr>
          <a:spLocks noChangeAspect="1"/>
        </xdr:cNvSpPr>
      </xdr:nvSpPr>
      <xdr:spPr>
        <a:xfrm>
          <a:off x="53431201" y="48636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26</xdr:row>
      <xdr:rowOff>139200</xdr:rowOff>
    </xdr:from>
    <xdr:to>
      <xdr:col>79</xdr:col>
      <xdr:colOff>207002</xdr:colOff>
      <xdr:row>27</xdr:row>
      <xdr:rowOff>111751</xdr:rowOff>
    </xdr:to>
    <xdr:sp macro="" textlink="">
      <xdr:nvSpPr>
        <xdr:cNvPr id="245595" name="フリーフォーム: 図形 245594">
          <a:extLst>
            <a:ext uri="{FF2B5EF4-FFF2-40B4-BE49-F238E27FC236}">
              <a16:creationId xmlns:a16="http://schemas.microsoft.com/office/drawing/2014/main" id="{87A154E3-3AC5-440D-A8F6-973E98D9011A}"/>
            </a:ext>
          </a:extLst>
        </xdr:cNvPr>
        <xdr:cNvSpPr>
          <a:spLocks noChangeAspect="1"/>
        </xdr:cNvSpPr>
      </xdr:nvSpPr>
      <xdr:spPr>
        <a:xfrm>
          <a:off x="53935201" y="48636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22</xdr:row>
      <xdr:rowOff>51000</xdr:rowOff>
    </xdr:from>
    <xdr:to>
      <xdr:col>78</xdr:col>
      <xdr:colOff>406804</xdr:colOff>
      <xdr:row>27</xdr:row>
      <xdr:rowOff>3751</xdr:rowOff>
    </xdr:to>
    <xdr:sp macro="" textlink="">
      <xdr:nvSpPr>
        <xdr:cNvPr id="245596" name="フリーフォーム: 図形 245595">
          <a:extLst>
            <a:ext uri="{FF2B5EF4-FFF2-40B4-BE49-F238E27FC236}">
              <a16:creationId xmlns:a16="http://schemas.microsoft.com/office/drawing/2014/main" id="{04953897-68DC-48CB-8129-E7AA2399EA66}"/>
            </a:ext>
          </a:extLst>
        </xdr:cNvPr>
        <xdr:cNvSpPr>
          <a:spLocks noChangeAspect="1"/>
        </xdr:cNvSpPr>
      </xdr:nvSpPr>
      <xdr:spPr>
        <a:xfrm>
          <a:off x="53629198" y="40896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21</xdr:row>
      <xdr:rowOff>114450</xdr:rowOff>
    </xdr:from>
    <xdr:to>
      <xdr:col>78</xdr:col>
      <xdr:colOff>658801</xdr:colOff>
      <xdr:row>26</xdr:row>
      <xdr:rowOff>157201</xdr:rowOff>
    </xdr:to>
    <xdr:sp macro="" textlink="">
      <xdr:nvSpPr>
        <xdr:cNvPr id="245597" name="フリーフォーム: 図形 245596">
          <a:extLst>
            <a:ext uri="{FF2B5EF4-FFF2-40B4-BE49-F238E27FC236}">
              <a16:creationId xmlns:a16="http://schemas.microsoft.com/office/drawing/2014/main" id="{149BEDBE-94F5-4CF6-AB2A-58BCB9274B9C}"/>
            </a:ext>
          </a:extLst>
        </xdr:cNvPr>
        <xdr:cNvSpPr>
          <a:spLocks noChangeAspect="1"/>
        </xdr:cNvSpPr>
      </xdr:nvSpPr>
      <xdr:spPr>
        <a:xfrm>
          <a:off x="53899203" y="39816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22</xdr:row>
      <xdr:rowOff>69000</xdr:rowOff>
    </xdr:from>
    <xdr:to>
      <xdr:col>79</xdr:col>
      <xdr:colOff>297000</xdr:colOff>
      <xdr:row>27</xdr:row>
      <xdr:rowOff>3751</xdr:rowOff>
    </xdr:to>
    <xdr:sp macro="" textlink="">
      <xdr:nvSpPr>
        <xdr:cNvPr id="245598" name="フリーフォーム: 図形 245597">
          <a:extLst>
            <a:ext uri="{FF2B5EF4-FFF2-40B4-BE49-F238E27FC236}">
              <a16:creationId xmlns:a16="http://schemas.microsoft.com/office/drawing/2014/main" id="{3088C5B0-1391-4972-8FAB-DCE6F365D1DA}"/>
            </a:ext>
          </a:extLst>
        </xdr:cNvPr>
        <xdr:cNvSpPr>
          <a:spLocks noChangeAspect="1"/>
        </xdr:cNvSpPr>
      </xdr:nvSpPr>
      <xdr:spPr>
        <a:xfrm>
          <a:off x="53953203" y="41076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27</xdr:row>
      <xdr:rowOff>75750</xdr:rowOff>
    </xdr:from>
    <xdr:to>
      <xdr:col>79</xdr:col>
      <xdr:colOff>8999</xdr:colOff>
      <xdr:row>31</xdr:row>
      <xdr:rowOff>163951</xdr:rowOff>
    </xdr:to>
    <xdr:sp macro="" textlink="">
      <xdr:nvSpPr>
        <xdr:cNvPr id="245599" name="フリーフォーム: 図形 245598">
          <a:extLst>
            <a:ext uri="{FF2B5EF4-FFF2-40B4-BE49-F238E27FC236}">
              <a16:creationId xmlns:a16="http://schemas.microsoft.com/office/drawing/2014/main" id="{24CBCD57-976D-4FF6-B959-83AD81B06F9B}"/>
            </a:ext>
          </a:extLst>
        </xdr:cNvPr>
        <xdr:cNvSpPr>
          <a:spLocks noChangeAspect="1"/>
        </xdr:cNvSpPr>
      </xdr:nvSpPr>
      <xdr:spPr>
        <a:xfrm>
          <a:off x="53917199" y="49716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27</xdr:row>
      <xdr:rowOff>93750</xdr:rowOff>
    </xdr:from>
    <xdr:to>
      <xdr:col>78</xdr:col>
      <xdr:colOff>424800</xdr:colOff>
      <xdr:row>32</xdr:row>
      <xdr:rowOff>118501</xdr:rowOff>
    </xdr:to>
    <xdr:sp macro="" textlink="">
      <xdr:nvSpPr>
        <xdr:cNvPr id="245600" name="フリーフォーム: 図形 245599">
          <a:extLst>
            <a:ext uri="{FF2B5EF4-FFF2-40B4-BE49-F238E27FC236}">
              <a16:creationId xmlns:a16="http://schemas.microsoft.com/office/drawing/2014/main" id="{8ACE586E-199D-4980-BC7C-761BF2E944F9}"/>
            </a:ext>
          </a:extLst>
        </xdr:cNvPr>
        <xdr:cNvSpPr>
          <a:spLocks noChangeAspect="1"/>
        </xdr:cNvSpPr>
      </xdr:nvSpPr>
      <xdr:spPr>
        <a:xfrm>
          <a:off x="53683198" y="49896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27</xdr:row>
      <xdr:rowOff>75750</xdr:rowOff>
    </xdr:from>
    <xdr:to>
      <xdr:col>78</xdr:col>
      <xdr:colOff>388802</xdr:colOff>
      <xdr:row>32</xdr:row>
      <xdr:rowOff>10501</xdr:rowOff>
    </xdr:to>
    <xdr:sp macro="" textlink="">
      <xdr:nvSpPr>
        <xdr:cNvPr id="245601" name="フリーフォーム: 図形 245600">
          <a:extLst>
            <a:ext uri="{FF2B5EF4-FFF2-40B4-BE49-F238E27FC236}">
              <a16:creationId xmlns:a16="http://schemas.microsoft.com/office/drawing/2014/main" id="{96E73FE4-77C9-4F33-A59D-AE788E5C1BC9}"/>
            </a:ext>
          </a:extLst>
        </xdr:cNvPr>
        <xdr:cNvSpPr>
          <a:spLocks noChangeAspect="1"/>
        </xdr:cNvSpPr>
      </xdr:nvSpPr>
      <xdr:spPr>
        <a:xfrm>
          <a:off x="53359199" y="49716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21</xdr:row>
      <xdr:rowOff>42450</xdr:rowOff>
    </xdr:from>
    <xdr:to>
      <xdr:col>81</xdr:col>
      <xdr:colOff>322201</xdr:colOff>
      <xdr:row>22</xdr:row>
      <xdr:rowOff>15001</xdr:rowOff>
    </xdr:to>
    <xdr:sp macro="" textlink="">
      <xdr:nvSpPr>
        <xdr:cNvPr id="245602" name="フリーフォーム: 図形 245601">
          <a:extLst>
            <a:ext uri="{FF2B5EF4-FFF2-40B4-BE49-F238E27FC236}">
              <a16:creationId xmlns:a16="http://schemas.microsoft.com/office/drawing/2014/main" id="{2C630C46-7A91-484C-8DE8-07FBD1758965}"/>
            </a:ext>
          </a:extLst>
        </xdr:cNvPr>
        <xdr:cNvSpPr>
          <a:spLocks noChangeAspect="1"/>
        </xdr:cNvSpPr>
      </xdr:nvSpPr>
      <xdr:spPr>
        <a:xfrm>
          <a:off x="55403998" y="39096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21</xdr:row>
      <xdr:rowOff>42450</xdr:rowOff>
    </xdr:from>
    <xdr:to>
      <xdr:col>82</xdr:col>
      <xdr:colOff>176400</xdr:colOff>
      <xdr:row>22</xdr:row>
      <xdr:rowOff>15001</xdr:rowOff>
    </xdr:to>
    <xdr:sp macro="" textlink="">
      <xdr:nvSpPr>
        <xdr:cNvPr id="245603" name="フリーフォーム: 図形 245602">
          <a:extLst>
            <a:ext uri="{FF2B5EF4-FFF2-40B4-BE49-F238E27FC236}">
              <a16:creationId xmlns:a16="http://schemas.microsoft.com/office/drawing/2014/main" id="{E02B5DCE-94A7-44F9-BF80-C581359B00F5}"/>
            </a:ext>
          </a:extLst>
        </xdr:cNvPr>
        <xdr:cNvSpPr>
          <a:spLocks noChangeAspect="1"/>
        </xdr:cNvSpPr>
      </xdr:nvSpPr>
      <xdr:spPr>
        <a:xfrm>
          <a:off x="55944002" y="39096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21</xdr:row>
      <xdr:rowOff>114450</xdr:rowOff>
    </xdr:from>
    <xdr:to>
      <xdr:col>82</xdr:col>
      <xdr:colOff>248401</xdr:colOff>
      <xdr:row>27</xdr:row>
      <xdr:rowOff>21751</xdr:rowOff>
    </xdr:to>
    <xdr:sp macro="" textlink="">
      <xdr:nvSpPr>
        <xdr:cNvPr id="245604" name="フリーフォーム: 図形 245603">
          <a:extLst>
            <a:ext uri="{FF2B5EF4-FFF2-40B4-BE49-F238E27FC236}">
              <a16:creationId xmlns:a16="http://schemas.microsoft.com/office/drawing/2014/main" id="{42889AAD-0C91-4C50-BEF9-4E1E29DE8DA5}"/>
            </a:ext>
          </a:extLst>
        </xdr:cNvPr>
        <xdr:cNvSpPr>
          <a:spLocks noChangeAspect="1"/>
        </xdr:cNvSpPr>
      </xdr:nvSpPr>
      <xdr:spPr>
        <a:xfrm>
          <a:off x="56195999" y="39816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27</xdr:row>
      <xdr:rowOff>75750</xdr:rowOff>
    </xdr:from>
    <xdr:to>
      <xdr:col>82</xdr:col>
      <xdr:colOff>68400</xdr:colOff>
      <xdr:row>32</xdr:row>
      <xdr:rowOff>136501</xdr:rowOff>
    </xdr:to>
    <xdr:sp macro="" textlink="">
      <xdr:nvSpPr>
        <xdr:cNvPr id="245605" name="フリーフォーム: 図形 245604">
          <a:extLst>
            <a:ext uri="{FF2B5EF4-FFF2-40B4-BE49-F238E27FC236}">
              <a16:creationId xmlns:a16="http://schemas.microsoft.com/office/drawing/2014/main" id="{F25C9539-F55D-4C67-A53C-5E2C11493038}"/>
            </a:ext>
          </a:extLst>
        </xdr:cNvPr>
        <xdr:cNvSpPr>
          <a:spLocks noChangeAspect="1"/>
        </xdr:cNvSpPr>
      </xdr:nvSpPr>
      <xdr:spPr>
        <a:xfrm>
          <a:off x="56015998" y="49716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32</xdr:row>
      <xdr:rowOff>64500</xdr:rowOff>
    </xdr:from>
    <xdr:to>
      <xdr:col>80</xdr:col>
      <xdr:colOff>684003</xdr:colOff>
      <xdr:row>33</xdr:row>
      <xdr:rowOff>37051</xdr:rowOff>
    </xdr:to>
    <xdr:sp macro="" textlink="">
      <xdr:nvSpPr>
        <xdr:cNvPr id="245606" name="フリーフォーム: 図形 245605">
          <a:extLst>
            <a:ext uri="{FF2B5EF4-FFF2-40B4-BE49-F238E27FC236}">
              <a16:creationId xmlns:a16="http://schemas.microsoft.com/office/drawing/2014/main" id="{312EC3B8-D8EA-488B-AC48-CF6FCF11E001}"/>
            </a:ext>
          </a:extLst>
        </xdr:cNvPr>
        <xdr:cNvSpPr>
          <a:spLocks noChangeAspect="1"/>
        </xdr:cNvSpPr>
      </xdr:nvSpPr>
      <xdr:spPr>
        <a:xfrm>
          <a:off x="55061997" y="58176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32</xdr:row>
      <xdr:rowOff>64500</xdr:rowOff>
    </xdr:from>
    <xdr:to>
      <xdr:col>81</xdr:col>
      <xdr:colOff>502203</xdr:colOff>
      <xdr:row>33</xdr:row>
      <xdr:rowOff>37051</xdr:rowOff>
    </xdr:to>
    <xdr:sp macro="" textlink="">
      <xdr:nvSpPr>
        <xdr:cNvPr id="245607" name="フリーフォーム: 図形 245606">
          <a:extLst>
            <a:ext uri="{FF2B5EF4-FFF2-40B4-BE49-F238E27FC236}">
              <a16:creationId xmlns:a16="http://schemas.microsoft.com/office/drawing/2014/main" id="{8D7306EC-8FD2-46DA-96E3-D27122C1ACC5}"/>
            </a:ext>
          </a:extLst>
        </xdr:cNvPr>
        <xdr:cNvSpPr>
          <a:spLocks noChangeAspect="1"/>
        </xdr:cNvSpPr>
      </xdr:nvSpPr>
      <xdr:spPr>
        <a:xfrm>
          <a:off x="55583999" y="58176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27</xdr:row>
      <xdr:rowOff>75750</xdr:rowOff>
    </xdr:from>
    <xdr:to>
      <xdr:col>80</xdr:col>
      <xdr:colOff>431999</xdr:colOff>
      <xdr:row>32</xdr:row>
      <xdr:rowOff>136501</xdr:rowOff>
    </xdr:to>
    <xdr:sp macro="" textlink="">
      <xdr:nvSpPr>
        <xdr:cNvPr id="245608" name="フリーフォーム: 図形 245607">
          <a:extLst>
            <a:ext uri="{FF2B5EF4-FFF2-40B4-BE49-F238E27FC236}">
              <a16:creationId xmlns:a16="http://schemas.microsoft.com/office/drawing/2014/main" id="{AA30305D-BDC3-4C1F-987E-8F84D59B1878}"/>
            </a:ext>
          </a:extLst>
        </xdr:cNvPr>
        <xdr:cNvSpPr>
          <a:spLocks noChangeAspect="1"/>
        </xdr:cNvSpPr>
      </xdr:nvSpPr>
      <xdr:spPr>
        <a:xfrm>
          <a:off x="55007997" y="49716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21</xdr:row>
      <xdr:rowOff>114450</xdr:rowOff>
    </xdr:from>
    <xdr:to>
      <xdr:col>80</xdr:col>
      <xdr:colOff>576003</xdr:colOff>
      <xdr:row>27</xdr:row>
      <xdr:rowOff>21751</xdr:rowOff>
    </xdr:to>
    <xdr:sp macro="" textlink="">
      <xdr:nvSpPr>
        <xdr:cNvPr id="245609" name="フリーフォーム: 図形 245608">
          <a:extLst>
            <a:ext uri="{FF2B5EF4-FFF2-40B4-BE49-F238E27FC236}">
              <a16:creationId xmlns:a16="http://schemas.microsoft.com/office/drawing/2014/main" id="{2E75366C-0108-4BF2-B4EE-9DED69331852}"/>
            </a:ext>
          </a:extLst>
        </xdr:cNvPr>
        <xdr:cNvSpPr>
          <a:spLocks noChangeAspect="1"/>
        </xdr:cNvSpPr>
      </xdr:nvSpPr>
      <xdr:spPr>
        <a:xfrm>
          <a:off x="55187999" y="39816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26</xdr:row>
      <xdr:rowOff>139200</xdr:rowOff>
    </xdr:from>
    <xdr:to>
      <xdr:col>81</xdr:col>
      <xdr:colOff>160202</xdr:colOff>
      <xdr:row>27</xdr:row>
      <xdr:rowOff>111751</xdr:rowOff>
    </xdr:to>
    <xdr:sp macro="" textlink="">
      <xdr:nvSpPr>
        <xdr:cNvPr id="245610" name="フリーフォーム: 図形 245609">
          <a:extLst>
            <a:ext uri="{FF2B5EF4-FFF2-40B4-BE49-F238E27FC236}">
              <a16:creationId xmlns:a16="http://schemas.microsoft.com/office/drawing/2014/main" id="{1B9534A9-582D-4970-95FB-C36C84631CEF}"/>
            </a:ext>
          </a:extLst>
        </xdr:cNvPr>
        <xdr:cNvSpPr>
          <a:spLocks noChangeAspect="1"/>
        </xdr:cNvSpPr>
      </xdr:nvSpPr>
      <xdr:spPr>
        <a:xfrm>
          <a:off x="55260001" y="48636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26</xdr:row>
      <xdr:rowOff>139200</xdr:rowOff>
    </xdr:from>
    <xdr:to>
      <xdr:col>81</xdr:col>
      <xdr:colOff>664202</xdr:colOff>
      <xdr:row>27</xdr:row>
      <xdr:rowOff>111751</xdr:rowOff>
    </xdr:to>
    <xdr:sp macro="" textlink="">
      <xdr:nvSpPr>
        <xdr:cNvPr id="245611" name="フリーフォーム: 図形 245610">
          <a:extLst>
            <a:ext uri="{FF2B5EF4-FFF2-40B4-BE49-F238E27FC236}">
              <a16:creationId xmlns:a16="http://schemas.microsoft.com/office/drawing/2014/main" id="{AECC824A-7D36-4460-BF12-0CBFE8168627}"/>
            </a:ext>
          </a:extLst>
        </xdr:cNvPr>
        <xdr:cNvSpPr>
          <a:spLocks noChangeAspect="1"/>
        </xdr:cNvSpPr>
      </xdr:nvSpPr>
      <xdr:spPr>
        <a:xfrm>
          <a:off x="55764001" y="48636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22</xdr:row>
      <xdr:rowOff>51000</xdr:rowOff>
    </xdr:from>
    <xdr:to>
      <xdr:col>81</xdr:col>
      <xdr:colOff>178204</xdr:colOff>
      <xdr:row>27</xdr:row>
      <xdr:rowOff>3751</xdr:rowOff>
    </xdr:to>
    <xdr:sp macro="" textlink="">
      <xdr:nvSpPr>
        <xdr:cNvPr id="245612" name="フリーフォーム: 図形 245611">
          <a:extLst>
            <a:ext uri="{FF2B5EF4-FFF2-40B4-BE49-F238E27FC236}">
              <a16:creationId xmlns:a16="http://schemas.microsoft.com/office/drawing/2014/main" id="{1AD900E0-01D9-41D6-A8E5-4B042E658FA9}"/>
            </a:ext>
          </a:extLst>
        </xdr:cNvPr>
        <xdr:cNvSpPr>
          <a:spLocks noChangeAspect="1"/>
        </xdr:cNvSpPr>
      </xdr:nvSpPr>
      <xdr:spPr>
        <a:xfrm>
          <a:off x="55457998" y="40896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21</xdr:row>
      <xdr:rowOff>114450</xdr:rowOff>
    </xdr:from>
    <xdr:to>
      <xdr:col>81</xdr:col>
      <xdr:colOff>430201</xdr:colOff>
      <xdr:row>26</xdr:row>
      <xdr:rowOff>157201</xdr:rowOff>
    </xdr:to>
    <xdr:sp macro="" textlink="">
      <xdr:nvSpPr>
        <xdr:cNvPr id="245613" name="フリーフォーム: 図形 245612">
          <a:extLst>
            <a:ext uri="{FF2B5EF4-FFF2-40B4-BE49-F238E27FC236}">
              <a16:creationId xmlns:a16="http://schemas.microsoft.com/office/drawing/2014/main" id="{F35FEA9C-43D1-46BC-BC15-4DB8794E5251}"/>
            </a:ext>
          </a:extLst>
        </xdr:cNvPr>
        <xdr:cNvSpPr>
          <a:spLocks noChangeAspect="1"/>
        </xdr:cNvSpPr>
      </xdr:nvSpPr>
      <xdr:spPr>
        <a:xfrm>
          <a:off x="55728003" y="39816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22</xdr:row>
      <xdr:rowOff>69000</xdr:rowOff>
    </xdr:from>
    <xdr:to>
      <xdr:col>82</xdr:col>
      <xdr:colOff>68400</xdr:colOff>
      <xdr:row>27</xdr:row>
      <xdr:rowOff>3751</xdr:rowOff>
    </xdr:to>
    <xdr:sp macro="" textlink="">
      <xdr:nvSpPr>
        <xdr:cNvPr id="245614" name="フリーフォーム: 図形 245613">
          <a:extLst>
            <a:ext uri="{FF2B5EF4-FFF2-40B4-BE49-F238E27FC236}">
              <a16:creationId xmlns:a16="http://schemas.microsoft.com/office/drawing/2014/main" id="{FC1F9FAF-5A5A-416F-A37D-8A9583E07096}"/>
            </a:ext>
          </a:extLst>
        </xdr:cNvPr>
        <xdr:cNvSpPr>
          <a:spLocks noChangeAspect="1"/>
        </xdr:cNvSpPr>
      </xdr:nvSpPr>
      <xdr:spPr>
        <a:xfrm>
          <a:off x="55782003" y="41076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27</xdr:row>
      <xdr:rowOff>75750</xdr:rowOff>
    </xdr:from>
    <xdr:to>
      <xdr:col>81</xdr:col>
      <xdr:colOff>466199</xdr:colOff>
      <xdr:row>31</xdr:row>
      <xdr:rowOff>163951</xdr:rowOff>
    </xdr:to>
    <xdr:sp macro="" textlink="">
      <xdr:nvSpPr>
        <xdr:cNvPr id="245615" name="フリーフォーム: 図形 245614">
          <a:extLst>
            <a:ext uri="{FF2B5EF4-FFF2-40B4-BE49-F238E27FC236}">
              <a16:creationId xmlns:a16="http://schemas.microsoft.com/office/drawing/2014/main" id="{9D09CAB5-6CCE-403B-9FB7-D2B9379AD823}"/>
            </a:ext>
          </a:extLst>
        </xdr:cNvPr>
        <xdr:cNvSpPr>
          <a:spLocks noChangeAspect="1"/>
        </xdr:cNvSpPr>
      </xdr:nvSpPr>
      <xdr:spPr>
        <a:xfrm>
          <a:off x="55745999" y="49716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27</xdr:row>
      <xdr:rowOff>93750</xdr:rowOff>
    </xdr:from>
    <xdr:to>
      <xdr:col>81</xdr:col>
      <xdr:colOff>196200</xdr:colOff>
      <xdr:row>32</xdr:row>
      <xdr:rowOff>118501</xdr:rowOff>
    </xdr:to>
    <xdr:sp macro="" textlink="">
      <xdr:nvSpPr>
        <xdr:cNvPr id="245616" name="フリーフォーム: 図形 245615">
          <a:extLst>
            <a:ext uri="{FF2B5EF4-FFF2-40B4-BE49-F238E27FC236}">
              <a16:creationId xmlns:a16="http://schemas.microsoft.com/office/drawing/2014/main" id="{9AA7C03A-5FEF-4BB2-AC04-4E41DA8E1DF5}"/>
            </a:ext>
          </a:extLst>
        </xdr:cNvPr>
        <xdr:cNvSpPr>
          <a:spLocks noChangeAspect="1"/>
        </xdr:cNvSpPr>
      </xdr:nvSpPr>
      <xdr:spPr>
        <a:xfrm>
          <a:off x="55511998" y="49896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27</xdr:row>
      <xdr:rowOff>75750</xdr:rowOff>
    </xdr:from>
    <xdr:to>
      <xdr:col>81</xdr:col>
      <xdr:colOff>160202</xdr:colOff>
      <xdr:row>32</xdr:row>
      <xdr:rowOff>10501</xdr:rowOff>
    </xdr:to>
    <xdr:sp macro="" textlink="">
      <xdr:nvSpPr>
        <xdr:cNvPr id="245617" name="フリーフォーム: 図形 245616">
          <a:extLst>
            <a:ext uri="{FF2B5EF4-FFF2-40B4-BE49-F238E27FC236}">
              <a16:creationId xmlns:a16="http://schemas.microsoft.com/office/drawing/2014/main" id="{B315401E-30E0-46C5-B5D9-DA8610E078F2}"/>
            </a:ext>
          </a:extLst>
        </xdr:cNvPr>
        <xdr:cNvSpPr>
          <a:spLocks noChangeAspect="1"/>
        </xdr:cNvSpPr>
      </xdr:nvSpPr>
      <xdr:spPr>
        <a:xfrm>
          <a:off x="55187999" y="49716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21</xdr:row>
      <xdr:rowOff>42450</xdr:rowOff>
    </xdr:from>
    <xdr:to>
      <xdr:col>84</xdr:col>
      <xdr:colOff>93601</xdr:colOff>
      <xdr:row>22</xdr:row>
      <xdr:rowOff>15001</xdr:rowOff>
    </xdr:to>
    <xdr:sp macro="" textlink="">
      <xdr:nvSpPr>
        <xdr:cNvPr id="245618" name="フリーフォーム: 図形 245617">
          <a:extLst>
            <a:ext uri="{FF2B5EF4-FFF2-40B4-BE49-F238E27FC236}">
              <a16:creationId xmlns:a16="http://schemas.microsoft.com/office/drawing/2014/main" id="{8BAD2A52-E5BA-4E66-8624-7E936C65E2A3}"/>
            </a:ext>
          </a:extLst>
        </xdr:cNvPr>
        <xdr:cNvSpPr>
          <a:spLocks noChangeAspect="1"/>
        </xdr:cNvSpPr>
      </xdr:nvSpPr>
      <xdr:spPr>
        <a:xfrm>
          <a:off x="57232798" y="39096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21</xdr:row>
      <xdr:rowOff>42450</xdr:rowOff>
    </xdr:from>
    <xdr:to>
      <xdr:col>84</xdr:col>
      <xdr:colOff>633600</xdr:colOff>
      <xdr:row>22</xdr:row>
      <xdr:rowOff>15001</xdr:rowOff>
    </xdr:to>
    <xdr:sp macro="" textlink="">
      <xdr:nvSpPr>
        <xdr:cNvPr id="245619" name="フリーフォーム: 図形 245618">
          <a:extLst>
            <a:ext uri="{FF2B5EF4-FFF2-40B4-BE49-F238E27FC236}">
              <a16:creationId xmlns:a16="http://schemas.microsoft.com/office/drawing/2014/main" id="{D386B815-9066-465A-B9CF-DA7E4E561667}"/>
            </a:ext>
          </a:extLst>
        </xdr:cNvPr>
        <xdr:cNvSpPr>
          <a:spLocks noChangeAspect="1"/>
        </xdr:cNvSpPr>
      </xdr:nvSpPr>
      <xdr:spPr>
        <a:xfrm>
          <a:off x="57772802" y="39096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21</xdr:row>
      <xdr:rowOff>114450</xdr:rowOff>
    </xdr:from>
    <xdr:to>
      <xdr:col>85</xdr:col>
      <xdr:colOff>19801</xdr:colOff>
      <xdr:row>27</xdr:row>
      <xdr:rowOff>21751</xdr:rowOff>
    </xdr:to>
    <xdr:sp macro="" textlink="">
      <xdr:nvSpPr>
        <xdr:cNvPr id="245620" name="フリーフォーム: 図形 245619">
          <a:extLst>
            <a:ext uri="{FF2B5EF4-FFF2-40B4-BE49-F238E27FC236}">
              <a16:creationId xmlns:a16="http://schemas.microsoft.com/office/drawing/2014/main" id="{52309F7B-9BF2-4389-A0FC-BFDB387A233A}"/>
            </a:ext>
          </a:extLst>
        </xdr:cNvPr>
        <xdr:cNvSpPr>
          <a:spLocks noChangeAspect="1"/>
        </xdr:cNvSpPr>
      </xdr:nvSpPr>
      <xdr:spPr>
        <a:xfrm>
          <a:off x="58024799" y="39816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27</xdr:row>
      <xdr:rowOff>75750</xdr:rowOff>
    </xdr:from>
    <xdr:to>
      <xdr:col>84</xdr:col>
      <xdr:colOff>525600</xdr:colOff>
      <xdr:row>32</xdr:row>
      <xdr:rowOff>136501</xdr:rowOff>
    </xdr:to>
    <xdr:sp macro="" textlink="">
      <xdr:nvSpPr>
        <xdr:cNvPr id="245621" name="フリーフォーム: 図形 245620">
          <a:extLst>
            <a:ext uri="{FF2B5EF4-FFF2-40B4-BE49-F238E27FC236}">
              <a16:creationId xmlns:a16="http://schemas.microsoft.com/office/drawing/2014/main" id="{5FAD0386-9D91-4D52-91DE-1CFAFF3A827C}"/>
            </a:ext>
          </a:extLst>
        </xdr:cNvPr>
        <xdr:cNvSpPr>
          <a:spLocks noChangeAspect="1"/>
        </xdr:cNvSpPr>
      </xdr:nvSpPr>
      <xdr:spPr>
        <a:xfrm>
          <a:off x="57844798" y="49716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32</xdr:row>
      <xdr:rowOff>64500</xdr:rowOff>
    </xdr:from>
    <xdr:to>
      <xdr:col>83</xdr:col>
      <xdr:colOff>455403</xdr:colOff>
      <xdr:row>33</xdr:row>
      <xdr:rowOff>37051</xdr:rowOff>
    </xdr:to>
    <xdr:sp macro="" textlink="">
      <xdr:nvSpPr>
        <xdr:cNvPr id="245622" name="フリーフォーム: 図形 245621">
          <a:extLst>
            <a:ext uri="{FF2B5EF4-FFF2-40B4-BE49-F238E27FC236}">
              <a16:creationId xmlns:a16="http://schemas.microsoft.com/office/drawing/2014/main" id="{8132E542-C506-4363-ACB2-79F68DCD09BE}"/>
            </a:ext>
          </a:extLst>
        </xdr:cNvPr>
        <xdr:cNvSpPr>
          <a:spLocks noChangeAspect="1"/>
        </xdr:cNvSpPr>
      </xdr:nvSpPr>
      <xdr:spPr>
        <a:xfrm>
          <a:off x="56890797" y="58176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32</xdr:row>
      <xdr:rowOff>64500</xdr:rowOff>
    </xdr:from>
    <xdr:to>
      <xdr:col>84</xdr:col>
      <xdr:colOff>273603</xdr:colOff>
      <xdr:row>33</xdr:row>
      <xdr:rowOff>37051</xdr:rowOff>
    </xdr:to>
    <xdr:sp macro="" textlink="">
      <xdr:nvSpPr>
        <xdr:cNvPr id="245623" name="フリーフォーム: 図形 245622">
          <a:extLst>
            <a:ext uri="{FF2B5EF4-FFF2-40B4-BE49-F238E27FC236}">
              <a16:creationId xmlns:a16="http://schemas.microsoft.com/office/drawing/2014/main" id="{2C21552F-49C9-47E7-B58A-AE99F530699E}"/>
            </a:ext>
          </a:extLst>
        </xdr:cNvPr>
        <xdr:cNvSpPr>
          <a:spLocks noChangeAspect="1"/>
        </xdr:cNvSpPr>
      </xdr:nvSpPr>
      <xdr:spPr>
        <a:xfrm>
          <a:off x="57412799" y="58176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27</xdr:row>
      <xdr:rowOff>75750</xdr:rowOff>
    </xdr:from>
    <xdr:to>
      <xdr:col>83</xdr:col>
      <xdr:colOff>203399</xdr:colOff>
      <xdr:row>32</xdr:row>
      <xdr:rowOff>136501</xdr:rowOff>
    </xdr:to>
    <xdr:sp macro="" textlink="">
      <xdr:nvSpPr>
        <xdr:cNvPr id="245624" name="フリーフォーム: 図形 245623">
          <a:extLst>
            <a:ext uri="{FF2B5EF4-FFF2-40B4-BE49-F238E27FC236}">
              <a16:creationId xmlns:a16="http://schemas.microsoft.com/office/drawing/2014/main" id="{EE207B91-D7DD-49DA-A67B-2E8A3222DE16}"/>
            </a:ext>
          </a:extLst>
        </xdr:cNvPr>
        <xdr:cNvSpPr>
          <a:spLocks noChangeAspect="1"/>
        </xdr:cNvSpPr>
      </xdr:nvSpPr>
      <xdr:spPr>
        <a:xfrm>
          <a:off x="56836797" y="49716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21</xdr:row>
      <xdr:rowOff>114450</xdr:rowOff>
    </xdr:from>
    <xdr:to>
      <xdr:col>83</xdr:col>
      <xdr:colOff>347403</xdr:colOff>
      <xdr:row>27</xdr:row>
      <xdr:rowOff>21751</xdr:rowOff>
    </xdr:to>
    <xdr:sp macro="" textlink="">
      <xdr:nvSpPr>
        <xdr:cNvPr id="245625" name="フリーフォーム: 図形 245624">
          <a:extLst>
            <a:ext uri="{FF2B5EF4-FFF2-40B4-BE49-F238E27FC236}">
              <a16:creationId xmlns:a16="http://schemas.microsoft.com/office/drawing/2014/main" id="{3CD4EBDA-E390-4AE9-B0DC-0BC12C7883FD}"/>
            </a:ext>
          </a:extLst>
        </xdr:cNvPr>
        <xdr:cNvSpPr>
          <a:spLocks noChangeAspect="1"/>
        </xdr:cNvSpPr>
      </xdr:nvSpPr>
      <xdr:spPr>
        <a:xfrm>
          <a:off x="57016799" y="39816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26</xdr:row>
      <xdr:rowOff>139200</xdr:rowOff>
    </xdr:from>
    <xdr:to>
      <xdr:col>83</xdr:col>
      <xdr:colOff>617402</xdr:colOff>
      <xdr:row>27</xdr:row>
      <xdr:rowOff>111751</xdr:rowOff>
    </xdr:to>
    <xdr:sp macro="" textlink="">
      <xdr:nvSpPr>
        <xdr:cNvPr id="245626" name="フリーフォーム: 図形 245625">
          <a:extLst>
            <a:ext uri="{FF2B5EF4-FFF2-40B4-BE49-F238E27FC236}">
              <a16:creationId xmlns:a16="http://schemas.microsoft.com/office/drawing/2014/main" id="{9F6B7670-8F33-4314-AA22-BAB475091F6B}"/>
            </a:ext>
          </a:extLst>
        </xdr:cNvPr>
        <xdr:cNvSpPr>
          <a:spLocks noChangeAspect="1"/>
        </xdr:cNvSpPr>
      </xdr:nvSpPr>
      <xdr:spPr>
        <a:xfrm>
          <a:off x="57088801" y="48636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26</xdr:row>
      <xdr:rowOff>139200</xdr:rowOff>
    </xdr:from>
    <xdr:to>
      <xdr:col>84</xdr:col>
      <xdr:colOff>435602</xdr:colOff>
      <xdr:row>27</xdr:row>
      <xdr:rowOff>111751</xdr:rowOff>
    </xdr:to>
    <xdr:sp macro="" textlink="">
      <xdr:nvSpPr>
        <xdr:cNvPr id="245627" name="フリーフォーム: 図形 245626">
          <a:extLst>
            <a:ext uri="{FF2B5EF4-FFF2-40B4-BE49-F238E27FC236}">
              <a16:creationId xmlns:a16="http://schemas.microsoft.com/office/drawing/2014/main" id="{35AD568F-E10F-4B6C-9D8D-3E0046C0BF96}"/>
            </a:ext>
          </a:extLst>
        </xdr:cNvPr>
        <xdr:cNvSpPr>
          <a:spLocks noChangeAspect="1"/>
        </xdr:cNvSpPr>
      </xdr:nvSpPr>
      <xdr:spPr>
        <a:xfrm>
          <a:off x="57592801" y="48636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22</xdr:row>
      <xdr:rowOff>51000</xdr:rowOff>
    </xdr:from>
    <xdr:to>
      <xdr:col>83</xdr:col>
      <xdr:colOff>635404</xdr:colOff>
      <xdr:row>27</xdr:row>
      <xdr:rowOff>3751</xdr:rowOff>
    </xdr:to>
    <xdr:sp macro="" textlink="">
      <xdr:nvSpPr>
        <xdr:cNvPr id="245628" name="フリーフォーム: 図形 245627">
          <a:extLst>
            <a:ext uri="{FF2B5EF4-FFF2-40B4-BE49-F238E27FC236}">
              <a16:creationId xmlns:a16="http://schemas.microsoft.com/office/drawing/2014/main" id="{87D12EFE-F329-410B-A19E-A66F431FEE0F}"/>
            </a:ext>
          </a:extLst>
        </xdr:cNvPr>
        <xdr:cNvSpPr>
          <a:spLocks noChangeAspect="1"/>
        </xdr:cNvSpPr>
      </xdr:nvSpPr>
      <xdr:spPr>
        <a:xfrm>
          <a:off x="57286798" y="40896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21</xdr:row>
      <xdr:rowOff>114450</xdr:rowOff>
    </xdr:from>
    <xdr:to>
      <xdr:col>84</xdr:col>
      <xdr:colOff>201601</xdr:colOff>
      <xdr:row>26</xdr:row>
      <xdr:rowOff>157201</xdr:rowOff>
    </xdr:to>
    <xdr:sp macro="" textlink="">
      <xdr:nvSpPr>
        <xdr:cNvPr id="245629" name="フリーフォーム: 図形 245628">
          <a:extLst>
            <a:ext uri="{FF2B5EF4-FFF2-40B4-BE49-F238E27FC236}">
              <a16:creationId xmlns:a16="http://schemas.microsoft.com/office/drawing/2014/main" id="{C1C155CD-8E39-4561-972D-E8C428A2ED27}"/>
            </a:ext>
          </a:extLst>
        </xdr:cNvPr>
        <xdr:cNvSpPr>
          <a:spLocks noChangeAspect="1"/>
        </xdr:cNvSpPr>
      </xdr:nvSpPr>
      <xdr:spPr>
        <a:xfrm>
          <a:off x="57556803" y="39816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22</xdr:row>
      <xdr:rowOff>69000</xdr:rowOff>
    </xdr:from>
    <xdr:to>
      <xdr:col>84</xdr:col>
      <xdr:colOff>525600</xdr:colOff>
      <xdr:row>27</xdr:row>
      <xdr:rowOff>3751</xdr:rowOff>
    </xdr:to>
    <xdr:sp macro="" textlink="">
      <xdr:nvSpPr>
        <xdr:cNvPr id="245630" name="フリーフォーム: 図形 245629">
          <a:extLst>
            <a:ext uri="{FF2B5EF4-FFF2-40B4-BE49-F238E27FC236}">
              <a16:creationId xmlns:a16="http://schemas.microsoft.com/office/drawing/2014/main" id="{A6FF47B6-DE8D-434C-93CA-F7560344A4A9}"/>
            </a:ext>
          </a:extLst>
        </xdr:cNvPr>
        <xdr:cNvSpPr>
          <a:spLocks noChangeAspect="1"/>
        </xdr:cNvSpPr>
      </xdr:nvSpPr>
      <xdr:spPr>
        <a:xfrm>
          <a:off x="57610803" y="41076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27</xdr:row>
      <xdr:rowOff>75750</xdr:rowOff>
    </xdr:from>
    <xdr:to>
      <xdr:col>84</xdr:col>
      <xdr:colOff>237599</xdr:colOff>
      <xdr:row>31</xdr:row>
      <xdr:rowOff>163951</xdr:rowOff>
    </xdr:to>
    <xdr:sp macro="" textlink="">
      <xdr:nvSpPr>
        <xdr:cNvPr id="245631" name="フリーフォーム: 図形 245630">
          <a:extLst>
            <a:ext uri="{FF2B5EF4-FFF2-40B4-BE49-F238E27FC236}">
              <a16:creationId xmlns:a16="http://schemas.microsoft.com/office/drawing/2014/main" id="{3288EA93-AE3E-47E9-B792-7C5AA0CDD1B0}"/>
            </a:ext>
          </a:extLst>
        </xdr:cNvPr>
        <xdr:cNvSpPr>
          <a:spLocks noChangeAspect="1"/>
        </xdr:cNvSpPr>
      </xdr:nvSpPr>
      <xdr:spPr>
        <a:xfrm>
          <a:off x="57574799" y="49716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27</xdr:row>
      <xdr:rowOff>93750</xdr:rowOff>
    </xdr:from>
    <xdr:to>
      <xdr:col>83</xdr:col>
      <xdr:colOff>653400</xdr:colOff>
      <xdr:row>32</xdr:row>
      <xdr:rowOff>118501</xdr:rowOff>
    </xdr:to>
    <xdr:sp macro="" textlink="">
      <xdr:nvSpPr>
        <xdr:cNvPr id="245632" name="フリーフォーム: 図形 245631">
          <a:extLst>
            <a:ext uri="{FF2B5EF4-FFF2-40B4-BE49-F238E27FC236}">
              <a16:creationId xmlns:a16="http://schemas.microsoft.com/office/drawing/2014/main" id="{C6B8F73A-CCD6-47BF-BEFA-E5E3BD641574}"/>
            </a:ext>
          </a:extLst>
        </xdr:cNvPr>
        <xdr:cNvSpPr>
          <a:spLocks noChangeAspect="1"/>
        </xdr:cNvSpPr>
      </xdr:nvSpPr>
      <xdr:spPr>
        <a:xfrm>
          <a:off x="57340798" y="49896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27</xdr:row>
      <xdr:rowOff>75750</xdr:rowOff>
    </xdr:from>
    <xdr:to>
      <xdr:col>83</xdr:col>
      <xdr:colOff>617402</xdr:colOff>
      <xdr:row>32</xdr:row>
      <xdr:rowOff>10501</xdr:rowOff>
    </xdr:to>
    <xdr:sp macro="" textlink="">
      <xdr:nvSpPr>
        <xdr:cNvPr id="245633" name="フリーフォーム: 図形 245632">
          <a:extLst>
            <a:ext uri="{FF2B5EF4-FFF2-40B4-BE49-F238E27FC236}">
              <a16:creationId xmlns:a16="http://schemas.microsoft.com/office/drawing/2014/main" id="{CFCADFCC-E6D3-4E6A-A9E0-12A19E8E6EDB}"/>
            </a:ext>
          </a:extLst>
        </xdr:cNvPr>
        <xdr:cNvSpPr>
          <a:spLocks noChangeAspect="1"/>
        </xdr:cNvSpPr>
      </xdr:nvSpPr>
      <xdr:spPr>
        <a:xfrm>
          <a:off x="57016799" y="49716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37</xdr:row>
      <xdr:rowOff>42450</xdr:rowOff>
    </xdr:from>
    <xdr:to>
      <xdr:col>1</xdr:col>
      <xdr:colOff>322201</xdr:colOff>
      <xdr:row>38</xdr:row>
      <xdr:rowOff>15001</xdr:rowOff>
    </xdr:to>
    <xdr:sp macro="" textlink="">
      <xdr:nvSpPr>
        <xdr:cNvPr id="245634" name="フリーフォーム: 図形 245633">
          <a:extLst>
            <a:ext uri="{FF2B5EF4-FFF2-40B4-BE49-F238E27FC236}">
              <a16:creationId xmlns:a16="http://schemas.microsoft.com/office/drawing/2014/main" id="{127D61F0-86C3-44AA-BD9E-C8F04B27BA6F}"/>
            </a:ext>
          </a:extLst>
        </xdr:cNvPr>
        <xdr:cNvSpPr>
          <a:spLocks noChangeAspect="1"/>
        </xdr:cNvSpPr>
      </xdr:nvSpPr>
      <xdr:spPr>
        <a:xfrm>
          <a:off x="5400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37</xdr:row>
      <xdr:rowOff>42450</xdr:rowOff>
    </xdr:from>
    <xdr:to>
      <xdr:col>2</xdr:col>
      <xdr:colOff>176401</xdr:colOff>
      <xdr:row>38</xdr:row>
      <xdr:rowOff>15001</xdr:rowOff>
    </xdr:to>
    <xdr:sp macro="" textlink="">
      <xdr:nvSpPr>
        <xdr:cNvPr id="245635" name="フリーフォーム: 図形 245634">
          <a:extLst>
            <a:ext uri="{FF2B5EF4-FFF2-40B4-BE49-F238E27FC236}">
              <a16:creationId xmlns:a16="http://schemas.microsoft.com/office/drawing/2014/main" id="{EF162C45-CE89-48B4-A3A0-8F343625521D}"/>
            </a:ext>
          </a:extLst>
        </xdr:cNvPr>
        <xdr:cNvSpPr>
          <a:spLocks noChangeAspect="1"/>
        </xdr:cNvSpPr>
      </xdr:nvSpPr>
      <xdr:spPr>
        <a:xfrm>
          <a:off x="10800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37</xdr:row>
      <xdr:rowOff>114450</xdr:rowOff>
    </xdr:from>
    <xdr:to>
      <xdr:col>2</xdr:col>
      <xdr:colOff>248401</xdr:colOff>
      <xdr:row>43</xdr:row>
      <xdr:rowOff>21751</xdr:rowOff>
    </xdr:to>
    <xdr:sp macro="" textlink="">
      <xdr:nvSpPr>
        <xdr:cNvPr id="245636" name="フリーフォーム: 図形 245635">
          <a:extLst>
            <a:ext uri="{FF2B5EF4-FFF2-40B4-BE49-F238E27FC236}">
              <a16:creationId xmlns:a16="http://schemas.microsoft.com/office/drawing/2014/main" id="{725CFEA6-15E8-40E5-9A80-5C751806C31C}"/>
            </a:ext>
          </a:extLst>
        </xdr:cNvPr>
        <xdr:cNvSpPr>
          <a:spLocks noChangeAspect="1"/>
        </xdr:cNvSpPr>
      </xdr:nvSpPr>
      <xdr:spPr>
        <a:xfrm>
          <a:off x="13320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43</xdr:row>
      <xdr:rowOff>75750</xdr:rowOff>
    </xdr:from>
    <xdr:to>
      <xdr:col>2</xdr:col>
      <xdr:colOff>68401</xdr:colOff>
      <xdr:row>48</xdr:row>
      <xdr:rowOff>136501</xdr:rowOff>
    </xdr:to>
    <xdr:sp macro="" textlink="">
      <xdr:nvSpPr>
        <xdr:cNvPr id="245637" name="フリーフォーム: 図形 245636">
          <a:extLst>
            <a:ext uri="{FF2B5EF4-FFF2-40B4-BE49-F238E27FC236}">
              <a16:creationId xmlns:a16="http://schemas.microsoft.com/office/drawing/2014/main" id="{6A0BCA5F-E643-411F-8209-586C45DAF4BA}"/>
            </a:ext>
          </a:extLst>
        </xdr:cNvPr>
        <xdr:cNvSpPr>
          <a:spLocks noChangeAspect="1"/>
        </xdr:cNvSpPr>
      </xdr:nvSpPr>
      <xdr:spPr>
        <a:xfrm>
          <a:off x="11520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48</xdr:row>
      <xdr:rowOff>64500</xdr:rowOff>
    </xdr:from>
    <xdr:to>
      <xdr:col>0</xdr:col>
      <xdr:colOff>684001</xdr:colOff>
      <xdr:row>49</xdr:row>
      <xdr:rowOff>37051</xdr:rowOff>
    </xdr:to>
    <xdr:sp macro="" textlink="">
      <xdr:nvSpPr>
        <xdr:cNvPr id="245638" name="フリーフォーム: 図形 245637">
          <a:extLst>
            <a:ext uri="{FF2B5EF4-FFF2-40B4-BE49-F238E27FC236}">
              <a16:creationId xmlns:a16="http://schemas.microsoft.com/office/drawing/2014/main" id="{6FC9A126-DF0D-4705-AD3D-20F22A935F41}"/>
            </a:ext>
          </a:extLst>
        </xdr:cNvPr>
        <xdr:cNvSpPr>
          <a:spLocks noChangeAspect="1"/>
        </xdr:cNvSpPr>
      </xdr:nvSpPr>
      <xdr:spPr>
        <a:xfrm>
          <a:off x="1980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48</xdr:row>
      <xdr:rowOff>64500</xdr:rowOff>
    </xdr:from>
    <xdr:to>
      <xdr:col>1</xdr:col>
      <xdr:colOff>502201</xdr:colOff>
      <xdr:row>49</xdr:row>
      <xdr:rowOff>37051</xdr:rowOff>
    </xdr:to>
    <xdr:sp macro="" textlink="">
      <xdr:nvSpPr>
        <xdr:cNvPr id="245639" name="フリーフォーム: 図形 245638">
          <a:extLst>
            <a:ext uri="{FF2B5EF4-FFF2-40B4-BE49-F238E27FC236}">
              <a16:creationId xmlns:a16="http://schemas.microsoft.com/office/drawing/2014/main" id="{45C8417A-66F0-4485-BF38-9CBCD2B2C594}"/>
            </a:ext>
          </a:extLst>
        </xdr:cNvPr>
        <xdr:cNvSpPr>
          <a:spLocks noChangeAspect="1"/>
        </xdr:cNvSpPr>
      </xdr:nvSpPr>
      <xdr:spPr>
        <a:xfrm>
          <a:off x="7200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43</xdr:row>
      <xdr:rowOff>75750</xdr:rowOff>
    </xdr:from>
    <xdr:to>
      <xdr:col>0</xdr:col>
      <xdr:colOff>432001</xdr:colOff>
      <xdr:row>48</xdr:row>
      <xdr:rowOff>136501</xdr:rowOff>
    </xdr:to>
    <xdr:sp macro="" textlink="">
      <xdr:nvSpPr>
        <xdr:cNvPr id="245640" name="フリーフォーム: 図形 245639">
          <a:extLst>
            <a:ext uri="{FF2B5EF4-FFF2-40B4-BE49-F238E27FC236}">
              <a16:creationId xmlns:a16="http://schemas.microsoft.com/office/drawing/2014/main" id="{3358213B-E8F4-4E03-8996-D272E628E02C}"/>
            </a:ext>
          </a:extLst>
        </xdr:cNvPr>
        <xdr:cNvSpPr>
          <a:spLocks noChangeAspect="1"/>
        </xdr:cNvSpPr>
      </xdr:nvSpPr>
      <xdr:spPr>
        <a:xfrm>
          <a:off x="1440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37</xdr:row>
      <xdr:rowOff>114450</xdr:rowOff>
    </xdr:from>
    <xdr:to>
      <xdr:col>0</xdr:col>
      <xdr:colOff>576001</xdr:colOff>
      <xdr:row>43</xdr:row>
      <xdr:rowOff>21751</xdr:rowOff>
    </xdr:to>
    <xdr:sp macro="" textlink="">
      <xdr:nvSpPr>
        <xdr:cNvPr id="245641" name="フリーフォーム: 図形 245640">
          <a:extLst>
            <a:ext uri="{FF2B5EF4-FFF2-40B4-BE49-F238E27FC236}">
              <a16:creationId xmlns:a16="http://schemas.microsoft.com/office/drawing/2014/main" id="{333073A6-BE60-4F98-8B60-76E647287274}"/>
            </a:ext>
          </a:extLst>
        </xdr:cNvPr>
        <xdr:cNvSpPr>
          <a:spLocks noChangeAspect="1"/>
        </xdr:cNvSpPr>
      </xdr:nvSpPr>
      <xdr:spPr>
        <a:xfrm>
          <a:off x="3240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42</xdr:row>
      <xdr:rowOff>139200</xdr:rowOff>
    </xdr:from>
    <xdr:to>
      <xdr:col>1</xdr:col>
      <xdr:colOff>160201</xdr:colOff>
      <xdr:row>43</xdr:row>
      <xdr:rowOff>111751</xdr:rowOff>
    </xdr:to>
    <xdr:sp macro="" textlink="">
      <xdr:nvSpPr>
        <xdr:cNvPr id="245642" name="フリーフォーム: 図形 245641">
          <a:extLst>
            <a:ext uri="{FF2B5EF4-FFF2-40B4-BE49-F238E27FC236}">
              <a16:creationId xmlns:a16="http://schemas.microsoft.com/office/drawing/2014/main" id="{FC4E87B0-FCB1-4485-8031-FEB773BCF827}"/>
            </a:ext>
          </a:extLst>
        </xdr:cNvPr>
        <xdr:cNvSpPr>
          <a:spLocks noChangeAspect="1"/>
        </xdr:cNvSpPr>
      </xdr:nvSpPr>
      <xdr:spPr>
        <a:xfrm>
          <a:off x="3960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42</xdr:row>
      <xdr:rowOff>139200</xdr:rowOff>
    </xdr:from>
    <xdr:to>
      <xdr:col>1</xdr:col>
      <xdr:colOff>664201</xdr:colOff>
      <xdr:row>43</xdr:row>
      <xdr:rowOff>111751</xdr:rowOff>
    </xdr:to>
    <xdr:sp macro="" textlink="">
      <xdr:nvSpPr>
        <xdr:cNvPr id="245643" name="フリーフォーム: 図形 245642">
          <a:extLst>
            <a:ext uri="{FF2B5EF4-FFF2-40B4-BE49-F238E27FC236}">
              <a16:creationId xmlns:a16="http://schemas.microsoft.com/office/drawing/2014/main" id="{C47CFE76-850C-44DC-99DA-2E15824983EF}"/>
            </a:ext>
          </a:extLst>
        </xdr:cNvPr>
        <xdr:cNvSpPr>
          <a:spLocks noChangeAspect="1"/>
        </xdr:cNvSpPr>
      </xdr:nvSpPr>
      <xdr:spPr>
        <a:xfrm>
          <a:off x="9000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38</xdr:row>
      <xdr:rowOff>51000</xdr:rowOff>
    </xdr:from>
    <xdr:to>
      <xdr:col>1</xdr:col>
      <xdr:colOff>178201</xdr:colOff>
      <xdr:row>43</xdr:row>
      <xdr:rowOff>3751</xdr:rowOff>
    </xdr:to>
    <xdr:sp macro="" textlink="">
      <xdr:nvSpPr>
        <xdr:cNvPr id="245644" name="フリーフォーム: 図形 245643">
          <a:extLst>
            <a:ext uri="{FF2B5EF4-FFF2-40B4-BE49-F238E27FC236}">
              <a16:creationId xmlns:a16="http://schemas.microsoft.com/office/drawing/2014/main" id="{AC7F6FD7-8632-49C9-80D9-335EC7F95266}"/>
            </a:ext>
          </a:extLst>
        </xdr:cNvPr>
        <xdr:cNvSpPr>
          <a:spLocks noChangeAspect="1"/>
        </xdr:cNvSpPr>
      </xdr:nvSpPr>
      <xdr:spPr>
        <a:xfrm>
          <a:off x="5940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37</xdr:row>
      <xdr:rowOff>114450</xdr:rowOff>
    </xdr:from>
    <xdr:to>
      <xdr:col>1</xdr:col>
      <xdr:colOff>430201</xdr:colOff>
      <xdr:row>42</xdr:row>
      <xdr:rowOff>157201</xdr:rowOff>
    </xdr:to>
    <xdr:sp macro="" textlink="">
      <xdr:nvSpPr>
        <xdr:cNvPr id="245645" name="フリーフォーム: 図形 245644">
          <a:extLst>
            <a:ext uri="{FF2B5EF4-FFF2-40B4-BE49-F238E27FC236}">
              <a16:creationId xmlns:a16="http://schemas.microsoft.com/office/drawing/2014/main" id="{EA855B61-BB3D-4F7C-A9E5-2716514C30B0}"/>
            </a:ext>
          </a:extLst>
        </xdr:cNvPr>
        <xdr:cNvSpPr>
          <a:spLocks noChangeAspect="1"/>
        </xdr:cNvSpPr>
      </xdr:nvSpPr>
      <xdr:spPr>
        <a:xfrm>
          <a:off x="8640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38</xdr:row>
      <xdr:rowOff>69000</xdr:rowOff>
    </xdr:from>
    <xdr:to>
      <xdr:col>2</xdr:col>
      <xdr:colOff>68401</xdr:colOff>
      <xdr:row>43</xdr:row>
      <xdr:rowOff>3751</xdr:rowOff>
    </xdr:to>
    <xdr:sp macro="" textlink="">
      <xdr:nvSpPr>
        <xdr:cNvPr id="245646" name="フリーフォーム: 図形 245645">
          <a:extLst>
            <a:ext uri="{FF2B5EF4-FFF2-40B4-BE49-F238E27FC236}">
              <a16:creationId xmlns:a16="http://schemas.microsoft.com/office/drawing/2014/main" id="{2912C926-B15B-4A99-A527-B6A252B8F9F4}"/>
            </a:ext>
          </a:extLst>
        </xdr:cNvPr>
        <xdr:cNvSpPr>
          <a:spLocks noChangeAspect="1"/>
        </xdr:cNvSpPr>
      </xdr:nvSpPr>
      <xdr:spPr>
        <a:xfrm>
          <a:off x="9180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43</xdr:row>
      <xdr:rowOff>75750</xdr:rowOff>
    </xdr:from>
    <xdr:to>
      <xdr:col>1</xdr:col>
      <xdr:colOff>466201</xdr:colOff>
      <xdr:row>47</xdr:row>
      <xdr:rowOff>163951</xdr:rowOff>
    </xdr:to>
    <xdr:sp macro="" textlink="">
      <xdr:nvSpPr>
        <xdr:cNvPr id="245647" name="フリーフォーム: 図形 245646">
          <a:extLst>
            <a:ext uri="{FF2B5EF4-FFF2-40B4-BE49-F238E27FC236}">
              <a16:creationId xmlns:a16="http://schemas.microsoft.com/office/drawing/2014/main" id="{1AB9D1B6-0895-4EAD-9967-28018F65406E}"/>
            </a:ext>
          </a:extLst>
        </xdr:cNvPr>
        <xdr:cNvSpPr>
          <a:spLocks noChangeAspect="1"/>
        </xdr:cNvSpPr>
      </xdr:nvSpPr>
      <xdr:spPr>
        <a:xfrm>
          <a:off x="8820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43</xdr:row>
      <xdr:rowOff>93750</xdr:rowOff>
    </xdr:from>
    <xdr:to>
      <xdr:col>1</xdr:col>
      <xdr:colOff>196201</xdr:colOff>
      <xdr:row>48</xdr:row>
      <xdr:rowOff>118501</xdr:rowOff>
    </xdr:to>
    <xdr:sp macro="" textlink="">
      <xdr:nvSpPr>
        <xdr:cNvPr id="245648" name="フリーフォーム: 図形 245647">
          <a:extLst>
            <a:ext uri="{FF2B5EF4-FFF2-40B4-BE49-F238E27FC236}">
              <a16:creationId xmlns:a16="http://schemas.microsoft.com/office/drawing/2014/main" id="{242875A0-5632-4B3E-8C6B-2288C99D7421}"/>
            </a:ext>
          </a:extLst>
        </xdr:cNvPr>
        <xdr:cNvSpPr>
          <a:spLocks noChangeAspect="1"/>
        </xdr:cNvSpPr>
      </xdr:nvSpPr>
      <xdr:spPr>
        <a:xfrm>
          <a:off x="6480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43</xdr:row>
      <xdr:rowOff>75750</xdr:rowOff>
    </xdr:from>
    <xdr:to>
      <xdr:col>1</xdr:col>
      <xdr:colOff>160201</xdr:colOff>
      <xdr:row>48</xdr:row>
      <xdr:rowOff>10501</xdr:rowOff>
    </xdr:to>
    <xdr:sp macro="" textlink="">
      <xdr:nvSpPr>
        <xdr:cNvPr id="245649" name="フリーフォーム: 図形 245648">
          <a:extLst>
            <a:ext uri="{FF2B5EF4-FFF2-40B4-BE49-F238E27FC236}">
              <a16:creationId xmlns:a16="http://schemas.microsoft.com/office/drawing/2014/main" id="{6488B22A-7BED-4F36-BA95-C464B940DDF9}"/>
            </a:ext>
          </a:extLst>
        </xdr:cNvPr>
        <xdr:cNvSpPr>
          <a:spLocks noChangeAspect="1"/>
        </xdr:cNvSpPr>
      </xdr:nvSpPr>
      <xdr:spPr>
        <a:xfrm>
          <a:off x="3240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37</xdr:row>
      <xdr:rowOff>42450</xdr:rowOff>
    </xdr:from>
    <xdr:to>
      <xdr:col>4</xdr:col>
      <xdr:colOff>93601</xdr:colOff>
      <xdr:row>38</xdr:row>
      <xdr:rowOff>15001</xdr:rowOff>
    </xdr:to>
    <xdr:sp macro="" textlink="">
      <xdr:nvSpPr>
        <xdr:cNvPr id="245650" name="フリーフォーム: 図形 245649">
          <a:extLst>
            <a:ext uri="{FF2B5EF4-FFF2-40B4-BE49-F238E27FC236}">
              <a16:creationId xmlns:a16="http://schemas.microsoft.com/office/drawing/2014/main" id="{28111642-3D94-4949-9AD8-6889FD7B6FAD}"/>
            </a:ext>
          </a:extLst>
        </xdr:cNvPr>
        <xdr:cNvSpPr>
          <a:spLocks noChangeAspect="1"/>
        </xdr:cNvSpPr>
      </xdr:nvSpPr>
      <xdr:spPr>
        <a:xfrm>
          <a:off x="23688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37</xdr:row>
      <xdr:rowOff>42450</xdr:rowOff>
    </xdr:from>
    <xdr:to>
      <xdr:col>4</xdr:col>
      <xdr:colOff>633601</xdr:colOff>
      <xdr:row>38</xdr:row>
      <xdr:rowOff>15001</xdr:rowOff>
    </xdr:to>
    <xdr:sp macro="" textlink="">
      <xdr:nvSpPr>
        <xdr:cNvPr id="245651" name="フリーフォーム: 図形 245650">
          <a:extLst>
            <a:ext uri="{FF2B5EF4-FFF2-40B4-BE49-F238E27FC236}">
              <a16:creationId xmlns:a16="http://schemas.microsoft.com/office/drawing/2014/main" id="{880F4A2B-BE5E-4761-9EA4-CC385F8340F8}"/>
            </a:ext>
          </a:extLst>
        </xdr:cNvPr>
        <xdr:cNvSpPr>
          <a:spLocks noChangeAspect="1"/>
        </xdr:cNvSpPr>
      </xdr:nvSpPr>
      <xdr:spPr>
        <a:xfrm>
          <a:off x="29088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37</xdr:row>
      <xdr:rowOff>114450</xdr:rowOff>
    </xdr:from>
    <xdr:to>
      <xdr:col>5</xdr:col>
      <xdr:colOff>19801</xdr:colOff>
      <xdr:row>43</xdr:row>
      <xdr:rowOff>21751</xdr:rowOff>
    </xdr:to>
    <xdr:sp macro="" textlink="">
      <xdr:nvSpPr>
        <xdr:cNvPr id="245652" name="フリーフォーム: 図形 245651">
          <a:extLst>
            <a:ext uri="{FF2B5EF4-FFF2-40B4-BE49-F238E27FC236}">
              <a16:creationId xmlns:a16="http://schemas.microsoft.com/office/drawing/2014/main" id="{54D66DF5-C5AC-45BD-BD47-303CD42D1A71}"/>
            </a:ext>
          </a:extLst>
        </xdr:cNvPr>
        <xdr:cNvSpPr>
          <a:spLocks noChangeAspect="1"/>
        </xdr:cNvSpPr>
      </xdr:nvSpPr>
      <xdr:spPr>
        <a:xfrm>
          <a:off x="31608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43</xdr:row>
      <xdr:rowOff>75750</xdr:rowOff>
    </xdr:from>
    <xdr:to>
      <xdr:col>4</xdr:col>
      <xdr:colOff>525601</xdr:colOff>
      <xdr:row>48</xdr:row>
      <xdr:rowOff>136501</xdr:rowOff>
    </xdr:to>
    <xdr:sp macro="" textlink="">
      <xdr:nvSpPr>
        <xdr:cNvPr id="245653" name="フリーフォーム: 図形 245652">
          <a:extLst>
            <a:ext uri="{FF2B5EF4-FFF2-40B4-BE49-F238E27FC236}">
              <a16:creationId xmlns:a16="http://schemas.microsoft.com/office/drawing/2014/main" id="{195AE1A7-5737-46F4-B12D-1927CE133987}"/>
            </a:ext>
          </a:extLst>
        </xdr:cNvPr>
        <xdr:cNvSpPr>
          <a:spLocks noChangeAspect="1"/>
        </xdr:cNvSpPr>
      </xdr:nvSpPr>
      <xdr:spPr>
        <a:xfrm>
          <a:off x="29808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48</xdr:row>
      <xdr:rowOff>64500</xdr:rowOff>
    </xdr:from>
    <xdr:to>
      <xdr:col>3</xdr:col>
      <xdr:colOff>455401</xdr:colOff>
      <xdr:row>49</xdr:row>
      <xdr:rowOff>37051</xdr:rowOff>
    </xdr:to>
    <xdr:sp macro="" textlink="">
      <xdr:nvSpPr>
        <xdr:cNvPr id="245654" name="フリーフォーム: 図形 245653">
          <a:extLst>
            <a:ext uri="{FF2B5EF4-FFF2-40B4-BE49-F238E27FC236}">
              <a16:creationId xmlns:a16="http://schemas.microsoft.com/office/drawing/2014/main" id="{C9799B5E-8FF6-441E-BDBF-2F5341C263B4}"/>
            </a:ext>
          </a:extLst>
        </xdr:cNvPr>
        <xdr:cNvSpPr>
          <a:spLocks noChangeAspect="1"/>
        </xdr:cNvSpPr>
      </xdr:nvSpPr>
      <xdr:spPr>
        <a:xfrm>
          <a:off x="20268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48</xdr:row>
      <xdr:rowOff>64500</xdr:rowOff>
    </xdr:from>
    <xdr:to>
      <xdr:col>4</xdr:col>
      <xdr:colOff>273601</xdr:colOff>
      <xdr:row>49</xdr:row>
      <xdr:rowOff>37051</xdr:rowOff>
    </xdr:to>
    <xdr:sp macro="" textlink="">
      <xdr:nvSpPr>
        <xdr:cNvPr id="245655" name="フリーフォーム: 図形 245654">
          <a:extLst>
            <a:ext uri="{FF2B5EF4-FFF2-40B4-BE49-F238E27FC236}">
              <a16:creationId xmlns:a16="http://schemas.microsoft.com/office/drawing/2014/main" id="{D59CA86C-DA2D-41E9-B5DA-099A26F2733D}"/>
            </a:ext>
          </a:extLst>
        </xdr:cNvPr>
        <xdr:cNvSpPr>
          <a:spLocks noChangeAspect="1"/>
        </xdr:cNvSpPr>
      </xdr:nvSpPr>
      <xdr:spPr>
        <a:xfrm>
          <a:off x="25488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43</xdr:row>
      <xdr:rowOff>75750</xdr:rowOff>
    </xdr:from>
    <xdr:to>
      <xdr:col>3</xdr:col>
      <xdr:colOff>203401</xdr:colOff>
      <xdr:row>48</xdr:row>
      <xdr:rowOff>136501</xdr:rowOff>
    </xdr:to>
    <xdr:sp macro="" textlink="">
      <xdr:nvSpPr>
        <xdr:cNvPr id="245656" name="フリーフォーム: 図形 245655">
          <a:extLst>
            <a:ext uri="{FF2B5EF4-FFF2-40B4-BE49-F238E27FC236}">
              <a16:creationId xmlns:a16="http://schemas.microsoft.com/office/drawing/2014/main" id="{4A619260-9E64-4694-9483-507A8ED4E6A1}"/>
            </a:ext>
          </a:extLst>
        </xdr:cNvPr>
        <xdr:cNvSpPr>
          <a:spLocks noChangeAspect="1"/>
        </xdr:cNvSpPr>
      </xdr:nvSpPr>
      <xdr:spPr>
        <a:xfrm>
          <a:off x="19728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37</xdr:row>
      <xdr:rowOff>114450</xdr:rowOff>
    </xdr:from>
    <xdr:to>
      <xdr:col>3</xdr:col>
      <xdr:colOff>347401</xdr:colOff>
      <xdr:row>43</xdr:row>
      <xdr:rowOff>21751</xdr:rowOff>
    </xdr:to>
    <xdr:sp macro="" textlink="">
      <xdr:nvSpPr>
        <xdr:cNvPr id="245657" name="フリーフォーム: 図形 245656">
          <a:extLst>
            <a:ext uri="{FF2B5EF4-FFF2-40B4-BE49-F238E27FC236}">
              <a16:creationId xmlns:a16="http://schemas.microsoft.com/office/drawing/2014/main" id="{EC912AE1-DBD0-4C17-81D1-DCC326C9569B}"/>
            </a:ext>
          </a:extLst>
        </xdr:cNvPr>
        <xdr:cNvSpPr>
          <a:spLocks noChangeAspect="1"/>
        </xdr:cNvSpPr>
      </xdr:nvSpPr>
      <xdr:spPr>
        <a:xfrm>
          <a:off x="21528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42</xdr:row>
      <xdr:rowOff>139200</xdr:rowOff>
    </xdr:from>
    <xdr:to>
      <xdr:col>3</xdr:col>
      <xdr:colOff>617401</xdr:colOff>
      <xdr:row>43</xdr:row>
      <xdr:rowOff>111751</xdr:rowOff>
    </xdr:to>
    <xdr:sp macro="" textlink="">
      <xdr:nvSpPr>
        <xdr:cNvPr id="245658" name="フリーフォーム: 図形 245657">
          <a:extLst>
            <a:ext uri="{FF2B5EF4-FFF2-40B4-BE49-F238E27FC236}">
              <a16:creationId xmlns:a16="http://schemas.microsoft.com/office/drawing/2014/main" id="{0B809122-A869-4504-92B4-92529339BDEB}"/>
            </a:ext>
          </a:extLst>
        </xdr:cNvPr>
        <xdr:cNvSpPr>
          <a:spLocks noChangeAspect="1"/>
        </xdr:cNvSpPr>
      </xdr:nvSpPr>
      <xdr:spPr>
        <a:xfrm>
          <a:off x="22248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42</xdr:row>
      <xdr:rowOff>139200</xdr:rowOff>
    </xdr:from>
    <xdr:to>
      <xdr:col>4</xdr:col>
      <xdr:colOff>435601</xdr:colOff>
      <xdr:row>43</xdr:row>
      <xdr:rowOff>111751</xdr:rowOff>
    </xdr:to>
    <xdr:sp macro="" textlink="">
      <xdr:nvSpPr>
        <xdr:cNvPr id="245659" name="フリーフォーム: 図形 245658">
          <a:extLst>
            <a:ext uri="{FF2B5EF4-FFF2-40B4-BE49-F238E27FC236}">
              <a16:creationId xmlns:a16="http://schemas.microsoft.com/office/drawing/2014/main" id="{22ED3639-CB36-457F-9195-4D91F4721FA0}"/>
            </a:ext>
          </a:extLst>
        </xdr:cNvPr>
        <xdr:cNvSpPr>
          <a:spLocks noChangeAspect="1"/>
        </xdr:cNvSpPr>
      </xdr:nvSpPr>
      <xdr:spPr>
        <a:xfrm>
          <a:off x="27288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38</xdr:row>
      <xdr:rowOff>51000</xdr:rowOff>
    </xdr:from>
    <xdr:to>
      <xdr:col>3</xdr:col>
      <xdr:colOff>635401</xdr:colOff>
      <xdr:row>43</xdr:row>
      <xdr:rowOff>3751</xdr:rowOff>
    </xdr:to>
    <xdr:sp macro="" textlink="">
      <xdr:nvSpPr>
        <xdr:cNvPr id="245660" name="フリーフォーム: 図形 245659">
          <a:extLst>
            <a:ext uri="{FF2B5EF4-FFF2-40B4-BE49-F238E27FC236}">
              <a16:creationId xmlns:a16="http://schemas.microsoft.com/office/drawing/2014/main" id="{92FC4640-CCDB-4871-AAC3-1DA10E1E36F8}"/>
            </a:ext>
          </a:extLst>
        </xdr:cNvPr>
        <xdr:cNvSpPr>
          <a:spLocks noChangeAspect="1"/>
        </xdr:cNvSpPr>
      </xdr:nvSpPr>
      <xdr:spPr>
        <a:xfrm>
          <a:off x="24228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37</xdr:row>
      <xdr:rowOff>114450</xdr:rowOff>
    </xdr:from>
    <xdr:to>
      <xdr:col>4</xdr:col>
      <xdr:colOff>201601</xdr:colOff>
      <xdr:row>42</xdr:row>
      <xdr:rowOff>157201</xdr:rowOff>
    </xdr:to>
    <xdr:sp macro="" textlink="">
      <xdr:nvSpPr>
        <xdr:cNvPr id="245661" name="フリーフォーム: 図形 245660">
          <a:extLst>
            <a:ext uri="{FF2B5EF4-FFF2-40B4-BE49-F238E27FC236}">
              <a16:creationId xmlns:a16="http://schemas.microsoft.com/office/drawing/2014/main" id="{30C84D1D-B959-4864-A352-D1E0041B1A74}"/>
            </a:ext>
          </a:extLst>
        </xdr:cNvPr>
        <xdr:cNvSpPr>
          <a:spLocks noChangeAspect="1"/>
        </xdr:cNvSpPr>
      </xdr:nvSpPr>
      <xdr:spPr>
        <a:xfrm>
          <a:off x="26928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38</xdr:row>
      <xdr:rowOff>69000</xdr:rowOff>
    </xdr:from>
    <xdr:to>
      <xdr:col>4</xdr:col>
      <xdr:colOff>525601</xdr:colOff>
      <xdr:row>43</xdr:row>
      <xdr:rowOff>3751</xdr:rowOff>
    </xdr:to>
    <xdr:sp macro="" textlink="">
      <xdr:nvSpPr>
        <xdr:cNvPr id="245662" name="フリーフォーム: 図形 245661">
          <a:extLst>
            <a:ext uri="{FF2B5EF4-FFF2-40B4-BE49-F238E27FC236}">
              <a16:creationId xmlns:a16="http://schemas.microsoft.com/office/drawing/2014/main" id="{27300A11-7FB9-4279-AB1F-E1755BD90987}"/>
            </a:ext>
          </a:extLst>
        </xdr:cNvPr>
        <xdr:cNvSpPr>
          <a:spLocks noChangeAspect="1"/>
        </xdr:cNvSpPr>
      </xdr:nvSpPr>
      <xdr:spPr>
        <a:xfrm>
          <a:off x="27468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43</xdr:row>
      <xdr:rowOff>75750</xdr:rowOff>
    </xdr:from>
    <xdr:to>
      <xdr:col>4</xdr:col>
      <xdr:colOff>237601</xdr:colOff>
      <xdr:row>47</xdr:row>
      <xdr:rowOff>163951</xdr:rowOff>
    </xdr:to>
    <xdr:sp macro="" textlink="">
      <xdr:nvSpPr>
        <xdr:cNvPr id="245663" name="フリーフォーム: 図形 245662">
          <a:extLst>
            <a:ext uri="{FF2B5EF4-FFF2-40B4-BE49-F238E27FC236}">
              <a16:creationId xmlns:a16="http://schemas.microsoft.com/office/drawing/2014/main" id="{B8B66424-47CE-4984-B1D5-F83116191C3C}"/>
            </a:ext>
          </a:extLst>
        </xdr:cNvPr>
        <xdr:cNvSpPr>
          <a:spLocks noChangeAspect="1"/>
        </xdr:cNvSpPr>
      </xdr:nvSpPr>
      <xdr:spPr>
        <a:xfrm>
          <a:off x="27108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43</xdr:row>
      <xdr:rowOff>93750</xdr:rowOff>
    </xdr:from>
    <xdr:to>
      <xdr:col>3</xdr:col>
      <xdr:colOff>653401</xdr:colOff>
      <xdr:row>48</xdr:row>
      <xdr:rowOff>118501</xdr:rowOff>
    </xdr:to>
    <xdr:sp macro="" textlink="">
      <xdr:nvSpPr>
        <xdr:cNvPr id="245664" name="フリーフォーム: 図形 245663">
          <a:extLst>
            <a:ext uri="{FF2B5EF4-FFF2-40B4-BE49-F238E27FC236}">
              <a16:creationId xmlns:a16="http://schemas.microsoft.com/office/drawing/2014/main" id="{C2D17F23-77E0-4AB0-919B-54968CD8A312}"/>
            </a:ext>
          </a:extLst>
        </xdr:cNvPr>
        <xdr:cNvSpPr>
          <a:spLocks noChangeAspect="1"/>
        </xdr:cNvSpPr>
      </xdr:nvSpPr>
      <xdr:spPr>
        <a:xfrm>
          <a:off x="24768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43</xdr:row>
      <xdr:rowOff>75750</xdr:rowOff>
    </xdr:from>
    <xdr:to>
      <xdr:col>3</xdr:col>
      <xdr:colOff>617401</xdr:colOff>
      <xdr:row>48</xdr:row>
      <xdr:rowOff>10501</xdr:rowOff>
    </xdr:to>
    <xdr:sp macro="" textlink="">
      <xdr:nvSpPr>
        <xdr:cNvPr id="245665" name="フリーフォーム: 図形 245664">
          <a:extLst>
            <a:ext uri="{FF2B5EF4-FFF2-40B4-BE49-F238E27FC236}">
              <a16:creationId xmlns:a16="http://schemas.microsoft.com/office/drawing/2014/main" id="{773FA621-B0F0-43EE-B34B-ADA3BC2D1E2D}"/>
            </a:ext>
          </a:extLst>
        </xdr:cNvPr>
        <xdr:cNvSpPr>
          <a:spLocks noChangeAspect="1"/>
        </xdr:cNvSpPr>
      </xdr:nvSpPr>
      <xdr:spPr>
        <a:xfrm>
          <a:off x="21528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37</xdr:row>
      <xdr:rowOff>42450</xdr:rowOff>
    </xdr:from>
    <xdr:to>
      <xdr:col>6</xdr:col>
      <xdr:colOff>550801</xdr:colOff>
      <xdr:row>38</xdr:row>
      <xdr:rowOff>15001</xdr:rowOff>
    </xdr:to>
    <xdr:sp macro="" textlink="">
      <xdr:nvSpPr>
        <xdr:cNvPr id="245666" name="フリーフォーム: 図形 245665">
          <a:extLst>
            <a:ext uri="{FF2B5EF4-FFF2-40B4-BE49-F238E27FC236}">
              <a16:creationId xmlns:a16="http://schemas.microsoft.com/office/drawing/2014/main" id="{4F35A7E9-52D8-4D51-B0B1-556A26D9143A}"/>
            </a:ext>
          </a:extLst>
        </xdr:cNvPr>
        <xdr:cNvSpPr>
          <a:spLocks noChangeAspect="1"/>
        </xdr:cNvSpPr>
      </xdr:nvSpPr>
      <xdr:spPr>
        <a:xfrm>
          <a:off x="41976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37</xdr:row>
      <xdr:rowOff>42450</xdr:rowOff>
    </xdr:from>
    <xdr:to>
      <xdr:col>7</xdr:col>
      <xdr:colOff>405001</xdr:colOff>
      <xdr:row>38</xdr:row>
      <xdr:rowOff>15001</xdr:rowOff>
    </xdr:to>
    <xdr:sp macro="" textlink="">
      <xdr:nvSpPr>
        <xdr:cNvPr id="245667" name="フリーフォーム: 図形 245666">
          <a:extLst>
            <a:ext uri="{FF2B5EF4-FFF2-40B4-BE49-F238E27FC236}">
              <a16:creationId xmlns:a16="http://schemas.microsoft.com/office/drawing/2014/main" id="{FDCFA6E1-3D73-4DDD-B0D0-9D65BC11DD90}"/>
            </a:ext>
          </a:extLst>
        </xdr:cNvPr>
        <xdr:cNvSpPr>
          <a:spLocks noChangeAspect="1"/>
        </xdr:cNvSpPr>
      </xdr:nvSpPr>
      <xdr:spPr>
        <a:xfrm>
          <a:off x="47376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37</xdr:row>
      <xdr:rowOff>114450</xdr:rowOff>
    </xdr:from>
    <xdr:to>
      <xdr:col>7</xdr:col>
      <xdr:colOff>477001</xdr:colOff>
      <xdr:row>43</xdr:row>
      <xdr:rowOff>21751</xdr:rowOff>
    </xdr:to>
    <xdr:sp macro="" textlink="">
      <xdr:nvSpPr>
        <xdr:cNvPr id="245668" name="フリーフォーム: 図形 245667">
          <a:extLst>
            <a:ext uri="{FF2B5EF4-FFF2-40B4-BE49-F238E27FC236}">
              <a16:creationId xmlns:a16="http://schemas.microsoft.com/office/drawing/2014/main" id="{1D3FD4D0-A40E-4CE0-B888-8BC009ABBB33}"/>
            </a:ext>
          </a:extLst>
        </xdr:cNvPr>
        <xdr:cNvSpPr>
          <a:spLocks noChangeAspect="1"/>
        </xdr:cNvSpPr>
      </xdr:nvSpPr>
      <xdr:spPr>
        <a:xfrm>
          <a:off x="49896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43</xdr:row>
      <xdr:rowOff>75750</xdr:rowOff>
    </xdr:from>
    <xdr:to>
      <xdr:col>7</xdr:col>
      <xdr:colOff>297001</xdr:colOff>
      <xdr:row>48</xdr:row>
      <xdr:rowOff>136501</xdr:rowOff>
    </xdr:to>
    <xdr:sp macro="" textlink="">
      <xdr:nvSpPr>
        <xdr:cNvPr id="245669" name="フリーフォーム: 図形 245668">
          <a:extLst>
            <a:ext uri="{FF2B5EF4-FFF2-40B4-BE49-F238E27FC236}">
              <a16:creationId xmlns:a16="http://schemas.microsoft.com/office/drawing/2014/main" id="{5AFDA5CF-C1B7-47C5-84A9-08937CD11458}"/>
            </a:ext>
          </a:extLst>
        </xdr:cNvPr>
        <xdr:cNvSpPr>
          <a:spLocks noChangeAspect="1"/>
        </xdr:cNvSpPr>
      </xdr:nvSpPr>
      <xdr:spPr>
        <a:xfrm>
          <a:off x="48096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48</xdr:row>
      <xdr:rowOff>64500</xdr:rowOff>
    </xdr:from>
    <xdr:to>
      <xdr:col>6</xdr:col>
      <xdr:colOff>226801</xdr:colOff>
      <xdr:row>49</xdr:row>
      <xdr:rowOff>37051</xdr:rowOff>
    </xdr:to>
    <xdr:sp macro="" textlink="">
      <xdr:nvSpPr>
        <xdr:cNvPr id="245670" name="フリーフォーム: 図形 245669">
          <a:extLst>
            <a:ext uri="{FF2B5EF4-FFF2-40B4-BE49-F238E27FC236}">
              <a16:creationId xmlns:a16="http://schemas.microsoft.com/office/drawing/2014/main" id="{1D37E4DF-0598-4632-8D9C-6AE6701E1F03}"/>
            </a:ext>
          </a:extLst>
        </xdr:cNvPr>
        <xdr:cNvSpPr>
          <a:spLocks noChangeAspect="1"/>
        </xdr:cNvSpPr>
      </xdr:nvSpPr>
      <xdr:spPr>
        <a:xfrm>
          <a:off x="38556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48</xdr:row>
      <xdr:rowOff>64500</xdr:rowOff>
    </xdr:from>
    <xdr:to>
      <xdr:col>7</xdr:col>
      <xdr:colOff>45001</xdr:colOff>
      <xdr:row>49</xdr:row>
      <xdr:rowOff>37051</xdr:rowOff>
    </xdr:to>
    <xdr:sp macro="" textlink="">
      <xdr:nvSpPr>
        <xdr:cNvPr id="245671" name="フリーフォーム: 図形 245670">
          <a:extLst>
            <a:ext uri="{FF2B5EF4-FFF2-40B4-BE49-F238E27FC236}">
              <a16:creationId xmlns:a16="http://schemas.microsoft.com/office/drawing/2014/main" id="{AF3263AF-2AF7-476E-B4E8-BBB36F972D2F}"/>
            </a:ext>
          </a:extLst>
        </xdr:cNvPr>
        <xdr:cNvSpPr>
          <a:spLocks noChangeAspect="1"/>
        </xdr:cNvSpPr>
      </xdr:nvSpPr>
      <xdr:spPr>
        <a:xfrm>
          <a:off x="43776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43</xdr:row>
      <xdr:rowOff>75750</xdr:rowOff>
    </xdr:from>
    <xdr:to>
      <xdr:col>5</xdr:col>
      <xdr:colOff>660601</xdr:colOff>
      <xdr:row>48</xdr:row>
      <xdr:rowOff>136501</xdr:rowOff>
    </xdr:to>
    <xdr:sp macro="" textlink="">
      <xdr:nvSpPr>
        <xdr:cNvPr id="245672" name="フリーフォーム: 図形 245671">
          <a:extLst>
            <a:ext uri="{FF2B5EF4-FFF2-40B4-BE49-F238E27FC236}">
              <a16:creationId xmlns:a16="http://schemas.microsoft.com/office/drawing/2014/main" id="{4CA2DE5D-7002-4256-B813-E06D13D8974D}"/>
            </a:ext>
          </a:extLst>
        </xdr:cNvPr>
        <xdr:cNvSpPr>
          <a:spLocks noChangeAspect="1"/>
        </xdr:cNvSpPr>
      </xdr:nvSpPr>
      <xdr:spPr>
        <a:xfrm>
          <a:off x="38016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37</xdr:row>
      <xdr:rowOff>114450</xdr:rowOff>
    </xdr:from>
    <xdr:to>
      <xdr:col>6</xdr:col>
      <xdr:colOff>118801</xdr:colOff>
      <xdr:row>43</xdr:row>
      <xdr:rowOff>21751</xdr:rowOff>
    </xdr:to>
    <xdr:sp macro="" textlink="">
      <xdr:nvSpPr>
        <xdr:cNvPr id="245673" name="フリーフォーム: 図形 245672">
          <a:extLst>
            <a:ext uri="{FF2B5EF4-FFF2-40B4-BE49-F238E27FC236}">
              <a16:creationId xmlns:a16="http://schemas.microsoft.com/office/drawing/2014/main" id="{783CFEC7-D424-4223-8F44-AF4D00E7D0A7}"/>
            </a:ext>
          </a:extLst>
        </xdr:cNvPr>
        <xdr:cNvSpPr>
          <a:spLocks noChangeAspect="1"/>
        </xdr:cNvSpPr>
      </xdr:nvSpPr>
      <xdr:spPr>
        <a:xfrm>
          <a:off x="39816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42</xdr:row>
      <xdr:rowOff>139200</xdr:rowOff>
    </xdr:from>
    <xdr:to>
      <xdr:col>6</xdr:col>
      <xdr:colOff>388801</xdr:colOff>
      <xdr:row>43</xdr:row>
      <xdr:rowOff>111751</xdr:rowOff>
    </xdr:to>
    <xdr:sp macro="" textlink="">
      <xdr:nvSpPr>
        <xdr:cNvPr id="245674" name="フリーフォーム: 図形 245673">
          <a:extLst>
            <a:ext uri="{FF2B5EF4-FFF2-40B4-BE49-F238E27FC236}">
              <a16:creationId xmlns:a16="http://schemas.microsoft.com/office/drawing/2014/main" id="{C620192C-08E0-4574-95A2-700BDF4B1EA3}"/>
            </a:ext>
          </a:extLst>
        </xdr:cNvPr>
        <xdr:cNvSpPr>
          <a:spLocks noChangeAspect="1"/>
        </xdr:cNvSpPr>
      </xdr:nvSpPr>
      <xdr:spPr>
        <a:xfrm>
          <a:off x="40536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42</xdr:row>
      <xdr:rowOff>139200</xdr:rowOff>
    </xdr:from>
    <xdr:to>
      <xdr:col>7</xdr:col>
      <xdr:colOff>207001</xdr:colOff>
      <xdr:row>43</xdr:row>
      <xdr:rowOff>111751</xdr:rowOff>
    </xdr:to>
    <xdr:sp macro="" textlink="">
      <xdr:nvSpPr>
        <xdr:cNvPr id="245675" name="フリーフォーム: 図形 245674">
          <a:extLst>
            <a:ext uri="{FF2B5EF4-FFF2-40B4-BE49-F238E27FC236}">
              <a16:creationId xmlns:a16="http://schemas.microsoft.com/office/drawing/2014/main" id="{8336ABF5-19B1-42D2-8429-9ADCD76C617C}"/>
            </a:ext>
          </a:extLst>
        </xdr:cNvPr>
        <xdr:cNvSpPr>
          <a:spLocks noChangeAspect="1"/>
        </xdr:cNvSpPr>
      </xdr:nvSpPr>
      <xdr:spPr>
        <a:xfrm>
          <a:off x="45576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38</xdr:row>
      <xdr:rowOff>51000</xdr:rowOff>
    </xdr:from>
    <xdr:to>
      <xdr:col>6</xdr:col>
      <xdr:colOff>406801</xdr:colOff>
      <xdr:row>43</xdr:row>
      <xdr:rowOff>3751</xdr:rowOff>
    </xdr:to>
    <xdr:sp macro="" textlink="">
      <xdr:nvSpPr>
        <xdr:cNvPr id="245676" name="フリーフォーム: 図形 245675">
          <a:extLst>
            <a:ext uri="{FF2B5EF4-FFF2-40B4-BE49-F238E27FC236}">
              <a16:creationId xmlns:a16="http://schemas.microsoft.com/office/drawing/2014/main" id="{C7F7D346-BBAE-4CB5-9DD0-3B3F34C26B0F}"/>
            </a:ext>
          </a:extLst>
        </xdr:cNvPr>
        <xdr:cNvSpPr>
          <a:spLocks noChangeAspect="1"/>
        </xdr:cNvSpPr>
      </xdr:nvSpPr>
      <xdr:spPr>
        <a:xfrm>
          <a:off x="42516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37</xdr:row>
      <xdr:rowOff>114450</xdr:rowOff>
    </xdr:from>
    <xdr:to>
      <xdr:col>6</xdr:col>
      <xdr:colOff>658801</xdr:colOff>
      <xdr:row>42</xdr:row>
      <xdr:rowOff>157201</xdr:rowOff>
    </xdr:to>
    <xdr:sp macro="" textlink="">
      <xdr:nvSpPr>
        <xdr:cNvPr id="245677" name="フリーフォーム: 図形 245676">
          <a:extLst>
            <a:ext uri="{FF2B5EF4-FFF2-40B4-BE49-F238E27FC236}">
              <a16:creationId xmlns:a16="http://schemas.microsoft.com/office/drawing/2014/main" id="{AE955295-C28C-4BAD-9C9C-3D519AD92ED1}"/>
            </a:ext>
          </a:extLst>
        </xdr:cNvPr>
        <xdr:cNvSpPr>
          <a:spLocks noChangeAspect="1"/>
        </xdr:cNvSpPr>
      </xdr:nvSpPr>
      <xdr:spPr>
        <a:xfrm>
          <a:off x="45216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38</xdr:row>
      <xdr:rowOff>69000</xdr:rowOff>
    </xdr:from>
    <xdr:to>
      <xdr:col>7</xdr:col>
      <xdr:colOff>297001</xdr:colOff>
      <xdr:row>43</xdr:row>
      <xdr:rowOff>3751</xdr:rowOff>
    </xdr:to>
    <xdr:sp macro="" textlink="">
      <xdr:nvSpPr>
        <xdr:cNvPr id="245678" name="フリーフォーム: 図形 245677">
          <a:extLst>
            <a:ext uri="{FF2B5EF4-FFF2-40B4-BE49-F238E27FC236}">
              <a16:creationId xmlns:a16="http://schemas.microsoft.com/office/drawing/2014/main" id="{8F8023BE-9FF5-48F5-995C-AA71AD9EC810}"/>
            </a:ext>
          </a:extLst>
        </xdr:cNvPr>
        <xdr:cNvSpPr>
          <a:spLocks noChangeAspect="1"/>
        </xdr:cNvSpPr>
      </xdr:nvSpPr>
      <xdr:spPr>
        <a:xfrm>
          <a:off x="45756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43</xdr:row>
      <xdr:rowOff>75750</xdr:rowOff>
    </xdr:from>
    <xdr:to>
      <xdr:col>7</xdr:col>
      <xdr:colOff>9001</xdr:colOff>
      <xdr:row>47</xdr:row>
      <xdr:rowOff>163951</xdr:rowOff>
    </xdr:to>
    <xdr:sp macro="" textlink="">
      <xdr:nvSpPr>
        <xdr:cNvPr id="245679" name="フリーフォーム: 図形 245678">
          <a:extLst>
            <a:ext uri="{FF2B5EF4-FFF2-40B4-BE49-F238E27FC236}">
              <a16:creationId xmlns:a16="http://schemas.microsoft.com/office/drawing/2014/main" id="{6F937001-8378-4F9B-8D14-209CDF57FAAC}"/>
            </a:ext>
          </a:extLst>
        </xdr:cNvPr>
        <xdr:cNvSpPr>
          <a:spLocks noChangeAspect="1"/>
        </xdr:cNvSpPr>
      </xdr:nvSpPr>
      <xdr:spPr>
        <a:xfrm>
          <a:off x="45396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43</xdr:row>
      <xdr:rowOff>93750</xdr:rowOff>
    </xdr:from>
    <xdr:to>
      <xdr:col>6</xdr:col>
      <xdr:colOff>424801</xdr:colOff>
      <xdr:row>48</xdr:row>
      <xdr:rowOff>118501</xdr:rowOff>
    </xdr:to>
    <xdr:sp macro="" textlink="">
      <xdr:nvSpPr>
        <xdr:cNvPr id="245680" name="フリーフォーム: 図形 245679">
          <a:extLst>
            <a:ext uri="{FF2B5EF4-FFF2-40B4-BE49-F238E27FC236}">
              <a16:creationId xmlns:a16="http://schemas.microsoft.com/office/drawing/2014/main" id="{0C4AC5D0-AFA5-4519-9F4E-478BBDCA6A10}"/>
            </a:ext>
          </a:extLst>
        </xdr:cNvPr>
        <xdr:cNvSpPr>
          <a:spLocks noChangeAspect="1"/>
        </xdr:cNvSpPr>
      </xdr:nvSpPr>
      <xdr:spPr>
        <a:xfrm>
          <a:off x="43056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43</xdr:row>
      <xdr:rowOff>75750</xdr:rowOff>
    </xdr:from>
    <xdr:to>
      <xdr:col>6</xdr:col>
      <xdr:colOff>388801</xdr:colOff>
      <xdr:row>48</xdr:row>
      <xdr:rowOff>10501</xdr:rowOff>
    </xdr:to>
    <xdr:sp macro="" textlink="">
      <xdr:nvSpPr>
        <xdr:cNvPr id="245681" name="フリーフォーム: 図形 245680">
          <a:extLst>
            <a:ext uri="{FF2B5EF4-FFF2-40B4-BE49-F238E27FC236}">
              <a16:creationId xmlns:a16="http://schemas.microsoft.com/office/drawing/2014/main" id="{EF3F89E9-A59E-4340-8481-AEA5374032BC}"/>
            </a:ext>
          </a:extLst>
        </xdr:cNvPr>
        <xdr:cNvSpPr>
          <a:spLocks noChangeAspect="1"/>
        </xdr:cNvSpPr>
      </xdr:nvSpPr>
      <xdr:spPr>
        <a:xfrm>
          <a:off x="39816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37</xdr:row>
      <xdr:rowOff>42450</xdr:rowOff>
    </xdr:from>
    <xdr:to>
      <xdr:col>9</xdr:col>
      <xdr:colOff>322201</xdr:colOff>
      <xdr:row>38</xdr:row>
      <xdr:rowOff>15001</xdr:rowOff>
    </xdr:to>
    <xdr:sp macro="" textlink="">
      <xdr:nvSpPr>
        <xdr:cNvPr id="245682" name="フリーフォーム: 図形 245681">
          <a:extLst>
            <a:ext uri="{FF2B5EF4-FFF2-40B4-BE49-F238E27FC236}">
              <a16:creationId xmlns:a16="http://schemas.microsoft.com/office/drawing/2014/main" id="{2B324B4E-3FDF-4808-918F-B854FF4196B5}"/>
            </a:ext>
          </a:extLst>
        </xdr:cNvPr>
        <xdr:cNvSpPr>
          <a:spLocks noChangeAspect="1"/>
        </xdr:cNvSpPr>
      </xdr:nvSpPr>
      <xdr:spPr>
        <a:xfrm>
          <a:off x="60264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37</xdr:row>
      <xdr:rowOff>42450</xdr:rowOff>
    </xdr:from>
    <xdr:to>
      <xdr:col>10</xdr:col>
      <xdr:colOff>176401</xdr:colOff>
      <xdr:row>38</xdr:row>
      <xdr:rowOff>15001</xdr:rowOff>
    </xdr:to>
    <xdr:sp macro="" textlink="">
      <xdr:nvSpPr>
        <xdr:cNvPr id="245683" name="フリーフォーム: 図形 245682">
          <a:extLst>
            <a:ext uri="{FF2B5EF4-FFF2-40B4-BE49-F238E27FC236}">
              <a16:creationId xmlns:a16="http://schemas.microsoft.com/office/drawing/2014/main" id="{A078F795-936B-43DB-8456-38B8E30151F5}"/>
            </a:ext>
          </a:extLst>
        </xdr:cNvPr>
        <xdr:cNvSpPr>
          <a:spLocks noChangeAspect="1"/>
        </xdr:cNvSpPr>
      </xdr:nvSpPr>
      <xdr:spPr>
        <a:xfrm>
          <a:off x="65664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37</xdr:row>
      <xdr:rowOff>114450</xdr:rowOff>
    </xdr:from>
    <xdr:to>
      <xdr:col>10</xdr:col>
      <xdr:colOff>248401</xdr:colOff>
      <xdr:row>43</xdr:row>
      <xdr:rowOff>21751</xdr:rowOff>
    </xdr:to>
    <xdr:sp macro="" textlink="">
      <xdr:nvSpPr>
        <xdr:cNvPr id="245684" name="フリーフォーム: 図形 245683">
          <a:extLst>
            <a:ext uri="{FF2B5EF4-FFF2-40B4-BE49-F238E27FC236}">
              <a16:creationId xmlns:a16="http://schemas.microsoft.com/office/drawing/2014/main" id="{FCE9AA61-B71B-495D-A73F-BF6F0D2BAC9C}"/>
            </a:ext>
          </a:extLst>
        </xdr:cNvPr>
        <xdr:cNvSpPr>
          <a:spLocks noChangeAspect="1"/>
        </xdr:cNvSpPr>
      </xdr:nvSpPr>
      <xdr:spPr>
        <a:xfrm>
          <a:off x="68184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43</xdr:row>
      <xdr:rowOff>75750</xdr:rowOff>
    </xdr:from>
    <xdr:to>
      <xdr:col>10</xdr:col>
      <xdr:colOff>68401</xdr:colOff>
      <xdr:row>48</xdr:row>
      <xdr:rowOff>136501</xdr:rowOff>
    </xdr:to>
    <xdr:sp macro="" textlink="">
      <xdr:nvSpPr>
        <xdr:cNvPr id="245685" name="フリーフォーム: 図形 245684">
          <a:extLst>
            <a:ext uri="{FF2B5EF4-FFF2-40B4-BE49-F238E27FC236}">
              <a16:creationId xmlns:a16="http://schemas.microsoft.com/office/drawing/2014/main" id="{976DA212-2040-4631-8B1E-1D93327CCE82}"/>
            </a:ext>
          </a:extLst>
        </xdr:cNvPr>
        <xdr:cNvSpPr>
          <a:spLocks noChangeAspect="1"/>
        </xdr:cNvSpPr>
      </xdr:nvSpPr>
      <xdr:spPr>
        <a:xfrm>
          <a:off x="66384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48</xdr:row>
      <xdr:rowOff>64500</xdr:rowOff>
    </xdr:from>
    <xdr:to>
      <xdr:col>8</xdr:col>
      <xdr:colOff>684001</xdr:colOff>
      <xdr:row>49</xdr:row>
      <xdr:rowOff>37051</xdr:rowOff>
    </xdr:to>
    <xdr:sp macro="" textlink="">
      <xdr:nvSpPr>
        <xdr:cNvPr id="245686" name="フリーフォーム: 図形 245685">
          <a:extLst>
            <a:ext uri="{FF2B5EF4-FFF2-40B4-BE49-F238E27FC236}">
              <a16:creationId xmlns:a16="http://schemas.microsoft.com/office/drawing/2014/main" id="{A86CB608-7158-4B76-BE2B-D5C5C3033174}"/>
            </a:ext>
          </a:extLst>
        </xdr:cNvPr>
        <xdr:cNvSpPr>
          <a:spLocks noChangeAspect="1"/>
        </xdr:cNvSpPr>
      </xdr:nvSpPr>
      <xdr:spPr>
        <a:xfrm>
          <a:off x="56844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48</xdr:row>
      <xdr:rowOff>64500</xdr:rowOff>
    </xdr:from>
    <xdr:to>
      <xdr:col>9</xdr:col>
      <xdr:colOff>502201</xdr:colOff>
      <xdr:row>49</xdr:row>
      <xdr:rowOff>37051</xdr:rowOff>
    </xdr:to>
    <xdr:sp macro="" textlink="">
      <xdr:nvSpPr>
        <xdr:cNvPr id="245687" name="フリーフォーム: 図形 245686">
          <a:extLst>
            <a:ext uri="{FF2B5EF4-FFF2-40B4-BE49-F238E27FC236}">
              <a16:creationId xmlns:a16="http://schemas.microsoft.com/office/drawing/2014/main" id="{3362B412-EB5C-462C-BF5F-53386A96E9AB}"/>
            </a:ext>
          </a:extLst>
        </xdr:cNvPr>
        <xdr:cNvSpPr>
          <a:spLocks noChangeAspect="1"/>
        </xdr:cNvSpPr>
      </xdr:nvSpPr>
      <xdr:spPr>
        <a:xfrm>
          <a:off x="62064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43</xdr:row>
      <xdr:rowOff>75750</xdr:rowOff>
    </xdr:from>
    <xdr:to>
      <xdr:col>8</xdr:col>
      <xdr:colOff>432001</xdr:colOff>
      <xdr:row>48</xdr:row>
      <xdr:rowOff>136501</xdr:rowOff>
    </xdr:to>
    <xdr:sp macro="" textlink="">
      <xdr:nvSpPr>
        <xdr:cNvPr id="245688" name="フリーフォーム: 図形 245687">
          <a:extLst>
            <a:ext uri="{FF2B5EF4-FFF2-40B4-BE49-F238E27FC236}">
              <a16:creationId xmlns:a16="http://schemas.microsoft.com/office/drawing/2014/main" id="{7691D262-A7AF-4F12-8031-0001478DB50A}"/>
            </a:ext>
          </a:extLst>
        </xdr:cNvPr>
        <xdr:cNvSpPr>
          <a:spLocks noChangeAspect="1"/>
        </xdr:cNvSpPr>
      </xdr:nvSpPr>
      <xdr:spPr>
        <a:xfrm>
          <a:off x="56304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37</xdr:row>
      <xdr:rowOff>114450</xdr:rowOff>
    </xdr:from>
    <xdr:to>
      <xdr:col>8</xdr:col>
      <xdr:colOff>576001</xdr:colOff>
      <xdr:row>43</xdr:row>
      <xdr:rowOff>21751</xdr:rowOff>
    </xdr:to>
    <xdr:sp macro="" textlink="">
      <xdr:nvSpPr>
        <xdr:cNvPr id="245689" name="フリーフォーム: 図形 245688">
          <a:extLst>
            <a:ext uri="{FF2B5EF4-FFF2-40B4-BE49-F238E27FC236}">
              <a16:creationId xmlns:a16="http://schemas.microsoft.com/office/drawing/2014/main" id="{53FEFCB9-3BC0-4805-9093-C2FAC06B88DD}"/>
            </a:ext>
          </a:extLst>
        </xdr:cNvPr>
        <xdr:cNvSpPr>
          <a:spLocks noChangeAspect="1"/>
        </xdr:cNvSpPr>
      </xdr:nvSpPr>
      <xdr:spPr>
        <a:xfrm>
          <a:off x="58104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42</xdr:row>
      <xdr:rowOff>139200</xdr:rowOff>
    </xdr:from>
    <xdr:to>
      <xdr:col>9</xdr:col>
      <xdr:colOff>160201</xdr:colOff>
      <xdr:row>43</xdr:row>
      <xdr:rowOff>111751</xdr:rowOff>
    </xdr:to>
    <xdr:sp macro="" textlink="">
      <xdr:nvSpPr>
        <xdr:cNvPr id="245690" name="フリーフォーム: 図形 245689">
          <a:extLst>
            <a:ext uri="{FF2B5EF4-FFF2-40B4-BE49-F238E27FC236}">
              <a16:creationId xmlns:a16="http://schemas.microsoft.com/office/drawing/2014/main" id="{B95CB256-0E6E-4BE2-91B3-AB1110D95B90}"/>
            </a:ext>
          </a:extLst>
        </xdr:cNvPr>
        <xdr:cNvSpPr>
          <a:spLocks noChangeAspect="1"/>
        </xdr:cNvSpPr>
      </xdr:nvSpPr>
      <xdr:spPr>
        <a:xfrm>
          <a:off x="58824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42</xdr:row>
      <xdr:rowOff>139200</xdr:rowOff>
    </xdr:from>
    <xdr:to>
      <xdr:col>9</xdr:col>
      <xdr:colOff>664201</xdr:colOff>
      <xdr:row>43</xdr:row>
      <xdr:rowOff>111751</xdr:rowOff>
    </xdr:to>
    <xdr:sp macro="" textlink="">
      <xdr:nvSpPr>
        <xdr:cNvPr id="245691" name="フリーフォーム: 図形 245690">
          <a:extLst>
            <a:ext uri="{FF2B5EF4-FFF2-40B4-BE49-F238E27FC236}">
              <a16:creationId xmlns:a16="http://schemas.microsoft.com/office/drawing/2014/main" id="{CADE037C-87C6-415A-9B7D-2C93A6ED4840}"/>
            </a:ext>
          </a:extLst>
        </xdr:cNvPr>
        <xdr:cNvSpPr>
          <a:spLocks noChangeAspect="1"/>
        </xdr:cNvSpPr>
      </xdr:nvSpPr>
      <xdr:spPr>
        <a:xfrm>
          <a:off x="63864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38</xdr:row>
      <xdr:rowOff>51000</xdr:rowOff>
    </xdr:from>
    <xdr:to>
      <xdr:col>9</xdr:col>
      <xdr:colOff>178201</xdr:colOff>
      <xdr:row>43</xdr:row>
      <xdr:rowOff>3751</xdr:rowOff>
    </xdr:to>
    <xdr:sp macro="" textlink="">
      <xdr:nvSpPr>
        <xdr:cNvPr id="245692" name="フリーフォーム: 図形 245691">
          <a:extLst>
            <a:ext uri="{FF2B5EF4-FFF2-40B4-BE49-F238E27FC236}">
              <a16:creationId xmlns:a16="http://schemas.microsoft.com/office/drawing/2014/main" id="{8FC65B5F-E195-4A59-B5DA-FCD5E400A151}"/>
            </a:ext>
          </a:extLst>
        </xdr:cNvPr>
        <xdr:cNvSpPr>
          <a:spLocks noChangeAspect="1"/>
        </xdr:cNvSpPr>
      </xdr:nvSpPr>
      <xdr:spPr>
        <a:xfrm>
          <a:off x="60804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37</xdr:row>
      <xdr:rowOff>114450</xdr:rowOff>
    </xdr:from>
    <xdr:to>
      <xdr:col>9</xdr:col>
      <xdr:colOff>430201</xdr:colOff>
      <xdr:row>42</xdr:row>
      <xdr:rowOff>157201</xdr:rowOff>
    </xdr:to>
    <xdr:sp macro="" textlink="">
      <xdr:nvSpPr>
        <xdr:cNvPr id="245693" name="フリーフォーム: 図形 245692">
          <a:extLst>
            <a:ext uri="{FF2B5EF4-FFF2-40B4-BE49-F238E27FC236}">
              <a16:creationId xmlns:a16="http://schemas.microsoft.com/office/drawing/2014/main" id="{A019FD4D-C792-43D9-A5B0-977B11BBE5BA}"/>
            </a:ext>
          </a:extLst>
        </xdr:cNvPr>
        <xdr:cNvSpPr>
          <a:spLocks noChangeAspect="1"/>
        </xdr:cNvSpPr>
      </xdr:nvSpPr>
      <xdr:spPr>
        <a:xfrm>
          <a:off x="63504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38</xdr:row>
      <xdr:rowOff>69000</xdr:rowOff>
    </xdr:from>
    <xdr:to>
      <xdr:col>10</xdr:col>
      <xdr:colOff>68401</xdr:colOff>
      <xdr:row>43</xdr:row>
      <xdr:rowOff>3751</xdr:rowOff>
    </xdr:to>
    <xdr:sp macro="" textlink="">
      <xdr:nvSpPr>
        <xdr:cNvPr id="245694" name="フリーフォーム: 図形 245693">
          <a:extLst>
            <a:ext uri="{FF2B5EF4-FFF2-40B4-BE49-F238E27FC236}">
              <a16:creationId xmlns:a16="http://schemas.microsoft.com/office/drawing/2014/main" id="{AACBDF8C-1D06-4B74-973F-6135A87B1EE2}"/>
            </a:ext>
          </a:extLst>
        </xdr:cNvPr>
        <xdr:cNvSpPr>
          <a:spLocks noChangeAspect="1"/>
        </xdr:cNvSpPr>
      </xdr:nvSpPr>
      <xdr:spPr>
        <a:xfrm>
          <a:off x="64044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43</xdr:row>
      <xdr:rowOff>75750</xdr:rowOff>
    </xdr:from>
    <xdr:to>
      <xdr:col>9</xdr:col>
      <xdr:colOff>466201</xdr:colOff>
      <xdr:row>47</xdr:row>
      <xdr:rowOff>163951</xdr:rowOff>
    </xdr:to>
    <xdr:sp macro="" textlink="">
      <xdr:nvSpPr>
        <xdr:cNvPr id="245695" name="フリーフォーム: 図形 245694">
          <a:extLst>
            <a:ext uri="{FF2B5EF4-FFF2-40B4-BE49-F238E27FC236}">
              <a16:creationId xmlns:a16="http://schemas.microsoft.com/office/drawing/2014/main" id="{9BB8915C-1E74-45F6-9A9E-1A7ED3A2714D}"/>
            </a:ext>
          </a:extLst>
        </xdr:cNvPr>
        <xdr:cNvSpPr>
          <a:spLocks noChangeAspect="1"/>
        </xdr:cNvSpPr>
      </xdr:nvSpPr>
      <xdr:spPr>
        <a:xfrm>
          <a:off x="63684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43</xdr:row>
      <xdr:rowOff>93750</xdr:rowOff>
    </xdr:from>
    <xdr:to>
      <xdr:col>9</xdr:col>
      <xdr:colOff>196201</xdr:colOff>
      <xdr:row>48</xdr:row>
      <xdr:rowOff>118501</xdr:rowOff>
    </xdr:to>
    <xdr:sp macro="" textlink="">
      <xdr:nvSpPr>
        <xdr:cNvPr id="245696" name="フリーフォーム: 図形 245695">
          <a:extLst>
            <a:ext uri="{FF2B5EF4-FFF2-40B4-BE49-F238E27FC236}">
              <a16:creationId xmlns:a16="http://schemas.microsoft.com/office/drawing/2014/main" id="{857E4D6E-F6B2-44A9-8F74-82A389E94E5E}"/>
            </a:ext>
          </a:extLst>
        </xdr:cNvPr>
        <xdr:cNvSpPr>
          <a:spLocks noChangeAspect="1"/>
        </xdr:cNvSpPr>
      </xdr:nvSpPr>
      <xdr:spPr>
        <a:xfrm>
          <a:off x="61344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43</xdr:row>
      <xdr:rowOff>75750</xdr:rowOff>
    </xdr:from>
    <xdr:to>
      <xdr:col>9</xdr:col>
      <xdr:colOff>160201</xdr:colOff>
      <xdr:row>48</xdr:row>
      <xdr:rowOff>10501</xdr:rowOff>
    </xdr:to>
    <xdr:sp macro="" textlink="">
      <xdr:nvSpPr>
        <xdr:cNvPr id="245697" name="フリーフォーム: 図形 245696">
          <a:extLst>
            <a:ext uri="{FF2B5EF4-FFF2-40B4-BE49-F238E27FC236}">
              <a16:creationId xmlns:a16="http://schemas.microsoft.com/office/drawing/2014/main" id="{F0EC3B78-9DC6-4F14-B7FF-B45353D0DC77}"/>
            </a:ext>
          </a:extLst>
        </xdr:cNvPr>
        <xdr:cNvSpPr>
          <a:spLocks noChangeAspect="1"/>
        </xdr:cNvSpPr>
      </xdr:nvSpPr>
      <xdr:spPr>
        <a:xfrm>
          <a:off x="58104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37</xdr:row>
      <xdr:rowOff>42450</xdr:rowOff>
    </xdr:from>
    <xdr:to>
      <xdr:col>12</xdr:col>
      <xdr:colOff>93601</xdr:colOff>
      <xdr:row>38</xdr:row>
      <xdr:rowOff>15001</xdr:rowOff>
    </xdr:to>
    <xdr:sp macro="" textlink="">
      <xdr:nvSpPr>
        <xdr:cNvPr id="245698" name="フリーフォーム: 図形 245697">
          <a:extLst>
            <a:ext uri="{FF2B5EF4-FFF2-40B4-BE49-F238E27FC236}">
              <a16:creationId xmlns:a16="http://schemas.microsoft.com/office/drawing/2014/main" id="{DC49F155-9752-49B3-9BA3-20DBB54CBB49}"/>
            </a:ext>
          </a:extLst>
        </xdr:cNvPr>
        <xdr:cNvSpPr>
          <a:spLocks noChangeAspect="1"/>
        </xdr:cNvSpPr>
      </xdr:nvSpPr>
      <xdr:spPr>
        <a:xfrm>
          <a:off x="78552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37</xdr:row>
      <xdr:rowOff>42450</xdr:rowOff>
    </xdr:from>
    <xdr:to>
      <xdr:col>12</xdr:col>
      <xdr:colOff>633601</xdr:colOff>
      <xdr:row>38</xdr:row>
      <xdr:rowOff>15001</xdr:rowOff>
    </xdr:to>
    <xdr:sp macro="" textlink="">
      <xdr:nvSpPr>
        <xdr:cNvPr id="245699" name="フリーフォーム: 図形 245698">
          <a:extLst>
            <a:ext uri="{FF2B5EF4-FFF2-40B4-BE49-F238E27FC236}">
              <a16:creationId xmlns:a16="http://schemas.microsoft.com/office/drawing/2014/main" id="{EBB7BA0B-01C4-4E04-848E-B497A15D4815}"/>
            </a:ext>
          </a:extLst>
        </xdr:cNvPr>
        <xdr:cNvSpPr>
          <a:spLocks noChangeAspect="1"/>
        </xdr:cNvSpPr>
      </xdr:nvSpPr>
      <xdr:spPr>
        <a:xfrm>
          <a:off x="83952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37</xdr:row>
      <xdr:rowOff>114450</xdr:rowOff>
    </xdr:from>
    <xdr:to>
      <xdr:col>13</xdr:col>
      <xdr:colOff>19801</xdr:colOff>
      <xdr:row>43</xdr:row>
      <xdr:rowOff>21751</xdr:rowOff>
    </xdr:to>
    <xdr:sp macro="" textlink="">
      <xdr:nvSpPr>
        <xdr:cNvPr id="245700" name="フリーフォーム: 図形 245699">
          <a:extLst>
            <a:ext uri="{FF2B5EF4-FFF2-40B4-BE49-F238E27FC236}">
              <a16:creationId xmlns:a16="http://schemas.microsoft.com/office/drawing/2014/main" id="{9E177C7B-8E14-4DDC-8BBD-CC07634D73DC}"/>
            </a:ext>
          </a:extLst>
        </xdr:cNvPr>
        <xdr:cNvSpPr>
          <a:spLocks noChangeAspect="1"/>
        </xdr:cNvSpPr>
      </xdr:nvSpPr>
      <xdr:spPr>
        <a:xfrm>
          <a:off x="86472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43</xdr:row>
      <xdr:rowOff>75750</xdr:rowOff>
    </xdr:from>
    <xdr:to>
      <xdr:col>12</xdr:col>
      <xdr:colOff>525601</xdr:colOff>
      <xdr:row>48</xdr:row>
      <xdr:rowOff>136501</xdr:rowOff>
    </xdr:to>
    <xdr:sp macro="" textlink="">
      <xdr:nvSpPr>
        <xdr:cNvPr id="245701" name="フリーフォーム: 図形 245700">
          <a:extLst>
            <a:ext uri="{FF2B5EF4-FFF2-40B4-BE49-F238E27FC236}">
              <a16:creationId xmlns:a16="http://schemas.microsoft.com/office/drawing/2014/main" id="{9FFC67F0-3F6F-44CD-9044-0D6C22EF2C04}"/>
            </a:ext>
          </a:extLst>
        </xdr:cNvPr>
        <xdr:cNvSpPr>
          <a:spLocks noChangeAspect="1"/>
        </xdr:cNvSpPr>
      </xdr:nvSpPr>
      <xdr:spPr>
        <a:xfrm>
          <a:off x="84672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48</xdr:row>
      <xdr:rowOff>64500</xdr:rowOff>
    </xdr:from>
    <xdr:to>
      <xdr:col>11</xdr:col>
      <xdr:colOff>455401</xdr:colOff>
      <xdr:row>49</xdr:row>
      <xdr:rowOff>37051</xdr:rowOff>
    </xdr:to>
    <xdr:sp macro="" textlink="">
      <xdr:nvSpPr>
        <xdr:cNvPr id="245702" name="フリーフォーム: 図形 245701">
          <a:extLst>
            <a:ext uri="{FF2B5EF4-FFF2-40B4-BE49-F238E27FC236}">
              <a16:creationId xmlns:a16="http://schemas.microsoft.com/office/drawing/2014/main" id="{7A353CC3-03EA-4AAF-84D1-43B1FAA98931}"/>
            </a:ext>
          </a:extLst>
        </xdr:cNvPr>
        <xdr:cNvSpPr>
          <a:spLocks noChangeAspect="1"/>
        </xdr:cNvSpPr>
      </xdr:nvSpPr>
      <xdr:spPr>
        <a:xfrm>
          <a:off x="75132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48</xdr:row>
      <xdr:rowOff>64500</xdr:rowOff>
    </xdr:from>
    <xdr:to>
      <xdr:col>12</xdr:col>
      <xdr:colOff>273601</xdr:colOff>
      <xdr:row>49</xdr:row>
      <xdr:rowOff>37051</xdr:rowOff>
    </xdr:to>
    <xdr:sp macro="" textlink="">
      <xdr:nvSpPr>
        <xdr:cNvPr id="245703" name="フリーフォーム: 図形 245702">
          <a:extLst>
            <a:ext uri="{FF2B5EF4-FFF2-40B4-BE49-F238E27FC236}">
              <a16:creationId xmlns:a16="http://schemas.microsoft.com/office/drawing/2014/main" id="{566F09B3-D30E-4ACD-83D1-0F704C9663B0}"/>
            </a:ext>
          </a:extLst>
        </xdr:cNvPr>
        <xdr:cNvSpPr>
          <a:spLocks noChangeAspect="1"/>
        </xdr:cNvSpPr>
      </xdr:nvSpPr>
      <xdr:spPr>
        <a:xfrm>
          <a:off x="80352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43</xdr:row>
      <xdr:rowOff>75750</xdr:rowOff>
    </xdr:from>
    <xdr:to>
      <xdr:col>11</xdr:col>
      <xdr:colOff>203401</xdr:colOff>
      <xdr:row>48</xdr:row>
      <xdr:rowOff>136501</xdr:rowOff>
    </xdr:to>
    <xdr:sp macro="" textlink="">
      <xdr:nvSpPr>
        <xdr:cNvPr id="245704" name="フリーフォーム: 図形 245703">
          <a:extLst>
            <a:ext uri="{FF2B5EF4-FFF2-40B4-BE49-F238E27FC236}">
              <a16:creationId xmlns:a16="http://schemas.microsoft.com/office/drawing/2014/main" id="{09954D89-E91D-401F-8C7B-F8919950BF5E}"/>
            </a:ext>
          </a:extLst>
        </xdr:cNvPr>
        <xdr:cNvSpPr>
          <a:spLocks noChangeAspect="1"/>
        </xdr:cNvSpPr>
      </xdr:nvSpPr>
      <xdr:spPr>
        <a:xfrm>
          <a:off x="74592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37</xdr:row>
      <xdr:rowOff>114450</xdr:rowOff>
    </xdr:from>
    <xdr:to>
      <xdr:col>11</xdr:col>
      <xdr:colOff>347401</xdr:colOff>
      <xdr:row>43</xdr:row>
      <xdr:rowOff>21751</xdr:rowOff>
    </xdr:to>
    <xdr:sp macro="" textlink="">
      <xdr:nvSpPr>
        <xdr:cNvPr id="245705" name="フリーフォーム: 図形 245704">
          <a:extLst>
            <a:ext uri="{FF2B5EF4-FFF2-40B4-BE49-F238E27FC236}">
              <a16:creationId xmlns:a16="http://schemas.microsoft.com/office/drawing/2014/main" id="{DB8479F9-51B4-48DF-AF41-3F9524CFC1F5}"/>
            </a:ext>
          </a:extLst>
        </xdr:cNvPr>
        <xdr:cNvSpPr>
          <a:spLocks noChangeAspect="1"/>
        </xdr:cNvSpPr>
      </xdr:nvSpPr>
      <xdr:spPr>
        <a:xfrm>
          <a:off x="76392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42</xdr:row>
      <xdr:rowOff>139200</xdr:rowOff>
    </xdr:from>
    <xdr:to>
      <xdr:col>11</xdr:col>
      <xdr:colOff>617401</xdr:colOff>
      <xdr:row>43</xdr:row>
      <xdr:rowOff>111751</xdr:rowOff>
    </xdr:to>
    <xdr:sp macro="" textlink="">
      <xdr:nvSpPr>
        <xdr:cNvPr id="245706" name="フリーフォーム: 図形 245705">
          <a:extLst>
            <a:ext uri="{FF2B5EF4-FFF2-40B4-BE49-F238E27FC236}">
              <a16:creationId xmlns:a16="http://schemas.microsoft.com/office/drawing/2014/main" id="{0EACFAB2-9626-4708-B436-7209FA9EB737}"/>
            </a:ext>
          </a:extLst>
        </xdr:cNvPr>
        <xdr:cNvSpPr>
          <a:spLocks noChangeAspect="1"/>
        </xdr:cNvSpPr>
      </xdr:nvSpPr>
      <xdr:spPr>
        <a:xfrm>
          <a:off x="77112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42</xdr:row>
      <xdr:rowOff>139200</xdr:rowOff>
    </xdr:from>
    <xdr:to>
      <xdr:col>12</xdr:col>
      <xdr:colOff>435601</xdr:colOff>
      <xdr:row>43</xdr:row>
      <xdr:rowOff>111751</xdr:rowOff>
    </xdr:to>
    <xdr:sp macro="" textlink="">
      <xdr:nvSpPr>
        <xdr:cNvPr id="245707" name="フリーフォーム: 図形 245706">
          <a:extLst>
            <a:ext uri="{FF2B5EF4-FFF2-40B4-BE49-F238E27FC236}">
              <a16:creationId xmlns:a16="http://schemas.microsoft.com/office/drawing/2014/main" id="{ECB5314B-1BBC-41EE-A05E-47741F7F0F79}"/>
            </a:ext>
          </a:extLst>
        </xdr:cNvPr>
        <xdr:cNvSpPr>
          <a:spLocks noChangeAspect="1"/>
        </xdr:cNvSpPr>
      </xdr:nvSpPr>
      <xdr:spPr>
        <a:xfrm>
          <a:off x="82152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38</xdr:row>
      <xdr:rowOff>51000</xdr:rowOff>
    </xdr:from>
    <xdr:to>
      <xdr:col>11</xdr:col>
      <xdr:colOff>635401</xdr:colOff>
      <xdr:row>43</xdr:row>
      <xdr:rowOff>3751</xdr:rowOff>
    </xdr:to>
    <xdr:sp macro="" textlink="">
      <xdr:nvSpPr>
        <xdr:cNvPr id="245708" name="フリーフォーム: 図形 245707">
          <a:extLst>
            <a:ext uri="{FF2B5EF4-FFF2-40B4-BE49-F238E27FC236}">
              <a16:creationId xmlns:a16="http://schemas.microsoft.com/office/drawing/2014/main" id="{B60E5FE6-BAD1-4BD9-B2F7-8A5D77D24769}"/>
            </a:ext>
          </a:extLst>
        </xdr:cNvPr>
        <xdr:cNvSpPr>
          <a:spLocks noChangeAspect="1"/>
        </xdr:cNvSpPr>
      </xdr:nvSpPr>
      <xdr:spPr>
        <a:xfrm>
          <a:off x="79092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37</xdr:row>
      <xdr:rowOff>114450</xdr:rowOff>
    </xdr:from>
    <xdr:to>
      <xdr:col>12</xdr:col>
      <xdr:colOff>201601</xdr:colOff>
      <xdr:row>42</xdr:row>
      <xdr:rowOff>157201</xdr:rowOff>
    </xdr:to>
    <xdr:sp macro="" textlink="">
      <xdr:nvSpPr>
        <xdr:cNvPr id="245709" name="フリーフォーム: 図形 245708">
          <a:extLst>
            <a:ext uri="{FF2B5EF4-FFF2-40B4-BE49-F238E27FC236}">
              <a16:creationId xmlns:a16="http://schemas.microsoft.com/office/drawing/2014/main" id="{0092089C-D155-48A8-B391-D51CBDE8AEA5}"/>
            </a:ext>
          </a:extLst>
        </xdr:cNvPr>
        <xdr:cNvSpPr>
          <a:spLocks noChangeAspect="1"/>
        </xdr:cNvSpPr>
      </xdr:nvSpPr>
      <xdr:spPr>
        <a:xfrm>
          <a:off x="81792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38</xdr:row>
      <xdr:rowOff>69000</xdr:rowOff>
    </xdr:from>
    <xdr:to>
      <xdr:col>12</xdr:col>
      <xdr:colOff>525601</xdr:colOff>
      <xdr:row>43</xdr:row>
      <xdr:rowOff>3751</xdr:rowOff>
    </xdr:to>
    <xdr:sp macro="" textlink="">
      <xdr:nvSpPr>
        <xdr:cNvPr id="245710" name="フリーフォーム: 図形 245709">
          <a:extLst>
            <a:ext uri="{FF2B5EF4-FFF2-40B4-BE49-F238E27FC236}">
              <a16:creationId xmlns:a16="http://schemas.microsoft.com/office/drawing/2014/main" id="{03FF3435-BCF3-4413-97D6-AE7D379C1109}"/>
            </a:ext>
          </a:extLst>
        </xdr:cNvPr>
        <xdr:cNvSpPr>
          <a:spLocks noChangeAspect="1"/>
        </xdr:cNvSpPr>
      </xdr:nvSpPr>
      <xdr:spPr>
        <a:xfrm>
          <a:off x="82332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43</xdr:row>
      <xdr:rowOff>75750</xdr:rowOff>
    </xdr:from>
    <xdr:to>
      <xdr:col>12</xdr:col>
      <xdr:colOff>237601</xdr:colOff>
      <xdr:row>47</xdr:row>
      <xdr:rowOff>163951</xdr:rowOff>
    </xdr:to>
    <xdr:sp macro="" textlink="">
      <xdr:nvSpPr>
        <xdr:cNvPr id="245711" name="フリーフォーム: 図形 245710">
          <a:extLst>
            <a:ext uri="{FF2B5EF4-FFF2-40B4-BE49-F238E27FC236}">
              <a16:creationId xmlns:a16="http://schemas.microsoft.com/office/drawing/2014/main" id="{FA20709B-88A3-4EC2-98A3-7A55CB4AB9C7}"/>
            </a:ext>
          </a:extLst>
        </xdr:cNvPr>
        <xdr:cNvSpPr>
          <a:spLocks noChangeAspect="1"/>
        </xdr:cNvSpPr>
      </xdr:nvSpPr>
      <xdr:spPr>
        <a:xfrm>
          <a:off x="81972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43</xdr:row>
      <xdr:rowOff>93750</xdr:rowOff>
    </xdr:from>
    <xdr:to>
      <xdr:col>11</xdr:col>
      <xdr:colOff>653401</xdr:colOff>
      <xdr:row>48</xdr:row>
      <xdr:rowOff>118501</xdr:rowOff>
    </xdr:to>
    <xdr:sp macro="" textlink="">
      <xdr:nvSpPr>
        <xdr:cNvPr id="245712" name="フリーフォーム: 図形 245711">
          <a:extLst>
            <a:ext uri="{FF2B5EF4-FFF2-40B4-BE49-F238E27FC236}">
              <a16:creationId xmlns:a16="http://schemas.microsoft.com/office/drawing/2014/main" id="{C9CFABC2-3E31-48B1-B76C-541D501E815E}"/>
            </a:ext>
          </a:extLst>
        </xdr:cNvPr>
        <xdr:cNvSpPr>
          <a:spLocks noChangeAspect="1"/>
        </xdr:cNvSpPr>
      </xdr:nvSpPr>
      <xdr:spPr>
        <a:xfrm>
          <a:off x="79632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43</xdr:row>
      <xdr:rowOff>75750</xdr:rowOff>
    </xdr:from>
    <xdr:to>
      <xdr:col>11</xdr:col>
      <xdr:colOff>617401</xdr:colOff>
      <xdr:row>48</xdr:row>
      <xdr:rowOff>10501</xdr:rowOff>
    </xdr:to>
    <xdr:sp macro="" textlink="">
      <xdr:nvSpPr>
        <xdr:cNvPr id="245713" name="フリーフォーム: 図形 245712">
          <a:extLst>
            <a:ext uri="{FF2B5EF4-FFF2-40B4-BE49-F238E27FC236}">
              <a16:creationId xmlns:a16="http://schemas.microsoft.com/office/drawing/2014/main" id="{C6BF0642-8214-4A44-BC2E-9ED62236EB3E}"/>
            </a:ext>
          </a:extLst>
        </xdr:cNvPr>
        <xdr:cNvSpPr>
          <a:spLocks noChangeAspect="1"/>
        </xdr:cNvSpPr>
      </xdr:nvSpPr>
      <xdr:spPr>
        <a:xfrm>
          <a:off x="76392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37</xdr:row>
      <xdr:rowOff>42450</xdr:rowOff>
    </xdr:from>
    <xdr:to>
      <xdr:col>14</xdr:col>
      <xdr:colOff>550801</xdr:colOff>
      <xdr:row>38</xdr:row>
      <xdr:rowOff>15001</xdr:rowOff>
    </xdr:to>
    <xdr:sp macro="" textlink="">
      <xdr:nvSpPr>
        <xdr:cNvPr id="245714" name="フリーフォーム: 図形 245713">
          <a:extLst>
            <a:ext uri="{FF2B5EF4-FFF2-40B4-BE49-F238E27FC236}">
              <a16:creationId xmlns:a16="http://schemas.microsoft.com/office/drawing/2014/main" id="{0A89A169-4069-43AF-8B30-ADD131D8ADE9}"/>
            </a:ext>
          </a:extLst>
        </xdr:cNvPr>
        <xdr:cNvSpPr>
          <a:spLocks noChangeAspect="1"/>
        </xdr:cNvSpPr>
      </xdr:nvSpPr>
      <xdr:spPr>
        <a:xfrm>
          <a:off x="96840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37</xdr:row>
      <xdr:rowOff>42450</xdr:rowOff>
    </xdr:from>
    <xdr:to>
      <xdr:col>15</xdr:col>
      <xdr:colOff>405001</xdr:colOff>
      <xdr:row>38</xdr:row>
      <xdr:rowOff>15001</xdr:rowOff>
    </xdr:to>
    <xdr:sp macro="" textlink="">
      <xdr:nvSpPr>
        <xdr:cNvPr id="245715" name="フリーフォーム: 図形 245714">
          <a:extLst>
            <a:ext uri="{FF2B5EF4-FFF2-40B4-BE49-F238E27FC236}">
              <a16:creationId xmlns:a16="http://schemas.microsoft.com/office/drawing/2014/main" id="{D4BCF9FE-C2B8-440E-AC33-C745F32A4B34}"/>
            </a:ext>
          </a:extLst>
        </xdr:cNvPr>
        <xdr:cNvSpPr>
          <a:spLocks noChangeAspect="1"/>
        </xdr:cNvSpPr>
      </xdr:nvSpPr>
      <xdr:spPr>
        <a:xfrm>
          <a:off x="102240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37</xdr:row>
      <xdr:rowOff>114450</xdr:rowOff>
    </xdr:from>
    <xdr:to>
      <xdr:col>15</xdr:col>
      <xdr:colOff>477001</xdr:colOff>
      <xdr:row>43</xdr:row>
      <xdr:rowOff>21751</xdr:rowOff>
    </xdr:to>
    <xdr:sp macro="" textlink="">
      <xdr:nvSpPr>
        <xdr:cNvPr id="245716" name="フリーフォーム: 図形 245715">
          <a:extLst>
            <a:ext uri="{FF2B5EF4-FFF2-40B4-BE49-F238E27FC236}">
              <a16:creationId xmlns:a16="http://schemas.microsoft.com/office/drawing/2014/main" id="{A257AE5C-9009-4F0C-B55D-52DFFB9A8F34}"/>
            </a:ext>
          </a:extLst>
        </xdr:cNvPr>
        <xdr:cNvSpPr>
          <a:spLocks noChangeAspect="1"/>
        </xdr:cNvSpPr>
      </xdr:nvSpPr>
      <xdr:spPr>
        <a:xfrm>
          <a:off x="104760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43</xdr:row>
      <xdr:rowOff>75750</xdr:rowOff>
    </xdr:from>
    <xdr:to>
      <xdr:col>15</xdr:col>
      <xdr:colOff>297001</xdr:colOff>
      <xdr:row>48</xdr:row>
      <xdr:rowOff>136501</xdr:rowOff>
    </xdr:to>
    <xdr:sp macro="" textlink="">
      <xdr:nvSpPr>
        <xdr:cNvPr id="245717" name="フリーフォーム: 図形 245716">
          <a:extLst>
            <a:ext uri="{FF2B5EF4-FFF2-40B4-BE49-F238E27FC236}">
              <a16:creationId xmlns:a16="http://schemas.microsoft.com/office/drawing/2014/main" id="{D445D0BD-5752-494B-A6BC-2C2B124E71A4}"/>
            </a:ext>
          </a:extLst>
        </xdr:cNvPr>
        <xdr:cNvSpPr>
          <a:spLocks noChangeAspect="1"/>
        </xdr:cNvSpPr>
      </xdr:nvSpPr>
      <xdr:spPr>
        <a:xfrm>
          <a:off x="102960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48</xdr:row>
      <xdr:rowOff>64500</xdr:rowOff>
    </xdr:from>
    <xdr:to>
      <xdr:col>14</xdr:col>
      <xdr:colOff>226801</xdr:colOff>
      <xdr:row>49</xdr:row>
      <xdr:rowOff>37051</xdr:rowOff>
    </xdr:to>
    <xdr:sp macro="" textlink="">
      <xdr:nvSpPr>
        <xdr:cNvPr id="245718" name="フリーフォーム: 図形 245717">
          <a:extLst>
            <a:ext uri="{FF2B5EF4-FFF2-40B4-BE49-F238E27FC236}">
              <a16:creationId xmlns:a16="http://schemas.microsoft.com/office/drawing/2014/main" id="{14474816-26C3-41B0-89E6-E2D1E7C3B667}"/>
            </a:ext>
          </a:extLst>
        </xdr:cNvPr>
        <xdr:cNvSpPr>
          <a:spLocks noChangeAspect="1"/>
        </xdr:cNvSpPr>
      </xdr:nvSpPr>
      <xdr:spPr>
        <a:xfrm>
          <a:off x="93420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48</xdr:row>
      <xdr:rowOff>64500</xdr:rowOff>
    </xdr:from>
    <xdr:to>
      <xdr:col>15</xdr:col>
      <xdr:colOff>45001</xdr:colOff>
      <xdr:row>49</xdr:row>
      <xdr:rowOff>37051</xdr:rowOff>
    </xdr:to>
    <xdr:sp macro="" textlink="">
      <xdr:nvSpPr>
        <xdr:cNvPr id="245719" name="フリーフォーム: 図形 245718">
          <a:extLst>
            <a:ext uri="{FF2B5EF4-FFF2-40B4-BE49-F238E27FC236}">
              <a16:creationId xmlns:a16="http://schemas.microsoft.com/office/drawing/2014/main" id="{FCF2619A-6536-4354-A907-102C85035DFF}"/>
            </a:ext>
          </a:extLst>
        </xdr:cNvPr>
        <xdr:cNvSpPr>
          <a:spLocks noChangeAspect="1"/>
        </xdr:cNvSpPr>
      </xdr:nvSpPr>
      <xdr:spPr>
        <a:xfrm>
          <a:off x="98640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43</xdr:row>
      <xdr:rowOff>75750</xdr:rowOff>
    </xdr:from>
    <xdr:to>
      <xdr:col>13</xdr:col>
      <xdr:colOff>660601</xdr:colOff>
      <xdr:row>48</xdr:row>
      <xdr:rowOff>136501</xdr:rowOff>
    </xdr:to>
    <xdr:sp macro="" textlink="">
      <xdr:nvSpPr>
        <xdr:cNvPr id="245720" name="フリーフォーム: 図形 245719">
          <a:extLst>
            <a:ext uri="{FF2B5EF4-FFF2-40B4-BE49-F238E27FC236}">
              <a16:creationId xmlns:a16="http://schemas.microsoft.com/office/drawing/2014/main" id="{6276A02E-B06A-4D1B-823B-0201B5B840EB}"/>
            </a:ext>
          </a:extLst>
        </xdr:cNvPr>
        <xdr:cNvSpPr>
          <a:spLocks noChangeAspect="1"/>
        </xdr:cNvSpPr>
      </xdr:nvSpPr>
      <xdr:spPr>
        <a:xfrm>
          <a:off x="92880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37</xdr:row>
      <xdr:rowOff>114450</xdr:rowOff>
    </xdr:from>
    <xdr:to>
      <xdr:col>14</xdr:col>
      <xdr:colOff>118801</xdr:colOff>
      <xdr:row>43</xdr:row>
      <xdr:rowOff>21751</xdr:rowOff>
    </xdr:to>
    <xdr:sp macro="" textlink="">
      <xdr:nvSpPr>
        <xdr:cNvPr id="245721" name="フリーフォーム: 図形 245720">
          <a:extLst>
            <a:ext uri="{FF2B5EF4-FFF2-40B4-BE49-F238E27FC236}">
              <a16:creationId xmlns:a16="http://schemas.microsoft.com/office/drawing/2014/main" id="{48BDA0C9-2CBC-42B3-BD90-40ECB6620AD0}"/>
            </a:ext>
          </a:extLst>
        </xdr:cNvPr>
        <xdr:cNvSpPr>
          <a:spLocks noChangeAspect="1"/>
        </xdr:cNvSpPr>
      </xdr:nvSpPr>
      <xdr:spPr>
        <a:xfrm>
          <a:off x="94680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42</xdr:row>
      <xdr:rowOff>139200</xdr:rowOff>
    </xdr:from>
    <xdr:to>
      <xdr:col>14</xdr:col>
      <xdr:colOff>388801</xdr:colOff>
      <xdr:row>43</xdr:row>
      <xdr:rowOff>111751</xdr:rowOff>
    </xdr:to>
    <xdr:sp macro="" textlink="">
      <xdr:nvSpPr>
        <xdr:cNvPr id="245722" name="フリーフォーム: 図形 245721">
          <a:extLst>
            <a:ext uri="{FF2B5EF4-FFF2-40B4-BE49-F238E27FC236}">
              <a16:creationId xmlns:a16="http://schemas.microsoft.com/office/drawing/2014/main" id="{63CDF77B-4BC1-445C-BCA9-49F91CD001A6}"/>
            </a:ext>
          </a:extLst>
        </xdr:cNvPr>
        <xdr:cNvSpPr>
          <a:spLocks noChangeAspect="1"/>
        </xdr:cNvSpPr>
      </xdr:nvSpPr>
      <xdr:spPr>
        <a:xfrm>
          <a:off x="95400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42</xdr:row>
      <xdr:rowOff>139200</xdr:rowOff>
    </xdr:from>
    <xdr:to>
      <xdr:col>15</xdr:col>
      <xdr:colOff>207001</xdr:colOff>
      <xdr:row>43</xdr:row>
      <xdr:rowOff>111751</xdr:rowOff>
    </xdr:to>
    <xdr:sp macro="" textlink="">
      <xdr:nvSpPr>
        <xdr:cNvPr id="245723" name="フリーフォーム: 図形 245722">
          <a:extLst>
            <a:ext uri="{FF2B5EF4-FFF2-40B4-BE49-F238E27FC236}">
              <a16:creationId xmlns:a16="http://schemas.microsoft.com/office/drawing/2014/main" id="{85A3B8AC-B050-4608-B436-3A7E153336A1}"/>
            </a:ext>
          </a:extLst>
        </xdr:cNvPr>
        <xdr:cNvSpPr>
          <a:spLocks noChangeAspect="1"/>
        </xdr:cNvSpPr>
      </xdr:nvSpPr>
      <xdr:spPr>
        <a:xfrm>
          <a:off x="100440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38</xdr:row>
      <xdr:rowOff>51000</xdr:rowOff>
    </xdr:from>
    <xdr:to>
      <xdr:col>14</xdr:col>
      <xdr:colOff>406801</xdr:colOff>
      <xdr:row>43</xdr:row>
      <xdr:rowOff>3751</xdr:rowOff>
    </xdr:to>
    <xdr:sp macro="" textlink="">
      <xdr:nvSpPr>
        <xdr:cNvPr id="245724" name="フリーフォーム: 図形 245723">
          <a:extLst>
            <a:ext uri="{FF2B5EF4-FFF2-40B4-BE49-F238E27FC236}">
              <a16:creationId xmlns:a16="http://schemas.microsoft.com/office/drawing/2014/main" id="{980460DB-409D-4A00-9570-5F57494B718E}"/>
            </a:ext>
          </a:extLst>
        </xdr:cNvPr>
        <xdr:cNvSpPr>
          <a:spLocks noChangeAspect="1"/>
        </xdr:cNvSpPr>
      </xdr:nvSpPr>
      <xdr:spPr>
        <a:xfrm>
          <a:off x="97380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37</xdr:row>
      <xdr:rowOff>114450</xdr:rowOff>
    </xdr:from>
    <xdr:to>
      <xdr:col>14</xdr:col>
      <xdr:colOff>658801</xdr:colOff>
      <xdr:row>42</xdr:row>
      <xdr:rowOff>157201</xdr:rowOff>
    </xdr:to>
    <xdr:sp macro="" textlink="">
      <xdr:nvSpPr>
        <xdr:cNvPr id="245725" name="フリーフォーム: 図形 245724">
          <a:extLst>
            <a:ext uri="{FF2B5EF4-FFF2-40B4-BE49-F238E27FC236}">
              <a16:creationId xmlns:a16="http://schemas.microsoft.com/office/drawing/2014/main" id="{C7649AD1-26FD-4876-B87D-C8A0865D74C9}"/>
            </a:ext>
          </a:extLst>
        </xdr:cNvPr>
        <xdr:cNvSpPr>
          <a:spLocks noChangeAspect="1"/>
        </xdr:cNvSpPr>
      </xdr:nvSpPr>
      <xdr:spPr>
        <a:xfrm>
          <a:off x="100080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38</xdr:row>
      <xdr:rowOff>69000</xdr:rowOff>
    </xdr:from>
    <xdr:to>
      <xdr:col>15</xdr:col>
      <xdr:colOff>297001</xdr:colOff>
      <xdr:row>43</xdr:row>
      <xdr:rowOff>3751</xdr:rowOff>
    </xdr:to>
    <xdr:sp macro="" textlink="">
      <xdr:nvSpPr>
        <xdr:cNvPr id="245726" name="フリーフォーム: 図形 245725">
          <a:extLst>
            <a:ext uri="{FF2B5EF4-FFF2-40B4-BE49-F238E27FC236}">
              <a16:creationId xmlns:a16="http://schemas.microsoft.com/office/drawing/2014/main" id="{D5B79A18-B459-4CAC-9F79-26896CA567A6}"/>
            </a:ext>
          </a:extLst>
        </xdr:cNvPr>
        <xdr:cNvSpPr>
          <a:spLocks noChangeAspect="1"/>
        </xdr:cNvSpPr>
      </xdr:nvSpPr>
      <xdr:spPr>
        <a:xfrm>
          <a:off x="100620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43</xdr:row>
      <xdr:rowOff>75750</xdr:rowOff>
    </xdr:from>
    <xdr:to>
      <xdr:col>15</xdr:col>
      <xdr:colOff>9001</xdr:colOff>
      <xdr:row>47</xdr:row>
      <xdr:rowOff>163951</xdr:rowOff>
    </xdr:to>
    <xdr:sp macro="" textlink="">
      <xdr:nvSpPr>
        <xdr:cNvPr id="245727" name="フリーフォーム: 図形 245726">
          <a:extLst>
            <a:ext uri="{FF2B5EF4-FFF2-40B4-BE49-F238E27FC236}">
              <a16:creationId xmlns:a16="http://schemas.microsoft.com/office/drawing/2014/main" id="{0DA77336-C003-4FFE-B022-9E52C2278A8B}"/>
            </a:ext>
          </a:extLst>
        </xdr:cNvPr>
        <xdr:cNvSpPr>
          <a:spLocks noChangeAspect="1"/>
        </xdr:cNvSpPr>
      </xdr:nvSpPr>
      <xdr:spPr>
        <a:xfrm>
          <a:off x="100260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43</xdr:row>
      <xdr:rowOff>93750</xdr:rowOff>
    </xdr:from>
    <xdr:to>
      <xdr:col>14</xdr:col>
      <xdr:colOff>424801</xdr:colOff>
      <xdr:row>48</xdr:row>
      <xdr:rowOff>118501</xdr:rowOff>
    </xdr:to>
    <xdr:sp macro="" textlink="">
      <xdr:nvSpPr>
        <xdr:cNvPr id="245728" name="フリーフォーム: 図形 245727">
          <a:extLst>
            <a:ext uri="{FF2B5EF4-FFF2-40B4-BE49-F238E27FC236}">
              <a16:creationId xmlns:a16="http://schemas.microsoft.com/office/drawing/2014/main" id="{A28E900E-7978-4E9A-BDAA-13A6F89D1DFB}"/>
            </a:ext>
          </a:extLst>
        </xdr:cNvPr>
        <xdr:cNvSpPr>
          <a:spLocks noChangeAspect="1"/>
        </xdr:cNvSpPr>
      </xdr:nvSpPr>
      <xdr:spPr>
        <a:xfrm>
          <a:off x="97920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43</xdr:row>
      <xdr:rowOff>75750</xdr:rowOff>
    </xdr:from>
    <xdr:to>
      <xdr:col>14</xdr:col>
      <xdr:colOff>388801</xdr:colOff>
      <xdr:row>48</xdr:row>
      <xdr:rowOff>10501</xdr:rowOff>
    </xdr:to>
    <xdr:sp macro="" textlink="">
      <xdr:nvSpPr>
        <xdr:cNvPr id="245729" name="フリーフォーム: 図形 245728">
          <a:extLst>
            <a:ext uri="{FF2B5EF4-FFF2-40B4-BE49-F238E27FC236}">
              <a16:creationId xmlns:a16="http://schemas.microsoft.com/office/drawing/2014/main" id="{3B8620B1-CCF6-49F2-90D9-8DC38250057B}"/>
            </a:ext>
          </a:extLst>
        </xdr:cNvPr>
        <xdr:cNvSpPr>
          <a:spLocks noChangeAspect="1"/>
        </xdr:cNvSpPr>
      </xdr:nvSpPr>
      <xdr:spPr>
        <a:xfrm>
          <a:off x="94680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37</xdr:row>
      <xdr:rowOff>42450</xdr:rowOff>
    </xdr:from>
    <xdr:to>
      <xdr:col>17</xdr:col>
      <xdr:colOff>322201</xdr:colOff>
      <xdr:row>38</xdr:row>
      <xdr:rowOff>15001</xdr:rowOff>
    </xdr:to>
    <xdr:sp macro="" textlink="">
      <xdr:nvSpPr>
        <xdr:cNvPr id="245730" name="フリーフォーム: 図形 245729">
          <a:extLst>
            <a:ext uri="{FF2B5EF4-FFF2-40B4-BE49-F238E27FC236}">
              <a16:creationId xmlns:a16="http://schemas.microsoft.com/office/drawing/2014/main" id="{9C6DC854-B062-4FD8-B2E2-4458430F50A1}"/>
            </a:ext>
          </a:extLst>
        </xdr:cNvPr>
        <xdr:cNvSpPr>
          <a:spLocks noChangeAspect="1"/>
        </xdr:cNvSpPr>
      </xdr:nvSpPr>
      <xdr:spPr>
        <a:xfrm>
          <a:off x="11512800" y="66528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37</xdr:row>
      <xdr:rowOff>42450</xdr:rowOff>
    </xdr:from>
    <xdr:to>
      <xdr:col>18</xdr:col>
      <xdr:colOff>176401</xdr:colOff>
      <xdr:row>38</xdr:row>
      <xdr:rowOff>15001</xdr:rowOff>
    </xdr:to>
    <xdr:sp macro="" textlink="">
      <xdr:nvSpPr>
        <xdr:cNvPr id="245731" name="フリーフォーム: 図形 245730">
          <a:extLst>
            <a:ext uri="{FF2B5EF4-FFF2-40B4-BE49-F238E27FC236}">
              <a16:creationId xmlns:a16="http://schemas.microsoft.com/office/drawing/2014/main" id="{5CC09C99-AB32-4072-85D7-4834C1BF99B6}"/>
            </a:ext>
          </a:extLst>
        </xdr:cNvPr>
        <xdr:cNvSpPr>
          <a:spLocks noChangeAspect="1"/>
        </xdr:cNvSpPr>
      </xdr:nvSpPr>
      <xdr:spPr>
        <a:xfrm>
          <a:off x="12052800" y="66528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37</xdr:row>
      <xdr:rowOff>114450</xdr:rowOff>
    </xdr:from>
    <xdr:to>
      <xdr:col>18</xdr:col>
      <xdr:colOff>248401</xdr:colOff>
      <xdr:row>43</xdr:row>
      <xdr:rowOff>21751</xdr:rowOff>
    </xdr:to>
    <xdr:sp macro="" textlink="">
      <xdr:nvSpPr>
        <xdr:cNvPr id="245732" name="フリーフォーム: 図形 245731">
          <a:extLst>
            <a:ext uri="{FF2B5EF4-FFF2-40B4-BE49-F238E27FC236}">
              <a16:creationId xmlns:a16="http://schemas.microsoft.com/office/drawing/2014/main" id="{FBD16928-A364-46B0-9C58-BE701D58ADE8}"/>
            </a:ext>
          </a:extLst>
        </xdr:cNvPr>
        <xdr:cNvSpPr>
          <a:spLocks noChangeAspect="1"/>
        </xdr:cNvSpPr>
      </xdr:nvSpPr>
      <xdr:spPr>
        <a:xfrm>
          <a:off x="12304800" y="67248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43</xdr:row>
      <xdr:rowOff>75750</xdr:rowOff>
    </xdr:from>
    <xdr:to>
      <xdr:col>18</xdr:col>
      <xdr:colOff>68401</xdr:colOff>
      <xdr:row>48</xdr:row>
      <xdr:rowOff>136501</xdr:rowOff>
    </xdr:to>
    <xdr:sp macro="" textlink="">
      <xdr:nvSpPr>
        <xdr:cNvPr id="245733" name="フリーフォーム: 図形 245732">
          <a:extLst>
            <a:ext uri="{FF2B5EF4-FFF2-40B4-BE49-F238E27FC236}">
              <a16:creationId xmlns:a16="http://schemas.microsoft.com/office/drawing/2014/main" id="{211564EC-2728-4B9A-822D-E4213434CC15}"/>
            </a:ext>
          </a:extLst>
        </xdr:cNvPr>
        <xdr:cNvSpPr>
          <a:spLocks noChangeAspect="1"/>
        </xdr:cNvSpPr>
      </xdr:nvSpPr>
      <xdr:spPr>
        <a:xfrm>
          <a:off x="12124800" y="77148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48</xdr:row>
      <xdr:rowOff>64500</xdr:rowOff>
    </xdr:from>
    <xdr:to>
      <xdr:col>16</xdr:col>
      <xdr:colOff>684001</xdr:colOff>
      <xdr:row>49</xdr:row>
      <xdr:rowOff>37051</xdr:rowOff>
    </xdr:to>
    <xdr:sp macro="" textlink="">
      <xdr:nvSpPr>
        <xdr:cNvPr id="245734" name="フリーフォーム: 図形 245733">
          <a:extLst>
            <a:ext uri="{FF2B5EF4-FFF2-40B4-BE49-F238E27FC236}">
              <a16:creationId xmlns:a16="http://schemas.microsoft.com/office/drawing/2014/main" id="{DB6A2FCE-30EF-4FE5-87DB-49422F54455F}"/>
            </a:ext>
          </a:extLst>
        </xdr:cNvPr>
        <xdr:cNvSpPr>
          <a:spLocks noChangeAspect="1"/>
        </xdr:cNvSpPr>
      </xdr:nvSpPr>
      <xdr:spPr>
        <a:xfrm>
          <a:off x="11170800" y="8560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48</xdr:row>
      <xdr:rowOff>64500</xdr:rowOff>
    </xdr:from>
    <xdr:to>
      <xdr:col>17</xdr:col>
      <xdr:colOff>502201</xdr:colOff>
      <xdr:row>49</xdr:row>
      <xdr:rowOff>37051</xdr:rowOff>
    </xdr:to>
    <xdr:sp macro="" textlink="">
      <xdr:nvSpPr>
        <xdr:cNvPr id="245735" name="フリーフォーム: 図形 245734">
          <a:extLst>
            <a:ext uri="{FF2B5EF4-FFF2-40B4-BE49-F238E27FC236}">
              <a16:creationId xmlns:a16="http://schemas.microsoft.com/office/drawing/2014/main" id="{10944629-9462-40AD-AB2F-A3CB8540CC95}"/>
            </a:ext>
          </a:extLst>
        </xdr:cNvPr>
        <xdr:cNvSpPr>
          <a:spLocks noChangeAspect="1"/>
        </xdr:cNvSpPr>
      </xdr:nvSpPr>
      <xdr:spPr>
        <a:xfrm>
          <a:off x="11692800" y="8560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43</xdr:row>
      <xdr:rowOff>75750</xdr:rowOff>
    </xdr:from>
    <xdr:to>
      <xdr:col>16</xdr:col>
      <xdr:colOff>432001</xdr:colOff>
      <xdr:row>48</xdr:row>
      <xdr:rowOff>136501</xdr:rowOff>
    </xdr:to>
    <xdr:sp macro="" textlink="">
      <xdr:nvSpPr>
        <xdr:cNvPr id="245736" name="フリーフォーム: 図形 245735">
          <a:extLst>
            <a:ext uri="{FF2B5EF4-FFF2-40B4-BE49-F238E27FC236}">
              <a16:creationId xmlns:a16="http://schemas.microsoft.com/office/drawing/2014/main" id="{57F5BCC0-6A00-4718-8921-4553879DE8D0}"/>
            </a:ext>
          </a:extLst>
        </xdr:cNvPr>
        <xdr:cNvSpPr>
          <a:spLocks noChangeAspect="1"/>
        </xdr:cNvSpPr>
      </xdr:nvSpPr>
      <xdr:spPr>
        <a:xfrm>
          <a:off x="11116800" y="77148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37</xdr:row>
      <xdr:rowOff>114450</xdr:rowOff>
    </xdr:from>
    <xdr:to>
      <xdr:col>16</xdr:col>
      <xdr:colOff>576001</xdr:colOff>
      <xdr:row>43</xdr:row>
      <xdr:rowOff>21751</xdr:rowOff>
    </xdr:to>
    <xdr:sp macro="" textlink="">
      <xdr:nvSpPr>
        <xdr:cNvPr id="245737" name="フリーフォーム: 図形 245736">
          <a:extLst>
            <a:ext uri="{FF2B5EF4-FFF2-40B4-BE49-F238E27FC236}">
              <a16:creationId xmlns:a16="http://schemas.microsoft.com/office/drawing/2014/main" id="{E707504D-8AB7-41B3-A8B5-B1FAFE19F46C}"/>
            </a:ext>
          </a:extLst>
        </xdr:cNvPr>
        <xdr:cNvSpPr>
          <a:spLocks noChangeAspect="1"/>
        </xdr:cNvSpPr>
      </xdr:nvSpPr>
      <xdr:spPr>
        <a:xfrm>
          <a:off x="11296800" y="67248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42</xdr:row>
      <xdr:rowOff>139200</xdr:rowOff>
    </xdr:from>
    <xdr:to>
      <xdr:col>17</xdr:col>
      <xdr:colOff>160201</xdr:colOff>
      <xdr:row>43</xdr:row>
      <xdr:rowOff>111751</xdr:rowOff>
    </xdr:to>
    <xdr:sp macro="" textlink="">
      <xdr:nvSpPr>
        <xdr:cNvPr id="245738" name="フリーフォーム: 図形 245737">
          <a:extLst>
            <a:ext uri="{FF2B5EF4-FFF2-40B4-BE49-F238E27FC236}">
              <a16:creationId xmlns:a16="http://schemas.microsoft.com/office/drawing/2014/main" id="{00189AD0-EFDD-4957-B809-774BD99B28F8}"/>
            </a:ext>
          </a:extLst>
        </xdr:cNvPr>
        <xdr:cNvSpPr>
          <a:spLocks noChangeAspect="1"/>
        </xdr:cNvSpPr>
      </xdr:nvSpPr>
      <xdr:spPr>
        <a:xfrm>
          <a:off x="11368800" y="76068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42</xdr:row>
      <xdr:rowOff>139200</xdr:rowOff>
    </xdr:from>
    <xdr:to>
      <xdr:col>17</xdr:col>
      <xdr:colOff>664201</xdr:colOff>
      <xdr:row>43</xdr:row>
      <xdr:rowOff>111751</xdr:rowOff>
    </xdr:to>
    <xdr:sp macro="" textlink="">
      <xdr:nvSpPr>
        <xdr:cNvPr id="245739" name="フリーフォーム: 図形 245738">
          <a:extLst>
            <a:ext uri="{FF2B5EF4-FFF2-40B4-BE49-F238E27FC236}">
              <a16:creationId xmlns:a16="http://schemas.microsoft.com/office/drawing/2014/main" id="{CA483F31-E9C2-44BF-8698-6283EC512956}"/>
            </a:ext>
          </a:extLst>
        </xdr:cNvPr>
        <xdr:cNvSpPr>
          <a:spLocks noChangeAspect="1"/>
        </xdr:cNvSpPr>
      </xdr:nvSpPr>
      <xdr:spPr>
        <a:xfrm>
          <a:off x="11872800" y="76068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38</xdr:row>
      <xdr:rowOff>51000</xdr:rowOff>
    </xdr:from>
    <xdr:to>
      <xdr:col>17</xdr:col>
      <xdr:colOff>178201</xdr:colOff>
      <xdr:row>43</xdr:row>
      <xdr:rowOff>3751</xdr:rowOff>
    </xdr:to>
    <xdr:sp macro="" textlink="">
      <xdr:nvSpPr>
        <xdr:cNvPr id="245740" name="フリーフォーム: 図形 245739">
          <a:extLst>
            <a:ext uri="{FF2B5EF4-FFF2-40B4-BE49-F238E27FC236}">
              <a16:creationId xmlns:a16="http://schemas.microsoft.com/office/drawing/2014/main" id="{3CAB4973-C20E-4199-A9EA-74C2FA2995E6}"/>
            </a:ext>
          </a:extLst>
        </xdr:cNvPr>
        <xdr:cNvSpPr>
          <a:spLocks noChangeAspect="1"/>
        </xdr:cNvSpPr>
      </xdr:nvSpPr>
      <xdr:spPr>
        <a:xfrm>
          <a:off x="11566800" y="68328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37</xdr:row>
      <xdr:rowOff>114450</xdr:rowOff>
    </xdr:from>
    <xdr:to>
      <xdr:col>17</xdr:col>
      <xdr:colOff>430201</xdr:colOff>
      <xdr:row>42</xdr:row>
      <xdr:rowOff>157201</xdr:rowOff>
    </xdr:to>
    <xdr:sp macro="" textlink="">
      <xdr:nvSpPr>
        <xdr:cNvPr id="245741" name="フリーフォーム: 図形 245740">
          <a:extLst>
            <a:ext uri="{FF2B5EF4-FFF2-40B4-BE49-F238E27FC236}">
              <a16:creationId xmlns:a16="http://schemas.microsoft.com/office/drawing/2014/main" id="{D6523766-9414-49FE-938B-279B74655540}"/>
            </a:ext>
          </a:extLst>
        </xdr:cNvPr>
        <xdr:cNvSpPr>
          <a:spLocks noChangeAspect="1"/>
        </xdr:cNvSpPr>
      </xdr:nvSpPr>
      <xdr:spPr>
        <a:xfrm>
          <a:off x="118368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38</xdr:row>
      <xdr:rowOff>69000</xdr:rowOff>
    </xdr:from>
    <xdr:to>
      <xdr:col>18</xdr:col>
      <xdr:colOff>68401</xdr:colOff>
      <xdr:row>43</xdr:row>
      <xdr:rowOff>3751</xdr:rowOff>
    </xdr:to>
    <xdr:sp macro="" textlink="">
      <xdr:nvSpPr>
        <xdr:cNvPr id="245742" name="フリーフォーム: 図形 245741">
          <a:extLst>
            <a:ext uri="{FF2B5EF4-FFF2-40B4-BE49-F238E27FC236}">
              <a16:creationId xmlns:a16="http://schemas.microsoft.com/office/drawing/2014/main" id="{F64C6FA3-BBC2-4FC5-BA18-D361DD7216EB}"/>
            </a:ext>
          </a:extLst>
        </xdr:cNvPr>
        <xdr:cNvSpPr>
          <a:spLocks noChangeAspect="1"/>
        </xdr:cNvSpPr>
      </xdr:nvSpPr>
      <xdr:spPr>
        <a:xfrm>
          <a:off x="118908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43</xdr:row>
      <xdr:rowOff>75750</xdr:rowOff>
    </xdr:from>
    <xdr:to>
      <xdr:col>17</xdr:col>
      <xdr:colOff>466201</xdr:colOff>
      <xdr:row>47</xdr:row>
      <xdr:rowOff>163951</xdr:rowOff>
    </xdr:to>
    <xdr:sp macro="" textlink="">
      <xdr:nvSpPr>
        <xdr:cNvPr id="245743" name="フリーフォーム: 図形 245742">
          <a:extLst>
            <a:ext uri="{FF2B5EF4-FFF2-40B4-BE49-F238E27FC236}">
              <a16:creationId xmlns:a16="http://schemas.microsoft.com/office/drawing/2014/main" id="{AED274A9-60CA-4722-A4DF-6136CEDABABD}"/>
            </a:ext>
          </a:extLst>
        </xdr:cNvPr>
        <xdr:cNvSpPr>
          <a:spLocks noChangeAspect="1"/>
        </xdr:cNvSpPr>
      </xdr:nvSpPr>
      <xdr:spPr>
        <a:xfrm>
          <a:off x="11854800" y="77148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43</xdr:row>
      <xdr:rowOff>93750</xdr:rowOff>
    </xdr:from>
    <xdr:to>
      <xdr:col>17</xdr:col>
      <xdr:colOff>196201</xdr:colOff>
      <xdr:row>48</xdr:row>
      <xdr:rowOff>118501</xdr:rowOff>
    </xdr:to>
    <xdr:sp macro="" textlink="">
      <xdr:nvSpPr>
        <xdr:cNvPr id="245744" name="フリーフォーム: 図形 245743">
          <a:extLst>
            <a:ext uri="{FF2B5EF4-FFF2-40B4-BE49-F238E27FC236}">
              <a16:creationId xmlns:a16="http://schemas.microsoft.com/office/drawing/2014/main" id="{ABB65186-BD5E-4894-9CFF-9C0E39802673}"/>
            </a:ext>
          </a:extLst>
        </xdr:cNvPr>
        <xdr:cNvSpPr>
          <a:spLocks noChangeAspect="1"/>
        </xdr:cNvSpPr>
      </xdr:nvSpPr>
      <xdr:spPr>
        <a:xfrm>
          <a:off x="11620800" y="77328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43</xdr:row>
      <xdr:rowOff>75750</xdr:rowOff>
    </xdr:from>
    <xdr:to>
      <xdr:col>17</xdr:col>
      <xdr:colOff>160201</xdr:colOff>
      <xdr:row>48</xdr:row>
      <xdr:rowOff>10501</xdr:rowOff>
    </xdr:to>
    <xdr:sp macro="" textlink="">
      <xdr:nvSpPr>
        <xdr:cNvPr id="245745" name="フリーフォーム: 図形 245744">
          <a:extLst>
            <a:ext uri="{FF2B5EF4-FFF2-40B4-BE49-F238E27FC236}">
              <a16:creationId xmlns:a16="http://schemas.microsoft.com/office/drawing/2014/main" id="{6B4C17AF-0FDE-4920-BC56-F649D5CF3856}"/>
            </a:ext>
          </a:extLst>
        </xdr:cNvPr>
        <xdr:cNvSpPr>
          <a:spLocks noChangeAspect="1"/>
        </xdr:cNvSpPr>
      </xdr:nvSpPr>
      <xdr:spPr>
        <a:xfrm>
          <a:off x="11296800" y="77148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37</xdr:row>
      <xdr:rowOff>42450</xdr:rowOff>
    </xdr:from>
    <xdr:to>
      <xdr:col>20</xdr:col>
      <xdr:colOff>93601</xdr:colOff>
      <xdr:row>38</xdr:row>
      <xdr:rowOff>15001</xdr:rowOff>
    </xdr:to>
    <xdr:sp macro="" textlink="">
      <xdr:nvSpPr>
        <xdr:cNvPr id="245746" name="フリーフォーム: 図形 245745">
          <a:extLst>
            <a:ext uri="{FF2B5EF4-FFF2-40B4-BE49-F238E27FC236}">
              <a16:creationId xmlns:a16="http://schemas.microsoft.com/office/drawing/2014/main" id="{DB851C2B-9A14-45F1-89AA-3EC9979FD1F2}"/>
            </a:ext>
          </a:extLst>
        </xdr:cNvPr>
        <xdr:cNvSpPr>
          <a:spLocks noChangeAspect="1"/>
        </xdr:cNvSpPr>
      </xdr:nvSpPr>
      <xdr:spPr>
        <a:xfrm>
          <a:off x="133416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37</xdr:row>
      <xdr:rowOff>42450</xdr:rowOff>
    </xdr:from>
    <xdr:to>
      <xdr:col>20</xdr:col>
      <xdr:colOff>633601</xdr:colOff>
      <xdr:row>38</xdr:row>
      <xdr:rowOff>15001</xdr:rowOff>
    </xdr:to>
    <xdr:sp macro="" textlink="">
      <xdr:nvSpPr>
        <xdr:cNvPr id="245747" name="フリーフォーム: 図形 245746">
          <a:extLst>
            <a:ext uri="{FF2B5EF4-FFF2-40B4-BE49-F238E27FC236}">
              <a16:creationId xmlns:a16="http://schemas.microsoft.com/office/drawing/2014/main" id="{9A16BCD4-4AC2-499E-BCB6-2ACF5D75DC71}"/>
            </a:ext>
          </a:extLst>
        </xdr:cNvPr>
        <xdr:cNvSpPr>
          <a:spLocks noChangeAspect="1"/>
        </xdr:cNvSpPr>
      </xdr:nvSpPr>
      <xdr:spPr>
        <a:xfrm>
          <a:off x="138816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37</xdr:row>
      <xdr:rowOff>114450</xdr:rowOff>
    </xdr:from>
    <xdr:to>
      <xdr:col>21</xdr:col>
      <xdr:colOff>19801</xdr:colOff>
      <xdr:row>43</xdr:row>
      <xdr:rowOff>21751</xdr:rowOff>
    </xdr:to>
    <xdr:sp macro="" textlink="">
      <xdr:nvSpPr>
        <xdr:cNvPr id="245748" name="フリーフォーム: 図形 245747">
          <a:extLst>
            <a:ext uri="{FF2B5EF4-FFF2-40B4-BE49-F238E27FC236}">
              <a16:creationId xmlns:a16="http://schemas.microsoft.com/office/drawing/2014/main" id="{B3C1911F-A3AA-4BD2-95EA-841EEDC9E9AF}"/>
            </a:ext>
          </a:extLst>
        </xdr:cNvPr>
        <xdr:cNvSpPr>
          <a:spLocks noChangeAspect="1"/>
        </xdr:cNvSpPr>
      </xdr:nvSpPr>
      <xdr:spPr>
        <a:xfrm>
          <a:off x="141335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43</xdr:row>
      <xdr:rowOff>75750</xdr:rowOff>
    </xdr:from>
    <xdr:to>
      <xdr:col>20</xdr:col>
      <xdr:colOff>525601</xdr:colOff>
      <xdr:row>48</xdr:row>
      <xdr:rowOff>136501</xdr:rowOff>
    </xdr:to>
    <xdr:sp macro="" textlink="">
      <xdr:nvSpPr>
        <xdr:cNvPr id="245749" name="フリーフォーム: 図形 245748">
          <a:extLst>
            <a:ext uri="{FF2B5EF4-FFF2-40B4-BE49-F238E27FC236}">
              <a16:creationId xmlns:a16="http://schemas.microsoft.com/office/drawing/2014/main" id="{044D82EA-7B87-4C7D-8A28-3B4CAF8DBD70}"/>
            </a:ext>
          </a:extLst>
        </xdr:cNvPr>
        <xdr:cNvSpPr>
          <a:spLocks noChangeAspect="1"/>
        </xdr:cNvSpPr>
      </xdr:nvSpPr>
      <xdr:spPr>
        <a:xfrm>
          <a:off x="139535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48</xdr:row>
      <xdr:rowOff>64500</xdr:rowOff>
    </xdr:from>
    <xdr:to>
      <xdr:col>19</xdr:col>
      <xdr:colOff>455401</xdr:colOff>
      <xdr:row>49</xdr:row>
      <xdr:rowOff>37051</xdr:rowOff>
    </xdr:to>
    <xdr:sp macro="" textlink="">
      <xdr:nvSpPr>
        <xdr:cNvPr id="245750" name="フリーフォーム: 図形 245749">
          <a:extLst>
            <a:ext uri="{FF2B5EF4-FFF2-40B4-BE49-F238E27FC236}">
              <a16:creationId xmlns:a16="http://schemas.microsoft.com/office/drawing/2014/main" id="{674890BC-BEC9-4CFA-9FE8-025E7C40D2B3}"/>
            </a:ext>
          </a:extLst>
        </xdr:cNvPr>
        <xdr:cNvSpPr>
          <a:spLocks noChangeAspect="1"/>
        </xdr:cNvSpPr>
      </xdr:nvSpPr>
      <xdr:spPr>
        <a:xfrm>
          <a:off x="129996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48</xdr:row>
      <xdr:rowOff>64500</xdr:rowOff>
    </xdr:from>
    <xdr:to>
      <xdr:col>20</xdr:col>
      <xdr:colOff>273601</xdr:colOff>
      <xdr:row>49</xdr:row>
      <xdr:rowOff>37051</xdr:rowOff>
    </xdr:to>
    <xdr:sp macro="" textlink="">
      <xdr:nvSpPr>
        <xdr:cNvPr id="245751" name="フリーフォーム: 図形 245750">
          <a:extLst>
            <a:ext uri="{FF2B5EF4-FFF2-40B4-BE49-F238E27FC236}">
              <a16:creationId xmlns:a16="http://schemas.microsoft.com/office/drawing/2014/main" id="{50BB9A72-52AC-4235-9141-3FB784B894B0}"/>
            </a:ext>
          </a:extLst>
        </xdr:cNvPr>
        <xdr:cNvSpPr>
          <a:spLocks noChangeAspect="1"/>
        </xdr:cNvSpPr>
      </xdr:nvSpPr>
      <xdr:spPr>
        <a:xfrm>
          <a:off x="135215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43</xdr:row>
      <xdr:rowOff>75750</xdr:rowOff>
    </xdr:from>
    <xdr:to>
      <xdr:col>19</xdr:col>
      <xdr:colOff>203401</xdr:colOff>
      <xdr:row>48</xdr:row>
      <xdr:rowOff>136501</xdr:rowOff>
    </xdr:to>
    <xdr:sp macro="" textlink="">
      <xdr:nvSpPr>
        <xdr:cNvPr id="245752" name="フリーフォーム: 図形 245751">
          <a:extLst>
            <a:ext uri="{FF2B5EF4-FFF2-40B4-BE49-F238E27FC236}">
              <a16:creationId xmlns:a16="http://schemas.microsoft.com/office/drawing/2014/main" id="{3620407E-1BF2-4993-9C32-6599F4D1F9C0}"/>
            </a:ext>
          </a:extLst>
        </xdr:cNvPr>
        <xdr:cNvSpPr>
          <a:spLocks noChangeAspect="1"/>
        </xdr:cNvSpPr>
      </xdr:nvSpPr>
      <xdr:spPr>
        <a:xfrm>
          <a:off x="12945600" y="7714800"/>
          <a:ext cx="288001" cy="918001"/>
        </a:xfrm>
        <a:custGeom>
          <a:avLst/>
          <a:gdLst/>
          <a:ahLst/>
          <a:cxnLst/>
          <a:rect l="0" t="0" r="0" b="0"/>
          <a:pathLst>
            <a:path w="288001" h="918001">
              <a:moveTo>
                <a:pt x="143999" y="54000"/>
              </a:moveTo>
              <a:lnTo>
                <a:pt x="216000" y="0"/>
              </a:lnTo>
              <a:lnTo>
                <a:pt x="288000" y="72000"/>
              </a:lnTo>
              <a:lnTo>
                <a:pt x="143999"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37</xdr:row>
      <xdr:rowOff>114450</xdr:rowOff>
    </xdr:from>
    <xdr:to>
      <xdr:col>19</xdr:col>
      <xdr:colOff>347402</xdr:colOff>
      <xdr:row>43</xdr:row>
      <xdr:rowOff>21751</xdr:rowOff>
    </xdr:to>
    <xdr:sp macro="" textlink="">
      <xdr:nvSpPr>
        <xdr:cNvPr id="245753" name="フリーフォーム: 図形 245752">
          <a:extLst>
            <a:ext uri="{FF2B5EF4-FFF2-40B4-BE49-F238E27FC236}">
              <a16:creationId xmlns:a16="http://schemas.microsoft.com/office/drawing/2014/main" id="{4374518C-DADC-4702-8385-6BBD5A66592D}"/>
            </a:ext>
          </a:extLst>
        </xdr:cNvPr>
        <xdr:cNvSpPr>
          <a:spLocks noChangeAspect="1"/>
        </xdr:cNvSpPr>
      </xdr:nvSpPr>
      <xdr:spPr>
        <a:xfrm>
          <a:off x="131256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42</xdr:row>
      <xdr:rowOff>139200</xdr:rowOff>
    </xdr:from>
    <xdr:to>
      <xdr:col>19</xdr:col>
      <xdr:colOff>617401</xdr:colOff>
      <xdr:row>43</xdr:row>
      <xdr:rowOff>111751</xdr:rowOff>
    </xdr:to>
    <xdr:sp macro="" textlink="">
      <xdr:nvSpPr>
        <xdr:cNvPr id="245754" name="フリーフォーム: 図形 245753">
          <a:extLst>
            <a:ext uri="{FF2B5EF4-FFF2-40B4-BE49-F238E27FC236}">
              <a16:creationId xmlns:a16="http://schemas.microsoft.com/office/drawing/2014/main" id="{966EE28F-DDD2-4AE0-B6CD-4297409E33B2}"/>
            </a:ext>
          </a:extLst>
        </xdr:cNvPr>
        <xdr:cNvSpPr>
          <a:spLocks noChangeAspect="1"/>
        </xdr:cNvSpPr>
      </xdr:nvSpPr>
      <xdr:spPr>
        <a:xfrm>
          <a:off x="131976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42</xdr:row>
      <xdr:rowOff>139200</xdr:rowOff>
    </xdr:from>
    <xdr:to>
      <xdr:col>20</xdr:col>
      <xdr:colOff>435601</xdr:colOff>
      <xdr:row>43</xdr:row>
      <xdr:rowOff>111751</xdr:rowOff>
    </xdr:to>
    <xdr:sp macro="" textlink="">
      <xdr:nvSpPr>
        <xdr:cNvPr id="245755" name="フリーフォーム: 図形 245754">
          <a:extLst>
            <a:ext uri="{FF2B5EF4-FFF2-40B4-BE49-F238E27FC236}">
              <a16:creationId xmlns:a16="http://schemas.microsoft.com/office/drawing/2014/main" id="{FDE0B4F8-5222-4905-B29C-AD3E79724E00}"/>
            </a:ext>
          </a:extLst>
        </xdr:cNvPr>
        <xdr:cNvSpPr>
          <a:spLocks noChangeAspect="1"/>
        </xdr:cNvSpPr>
      </xdr:nvSpPr>
      <xdr:spPr>
        <a:xfrm>
          <a:off x="137015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38</xdr:row>
      <xdr:rowOff>51000</xdr:rowOff>
    </xdr:from>
    <xdr:to>
      <xdr:col>19</xdr:col>
      <xdr:colOff>635401</xdr:colOff>
      <xdr:row>43</xdr:row>
      <xdr:rowOff>3751</xdr:rowOff>
    </xdr:to>
    <xdr:sp macro="" textlink="">
      <xdr:nvSpPr>
        <xdr:cNvPr id="245756" name="フリーフォーム: 図形 245755">
          <a:extLst>
            <a:ext uri="{FF2B5EF4-FFF2-40B4-BE49-F238E27FC236}">
              <a16:creationId xmlns:a16="http://schemas.microsoft.com/office/drawing/2014/main" id="{560CCC13-2614-4267-B9FB-2B77DCF02C20}"/>
            </a:ext>
          </a:extLst>
        </xdr:cNvPr>
        <xdr:cNvSpPr>
          <a:spLocks noChangeAspect="1"/>
        </xdr:cNvSpPr>
      </xdr:nvSpPr>
      <xdr:spPr>
        <a:xfrm>
          <a:off x="133955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37</xdr:row>
      <xdr:rowOff>114450</xdr:rowOff>
    </xdr:from>
    <xdr:to>
      <xdr:col>20</xdr:col>
      <xdr:colOff>201601</xdr:colOff>
      <xdr:row>42</xdr:row>
      <xdr:rowOff>157201</xdr:rowOff>
    </xdr:to>
    <xdr:sp macro="" textlink="">
      <xdr:nvSpPr>
        <xdr:cNvPr id="245757" name="フリーフォーム: 図形 245756">
          <a:extLst>
            <a:ext uri="{FF2B5EF4-FFF2-40B4-BE49-F238E27FC236}">
              <a16:creationId xmlns:a16="http://schemas.microsoft.com/office/drawing/2014/main" id="{1EBD4442-1280-4B4B-97FB-8DAD45E64781}"/>
            </a:ext>
          </a:extLst>
        </xdr:cNvPr>
        <xdr:cNvSpPr>
          <a:spLocks noChangeAspect="1"/>
        </xdr:cNvSpPr>
      </xdr:nvSpPr>
      <xdr:spPr>
        <a:xfrm>
          <a:off x="136656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38</xdr:row>
      <xdr:rowOff>69000</xdr:rowOff>
    </xdr:from>
    <xdr:to>
      <xdr:col>20</xdr:col>
      <xdr:colOff>525601</xdr:colOff>
      <xdr:row>43</xdr:row>
      <xdr:rowOff>3751</xdr:rowOff>
    </xdr:to>
    <xdr:sp macro="" textlink="">
      <xdr:nvSpPr>
        <xdr:cNvPr id="245758" name="フリーフォーム: 図形 245757">
          <a:extLst>
            <a:ext uri="{FF2B5EF4-FFF2-40B4-BE49-F238E27FC236}">
              <a16:creationId xmlns:a16="http://schemas.microsoft.com/office/drawing/2014/main" id="{9D04FD98-834B-470E-9F3B-2EEA553C3BA0}"/>
            </a:ext>
          </a:extLst>
        </xdr:cNvPr>
        <xdr:cNvSpPr>
          <a:spLocks noChangeAspect="1"/>
        </xdr:cNvSpPr>
      </xdr:nvSpPr>
      <xdr:spPr>
        <a:xfrm>
          <a:off x="137196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43</xdr:row>
      <xdr:rowOff>75750</xdr:rowOff>
    </xdr:from>
    <xdr:to>
      <xdr:col>20</xdr:col>
      <xdr:colOff>237600</xdr:colOff>
      <xdr:row>47</xdr:row>
      <xdr:rowOff>163951</xdr:rowOff>
    </xdr:to>
    <xdr:sp macro="" textlink="">
      <xdr:nvSpPr>
        <xdr:cNvPr id="245759" name="フリーフォーム: 図形 245758">
          <a:extLst>
            <a:ext uri="{FF2B5EF4-FFF2-40B4-BE49-F238E27FC236}">
              <a16:creationId xmlns:a16="http://schemas.microsoft.com/office/drawing/2014/main" id="{5A0D23E4-4BA4-4A7F-8980-12C4EA0DF513}"/>
            </a:ext>
          </a:extLst>
        </xdr:cNvPr>
        <xdr:cNvSpPr>
          <a:spLocks noChangeAspect="1"/>
        </xdr:cNvSpPr>
      </xdr:nvSpPr>
      <xdr:spPr>
        <a:xfrm>
          <a:off x="136836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43</xdr:row>
      <xdr:rowOff>93750</xdr:rowOff>
    </xdr:from>
    <xdr:to>
      <xdr:col>19</xdr:col>
      <xdr:colOff>653401</xdr:colOff>
      <xdr:row>48</xdr:row>
      <xdr:rowOff>118501</xdr:rowOff>
    </xdr:to>
    <xdr:sp macro="" textlink="">
      <xdr:nvSpPr>
        <xdr:cNvPr id="245760" name="フリーフォーム: 図形 245759">
          <a:extLst>
            <a:ext uri="{FF2B5EF4-FFF2-40B4-BE49-F238E27FC236}">
              <a16:creationId xmlns:a16="http://schemas.microsoft.com/office/drawing/2014/main" id="{DA515E7E-169A-4C27-96B7-B20EA6CB4AA9}"/>
            </a:ext>
          </a:extLst>
        </xdr:cNvPr>
        <xdr:cNvSpPr>
          <a:spLocks noChangeAspect="1"/>
        </xdr:cNvSpPr>
      </xdr:nvSpPr>
      <xdr:spPr>
        <a:xfrm>
          <a:off x="134496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43</xdr:row>
      <xdr:rowOff>75750</xdr:rowOff>
    </xdr:from>
    <xdr:to>
      <xdr:col>19</xdr:col>
      <xdr:colOff>617401</xdr:colOff>
      <xdr:row>48</xdr:row>
      <xdr:rowOff>10501</xdr:rowOff>
    </xdr:to>
    <xdr:sp macro="" textlink="">
      <xdr:nvSpPr>
        <xdr:cNvPr id="245761" name="フリーフォーム: 図形 245760">
          <a:extLst>
            <a:ext uri="{FF2B5EF4-FFF2-40B4-BE49-F238E27FC236}">
              <a16:creationId xmlns:a16="http://schemas.microsoft.com/office/drawing/2014/main" id="{3F55CA17-3204-48B7-8B31-4F55137B52DF}"/>
            </a:ext>
          </a:extLst>
        </xdr:cNvPr>
        <xdr:cNvSpPr>
          <a:spLocks noChangeAspect="1"/>
        </xdr:cNvSpPr>
      </xdr:nvSpPr>
      <xdr:spPr>
        <a:xfrm>
          <a:off x="131256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37</xdr:row>
      <xdr:rowOff>42450</xdr:rowOff>
    </xdr:from>
    <xdr:to>
      <xdr:col>22</xdr:col>
      <xdr:colOff>550801</xdr:colOff>
      <xdr:row>38</xdr:row>
      <xdr:rowOff>15001</xdr:rowOff>
    </xdr:to>
    <xdr:sp macro="" textlink="">
      <xdr:nvSpPr>
        <xdr:cNvPr id="245762" name="フリーフォーム: 図形 245761">
          <a:extLst>
            <a:ext uri="{FF2B5EF4-FFF2-40B4-BE49-F238E27FC236}">
              <a16:creationId xmlns:a16="http://schemas.microsoft.com/office/drawing/2014/main" id="{5936F458-4406-45C9-9A12-D49A1E2B262B}"/>
            </a:ext>
          </a:extLst>
        </xdr:cNvPr>
        <xdr:cNvSpPr>
          <a:spLocks noChangeAspect="1"/>
        </xdr:cNvSpPr>
      </xdr:nvSpPr>
      <xdr:spPr>
        <a:xfrm>
          <a:off x="151704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37</xdr:row>
      <xdr:rowOff>42450</xdr:rowOff>
    </xdr:from>
    <xdr:to>
      <xdr:col>23</xdr:col>
      <xdr:colOff>405001</xdr:colOff>
      <xdr:row>38</xdr:row>
      <xdr:rowOff>15001</xdr:rowOff>
    </xdr:to>
    <xdr:sp macro="" textlink="">
      <xdr:nvSpPr>
        <xdr:cNvPr id="245763" name="フリーフォーム: 図形 245762">
          <a:extLst>
            <a:ext uri="{FF2B5EF4-FFF2-40B4-BE49-F238E27FC236}">
              <a16:creationId xmlns:a16="http://schemas.microsoft.com/office/drawing/2014/main" id="{6BE643F3-B143-4306-BC83-8BA11589AE93}"/>
            </a:ext>
          </a:extLst>
        </xdr:cNvPr>
        <xdr:cNvSpPr>
          <a:spLocks noChangeAspect="1"/>
        </xdr:cNvSpPr>
      </xdr:nvSpPr>
      <xdr:spPr>
        <a:xfrm>
          <a:off x="157104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37</xdr:row>
      <xdr:rowOff>114450</xdr:rowOff>
    </xdr:from>
    <xdr:to>
      <xdr:col>23</xdr:col>
      <xdr:colOff>477001</xdr:colOff>
      <xdr:row>43</xdr:row>
      <xdr:rowOff>21751</xdr:rowOff>
    </xdr:to>
    <xdr:sp macro="" textlink="">
      <xdr:nvSpPr>
        <xdr:cNvPr id="245764" name="フリーフォーム: 図形 245763">
          <a:extLst>
            <a:ext uri="{FF2B5EF4-FFF2-40B4-BE49-F238E27FC236}">
              <a16:creationId xmlns:a16="http://schemas.microsoft.com/office/drawing/2014/main" id="{95898A4F-13F9-4ECA-89EB-05B5A12D1CB0}"/>
            </a:ext>
          </a:extLst>
        </xdr:cNvPr>
        <xdr:cNvSpPr>
          <a:spLocks noChangeAspect="1"/>
        </xdr:cNvSpPr>
      </xdr:nvSpPr>
      <xdr:spPr>
        <a:xfrm>
          <a:off x="159623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43</xdr:row>
      <xdr:rowOff>75750</xdr:rowOff>
    </xdr:from>
    <xdr:to>
      <xdr:col>23</xdr:col>
      <xdr:colOff>297001</xdr:colOff>
      <xdr:row>48</xdr:row>
      <xdr:rowOff>136501</xdr:rowOff>
    </xdr:to>
    <xdr:sp macro="" textlink="">
      <xdr:nvSpPr>
        <xdr:cNvPr id="245765" name="フリーフォーム: 図形 245764">
          <a:extLst>
            <a:ext uri="{FF2B5EF4-FFF2-40B4-BE49-F238E27FC236}">
              <a16:creationId xmlns:a16="http://schemas.microsoft.com/office/drawing/2014/main" id="{FB3ECD7F-79CA-4DAA-91C7-AA56EA0AED36}"/>
            </a:ext>
          </a:extLst>
        </xdr:cNvPr>
        <xdr:cNvSpPr>
          <a:spLocks noChangeAspect="1"/>
        </xdr:cNvSpPr>
      </xdr:nvSpPr>
      <xdr:spPr>
        <a:xfrm>
          <a:off x="157823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48</xdr:row>
      <xdr:rowOff>64500</xdr:rowOff>
    </xdr:from>
    <xdr:to>
      <xdr:col>22</xdr:col>
      <xdr:colOff>226801</xdr:colOff>
      <xdr:row>49</xdr:row>
      <xdr:rowOff>37051</xdr:rowOff>
    </xdr:to>
    <xdr:sp macro="" textlink="">
      <xdr:nvSpPr>
        <xdr:cNvPr id="245766" name="フリーフォーム: 図形 245765">
          <a:extLst>
            <a:ext uri="{FF2B5EF4-FFF2-40B4-BE49-F238E27FC236}">
              <a16:creationId xmlns:a16="http://schemas.microsoft.com/office/drawing/2014/main" id="{F9762634-9028-4991-93C7-BC18F0042F99}"/>
            </a:ext>
          </a:extLst>
        </xdr:cNvPr>
        <xdr:cNvSpPr>
          <a:spLocks noChangeAspect="1"/>
        </xdr:cNvSpPr>
      </xdr:nvSpPr>
      <xdr:spPr>
        <a:xfrm>
          <a:off x="148284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48</xdr:row>
      <xdr:rowOff>64500</xdr:rowOff>
    </xdr:from>
    <xdr:to>
      <xdr:col>23</xdr:col>
      <xdr:colOff>45001</xdr:colOff>
      <xdr:row>49</xdr:row>
      <xdr:rowOff>37051</xdr:rowOff>
    </xdr:to>
    <xdr:sp macro="" textlink="">
      <xdr:nvSpPr>
        <xdr:cNvPr id="245767" name="フリーフォーム: 図形 245766">
          <a:extLst>
            <a:ext uri="{FF2B5EF4-FFF2-40B4-BE49-F238E27FC236}">
              <a16:creationId xmlns:a16="http://schemas.microsoft.com/office/drawing/2014/main" id="{9120812C-6A70-41C1-AD15-FFE94C9E5B10}"/>
            </a:ext>
          </a:extLst>
        </xdr:cNvPr>
        <xdr:cNvSpPr>
          <a:spLocks noChangeAspect="1"/>
        </xdr:cNvSpPr>
      </xdr:nvSpPr>
      <xdr:spPr>
        <a:xfrm>
          <a:off x="153503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43</xdr:row>
      <xdr:rowOff>75750</xdr:rowOff>
    </xdr:from>
    <xdr:to>
      <xdr:col>21</xdr:col>
      <xdr:colOff>660601</xdr:colOff>
      <xdr:row>48</xdr:row>
      <xdr:rowOff>136501</xdr:rowOff>
    </xdr:to>
    <xdr:sp macro="" textlink="">
      <xdr:nvSpPr>
        <xdr:cNvPr id="245768" name="フリーフォーム: 図形 245767">
          <a:extLst>
            <a:ext uri="{FF2B5EF4-FFF2-40B4-BE49-F238E27FC236}">
              <a16:creationId xmlns:a16="http://schemas.microsoft.com/office/drawing/2014/main" id="{0467AFC5-F359-4783-8C9B-1FCEFB94B4F2}"/>
            </a:ext>
          </a:extLst>
        </xdr:cNvPr>
        <xdr:cNvSpPr>
          <a:spLocks noChangeAspect="1"/>
        </xdr:cNvSpPr>
      </xdr:nvSpPr>
      <xdr:spPr>
        <a:xfrm>
          <a:off x="14774401" y="77148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37</xdr:row>
      <xdr:rowOff>114450</xdr:rowOff>
    </xdr:from>
    <xdr:to>
      <xdr:col>22</xdr:col>
      <xdr:colOff>118802</xdr:colOff>
      <xdr:row>43</xdr:row>
      <xdr:rowOff>21751</xdr:rowOff>
    </xdr:to>
    <xdr:sp macro="" textlink="">
      <xdr:nvSpPr>
        <xdr:cNvPr id="245769" name="フリーフォーム: 図形 245768">
          <a:extLst>
            <a:ext uri="{FF2B5EF4-FFF2-40B4-BE49-F238E27FC236}">
              <a16:creationId xmlns:a16="http://schemas.microsoft.com/office/drawing/2014/main" id="{6641391C-C63B-4D65-8991-3FFCA857771A}"/>
            </a:ext>
          </a:extLst>
        </xdr:cNvPr>
        <xdr:cNvSpPr>
          <a:spLocks noChangeAspect="1"/>
        </xdr:cNvSpPr>
      </xdr:nvSpPr>
      <xdr:spPr>
        <a:xfrm>
          <a:off x="149544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42</xdr:row>
      <xdr:rowOff>139200</xdr:rowOff>
    </xdr:from>
    <xdr:to>
      <xdr:col>22</xdr:col>
      <xdr:colOff>388801</xdr:colOff>
      <xdr:row>43</xdr:row>
      <xdr:rowOff>111751</xdr:rowOff>
    </xdr:to>
    <xdr:sp macro="" textlink="">
      <xdr:nvSpPr>
        <xdr:cNvPr id="245770" name="フリーフォーム: 図形 245769">
          <a:extLst>
            <a:ext uri="{FF2B5EF4-FFF2-40B4-BE49-F238E27FC236}">
              <a16:creationId xmlns:a16="http://schemas.microsoft.com/office/drawing/2014/main" id="{033D562F-9095-41E4-83BF-3BBB94F61659}"/>
            </a:ext>
          </a:extLst>
        </xdr:cNvPr>
        <xdr:cNvSpPr>
          <a:spLocks noChangeAspect="1"/>
        </xdr:cNvSpPr>
      </xdr:nvSpPr>
      <xdr:spPr>
        <a:xfrm>
          <a:off x="150264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42</xdr:row>
      <xdr:rowOff>139200</xdr:rowOff>
    </xdr:from>
    <xdr:to>
      <xdr:col>23</xdr:col>
      <xdr:colOff>207001</xdr:colOff>
      <xdr:row>43</xdr:row>
      <xdr:rowOff>111751</xdr:rowOff>
    </xdr:to>
    <xdr:sp macro="" textlink="">
      <xdr:nvSpPr>
        <xdr:cNvPr id="245771" name="フリーフォーム: 図形 245770">
          <a:extLst>
            <a:ext uri="{FF2B5EF4-FFF2-40B4-BE49-F238E27FC236}">
              <a16:creationId xmlns:a16="http://schemas.microsoft.com/office/drawing/2014/main" id="{4AA6FC50-F580-426F-A723-9BA5F8D5A3D8}"/>
            </a:ext>
          </a:extLst>
        </xdr:cNvPr>
        <xdr:cNvSpPr>
          <a:spLocks noChangeAspect="1"/>
        </xdr:cNvSpPr>
      </xdr:nvSpPr>
      <xdr:spPr>
        <a:xfrm>
          <a:off x="155303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38</xdr:row>
      <xdr:rowOff>51000</xdr:rowOff>
    </xdr:from>
    <xdr:to>
      <xdr:col>22</xdr:col>
      <xdr:colOff>406801</xdr:colOff>
      <xdr:row>43</xdr:row>
      <xdr:rowOff>3751</xdr:rowOff>
    </xdr:to>
    <xdr:sp macro="" textlink="">
      <xdr:nvSpPr>
        <xdr:cNvPr id="245772" name="フリーフォーム: 図形 245771">
          <a:extLst>
            <a:ext uri="{FF2B5EF4-FFF2-40B4-BE49-F238E27FC236}">
              <a16:creationId xmlns:a16="http://schemas.microsoft.com/office/drawing/2014/main" id="{63C336F6-E83B-4511-BF56-2F3F4045AC08}"/>
            </a:ext>
          </a:extLst>
        </xdr:cNvPr>
        <xdr:cNvSpPr>
          <a:spLocks noChangeAspect="1"/>
        </xdr:cNvSpPr>
      </xdr:nvSpPr>
      <xdr:spPr>
        <a:xfrm>
          <a:off x="152243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37</xdr:row>
      <xdr:rowOff>114450</xdr:rowOff>
    </xdr:from>
    <xdr:to>
      <xdr:col>22</xdr:col>
      <xdr:colOff>658801</xdr:colOff>
      <xdr:row>42</xdr:row>
      <xdr:rowOff>157201</xdr:rowOff>
    </xdr:to>
    <xdr:sp macro="" textlink="">
      <xdr:nvSpPr>
        <xdr:cNvPr id="245773" name="フリーフォーム: 図形 245772">
          <a:extLst>
            <a:ext uri="{FF2B5EF4-FFF2-40B4-BE49-F238E27FC236}">
              <a16:creationId xmlns:a16="http://schemas.microsoft.com/office/drawing/2014/main" id="{AE0991F6-C506-4921-8ABF-548211FFA51F}"/>
            </a:ext>
          </a:extLst>
        </xdr:cNvPr>
        <xdr:cNvSpPr>
          <a:spLocks noChangeAspect="1"/>
        </xdr:cNvSpPr>
      </xdr:nvSpPr>
      <xdr:spPr>
        <a:xfrm>
          <a:off x="154944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38</xdr:row>
      <xdr:rowOff>69000</xdr:rowOff>
    </xdr:from>
    <xdr:to>
      <xdr:col>23</xdr:col>
      <xdr:colOff>297001</xdr:colOff>
      <xdr:row>43</xdr:row>
      <xdr:rowOff>3751</xdr:rowOff>
    </xdr:to>
    <xdr:sp macro="" textlink="">
      <xdr:nvSpPr>
        <xdr:cNvPr id="245774" name="フリーフォーム: 図形 245773">
          <a:extLst>
            <a:ext uri="{FF2B5EF4-FFF2-40B4-BE49-F238E27FC236}">
              <a16:creationId xmlns:a16="http://schemas.microsoft.com/office/drawing/2014/main" id="{697865D1-65BB-48F9-A1CC-6BB3FCE9A499}"/>
            </a:ext>
          </a:extLst>
        </xdr:cNvPr>
        <xdr:cNvSpPr>
          <a:spLocks noChangeAspect="1"/>
        </xdr:cNvSpPr>
      </xdr:nvSpPr>
      <xdr:spPr>
        <a:xfrm>
          <a:off x="155484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43</xdr:row>
      <xdr:rowOff>75750</xdr:rowOff>
    </xdr:from>
    <xdr:to>
      <xdr:col>23</xdr:col>
      <xdr:colOff>9000</xdr:colOff>
      <xdr:row>47</xdr:row>
      <xdr:rowOff>163951</xdr:rowOff>
    </xdr:to>
    <xdr:sp macro="" textlink="">
      <xdr:nvSpPr>
        <xdr:cNvPr id="245775" name="フリーフォーム: 図形 245774">
          <a:extLst>
            <a:ext uri="{FF2B5EF4-FFF2-40B4-BE49-F238E27FC236}">
              <a16:creationId xmlns:a16="http://schemas.microsoft.com/office/drawing/2014/main" id="{27E7BE64-0FA6-4D08-9C74-9A184F48E879}"/>
            </a:ext>
          </a:extLst>
        </xdr:cNvPr>
        <xdr:cNvSpPr>
          <a:spLocks noChangeAspect="1"/>
        </xdr:cNvSpPr>
      </xdr:nvSpPr>
      <xdr:spPr>
        <a:xfrm>
          <a:off x="155124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43</xdr:row>
      <xdr:rowOff>93750</xdr:rowOff>
    </xdr:from>
    <xdr:to>
      <xdr:col>22</xdr:col>
      <xdr:colOff>424801</xdr:colOff>
      <xdr:row>48</xdr:row>
      <xdr:rowOff>118501</xdr:rowOff>
    </xdr:to>
    <xdr:sp macro="" textlink="">
      <xdr:nvSpPr>
        <xdr:cNvPr id="245776" name="フリーフォーム: 図形 245775">
          <a:extLst>
            <a:ext uri="{FF2B5EF4-FFF2-40B4-BE49-F238E27FC236}">
              <a16:creationId xmlns:a16="http://schemas.microsoft.com/office/drawing/2014/main" id="{31861ED8-0B9A-4596-8C3E-4E3D2F0CF49C}"/>
            </a:ext>
          </a:extLst>
        </xdr:cNvPr>
        <xdr:cNvSpPr>
          <a:spLocks noChangeAspect="1"/>
        </xdr:cNvSpPr>
      </xdr:nvSpPr>
      <xdr:spPr>
        <a:xfrm>
          <a:off x="152784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43</xdr:row>
      <xdr:rowOff>75750</xdr:rowOff>
    </xdr:from>
    <xdr:to>
      <xdr:col>22</xdr:col>
      <xdr:colOff>388801</xdr:colOff>
      <xdr:row>48</xdr:row>
      <xdr:rowOff>10501</xdr:rowOff>
    </xdr:to>
    <xdr:sp macro="" textlink="">
      <xdr:nvSpPr>
        <xdr:cNvPr id="245777" name="フリーフォーム: 図形 245776">
          <a:extLst>
            <a:ext uri="{FF2B5EF4-FFF2-40B4-BE49-F238E27FC236}">
              <a16:creationId xmlns:a16="http://schemas.microsoft.com/office/drawing/2014/main" id="{32B8F36B-7B85-49DF-A1B7-5DBCC5EE5CC5}"/>
            </a:ext>
          </a:extLst>
        </xdr:cNvPr>
        <xdr:cNvSpPr>
          <a:spLocks noChangeAspect="1"/>
        </xdr:cNvSpPr>
      </xdr:nvSpPr>
      <xdr:spPr>
        <a:xfrm>
          <a:off x="149544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37</xdr:row>
      <xdr:rowOff>42450</xdr:rowOff>
    </xdr:from>
    <xdr:to>
      <xdr:col>25</xdr:col>
      <xdr:colOff>322201</xdr:colOff>
      <xdr:row>38</xdr:row>
      <xdr:rowOff>15001</xdr:rowOff>
    </xdr:to>
    <xdr:sp macro="" textlink="">
      <xdr:nvSpPr>
        <xdr:cNvPr id="245778" name="フリーフォーム: 図形 245777">
          <a:extLst>
            <a:ext uri="{FF2B5EF4-FFF2-40B4-BE49-F238E27FC236}">
              <a16:creationId xmlns:a16="http://schemas.microsoft.com/office/drawing/2014/main" id="{6D5EC2CC-AFF5-4BAA-9C13-DA531E4DA5DB}"/>
            </a:ext>
          </a:extLst>
        </xdr:cNvPr>
        <xdr:cNvSpPr>
          <a:spLocks noChangeAspect="1"/>
        </xdr:cNvSpPr>
      </xdr:nvSpPr>
      <xdr:spPr>
        <a:xfrm>
          <a:off x="169992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37</xdr:row>
      <xdr:rowOff>42450</xdr:rowOff>
    </xdr:from>
    <xdr:to>
      <xdr:col>26</xdr:col>
      <xdr:colOff>176401</xdr:colOff>
      <xdr:row>38</xdr:row>
      <xdr:rowOff>15001</xdr:rowOff>
    </xdr:to>
    <xdr:sp macro="" textlink="">
      <xdr:nvSpPr>
        <xdr:cNvPr id="245779" name="フリーフォーム: 図形 245778">
          <a:extLst>
            <a:ext uri="{FF2B5EF4-FFF2-40B4-BE49-F238E27FC236}">
              <a16:creationId xmlns:a16="http://schemas.microsoft.com/office/drawing/2014/main" id="{3C24916B-124B-4664-AD42-176CFDDDEFA6}"/>
            </a:ext>
          </a:extLst>
        </xdr:cNvPr>
        <xdr:cNvSpPr>
          <a:spLocks noChangeAspect="1"/>
        </xdr:cNvSpPr>
      </xdr:nvSpPr>
      <xdr:spPr>
        <a:xfrm>
          <a:off x="175392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37</xdr:row>
      <xdr:rowOff>114450</xdr:rowOff>
    </xdr:from>
    <xdr:to>
      <xdr:col>26</xdr:col>
      <xdr:colOff>248401</xdr:colOff>
      <xdr:row>43</xdr:row>
      <xdr:rowOff>21751</xdr:rowOff>
    </xdr:to>
    <xdr:sp macro="" textlink="">
      <xdr:nvSpPr>
        <xdr:cNvPr id="245780" name="フリーフォーム: 図形 245779">
          <a:extLst>
            <a:ext uri="{FF2B5EF4-FFF2-40B4-BE49-F238E27FC236}">
              <a16:creationId xmlns:a16="http://schemas.microsoft.com/office/drawing/2014/main" id="{33577317-9370-498A-834B-F6ACFEF1225E}"/>
            </a:ext>
          </a:extLst>
        </xdr:cNvPr>
        <xdr:cNvSpPr>
          <a:spLocks noChangeAspect="1"/>
        </xdr:cNvSpPr>
      </xdr:nvSpPr>
      <xdr:spPr>
        <a:xfrm>
          <a:off x="177911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43</xdr:row>
      <xdr:rowOff>75750</xdr:rowOff>
    </xdr:from>
    <xdr:to>
      <xdr:col>26</xdr:col>
      <xdr:colOff>68401</xdr:colOff>
      <xdr:row>48</xdr:row>
      <xdr:rowOff>136501</xdr:rowOff>
    </xdr:to>
    <xdr:sp macro="" textlink="">
      <xdr:nvSpPr>
        <xdr:cNvPr id="245781" name="フリーフォーム: 図形 245780">
          <a:extLst>
            <a:ext uri="{FF2B5EF4-FFF2-40B4-BE49-F238E27FC236}">
              <a16:creationId xmlns:a16="http://schemas.microsoft.com/office/drawing/2014/main" id="{06A8F4AF-4D6E-4E8B-8916-E7C368887C5B}"/>
            </a:ext>
          </a:extLst>
        </xdr:cNvPr>
        <xdr:cNvSpPr>
          <a:spLocks noChangeAspect="1"/>
        </xdr:cNvSpPr>
      </xdr:nvSpPr>
      <xdr:spPr>
        <a:xfrm>
          <a:off x="176111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48</xdr:row>
      <xdr:rowOff>64500</xdr:rowOff>
    </xdr:from>
    <xdr:to>
      <xdr:col>24</xdr:col>
      <xdr:colOff>684001</xdr:colOff>
      <xdr:row>49</xdr:row>
      <xdr:rowOff>37051</xdr:rowOff>
    </xdr:to>
    <xdr:sp macro="" textlink="">
      <xdr:nvSpPr>
        <xdr:cNvPr id="245782" name="フリーフォーム: 図形 245781">
          <a:extLst>
            <a:ext uri="{FF2B5EF4-FFF2-40B4-BE49-F238E27FC236}">
              <a16:creationId xmlns:a16="http://schemas.microsoft.com/office/drawing/2014/main" id="{6AF4E535-DF0D-4941-9D90-7BB278BDACEE}"/>
            </a:ext>
          </a:extLst>
        </xdr:cNvPr>
        <xdr:cNvSpPr>
          <a:spLocks noChangeAspect="1"/>
        </xdr:cNvSpPr>
      </xdr:nvSpPr>
      <xdr:spPr>
        <a:xfrm>
          <a:off x="166572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48</xdr:row>
      <xdr:rowOff>64500</xdr:rowOff>
    </xdr:from>
    <xdr:to>
      <xdr:col>25</xdr:col>
      <xdr:colOff>502201</xdr:colOff>
      <xdr:row>49</xdr:row>
      <xdr:rowOff>37051</xdr:rowOff>
    </xdr:to>
    <xdr:sp macro="" textlink="">
      <xdr:nvSpPr>
        <xdr:cNvPr id="245783" name="フリーフォーム: 図形 245782">
          <a:extLst>
            <a:ext uri="{FF2B5EF4-FFF2-40B4-BE49-F238E27FC236}">
              <a16:creationId xmlns:a16="http://schemas.microsoft.com/office/drawing/2014/main" id="{A5C2BE39-C6ED-45D2-9677-A5E1CD3F6762}"/>
            </a:ext>
          </a:extLst>
        </xdr:cNvPr>
        <xdr:cNvSpPr>
          <a:spLocks noChangeAspect="1"/>
        </xdr:cNvSpPr>
      </xdr:nvSpPr>
      <xdr:spPr>
        <a:xfrm>
          <a:off x="171791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43</xdr:row>
      <xdr:rowOff>75750</xdr:rowOff>
    </xdr:from>
    <xdr:to>
      <xdr:col>24</xdr:col>
      <xdr:colOff>432001</xdr:colOff>
      <xdr:row>48</xdr:row>
      <xdr:rowOff>136501</xdr:rowOff>
    </xdr:to>
    <xdr:sp macro="" textlink="">
      <xdr:nvSpPr>
        <xdr:cNvPr id="245784" name="フリーフォーム: 図形 245783">
          <a:extLst>
            <a:ext uri="{FF2B5EF4-FFF2-40B4-BE49-F238E27FC236}">
              <a16:creationId xmlns:a16="http://schemas.microsoft.com/office/drawing/2014/main" id="{5E37C847-63BE-47B9-9C95-F32334CFCBD9}"/>
            </a:ext>
          </a:extLst>
        </xdr:cNvPr>
        <xdr:cNvSpPr>
          <a:spLocks noChangeAspect="1"/>
        </xdr:cNvSpPr>
      </xdr:nvSpPr>
      <xdr:spPr>
        <a:xfrm>
          <a:off x="16603201" y="77148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37</xdr:row>
      <xdr:rowOff>114450</xdr:rowOff>
    </xdr:from>
    <xdr:to>
      <xdr:col>24</xdr:col>
      <xdr:colOff>576002</xdr:colOff>
      <xdr:row>43</xdr:row>
      <xdr:rowOff>21751</xdr:rowOff>
    </xdr:to>
    <xdr:sp macro="" textlink="">
      <xdr:nvSpPr>
        <xdr:cNvPr id="245785" name="フリーフォーム: 図形 245784">
          <a:extLst>
            <a:ext uri="{FF2B5EF4-FFF2-40B4-BE49-F238E27FC236}">
              <a16:creationId xmlns:a16="http://schemas.microsoft.com/office/drawing/2014/main" id="{180AA14C-BD7D-40D7-A5BC-9C1B7094E294}"/>
            </a:ext>
          </a:extLst>
        </xdr:cNvPr>
        <xdr:cNvSpPr>
          <a:spLocks noChangeAspect="1"/>
        </xdr:cNvSpPr>
      </xdr:nvSpPr>
      <xdr:spPr>
        <a:xfrm>
          <a:off x="167832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42</xdr:row>
      <xdr:rowOff>139200</xdr:rowOff>
    </xdr:from>
    <xdr:to>
      <xdr:col>25</xdr:col>
      <xdr:colOff>160201</xdr:colOff>
      <xdr:row>43</xdr:row>
      <xdr:rowOff>111751</xdr:rowOff>
    </xdr:to>
    <xdr:sp macro="" textlink="">
      <xdr:nvSpPr>
        <xdr:cNvPr id="245786" name="フリーフォーム: 図形 245785">
          <a:extLst>
            <a:ext uri="{FF2B5EF4-FFF2-40B4-BE49-F238E27FC236}">
              <a16:creationId xmlns:a16="http://schemas.microsoft.com/office/drawing/2014/main" id="{F2B0DB8C-850F-44BC-80AF-B0B252C497BE}"/>
            </a:ext>
          </a:extLst>
        </xdr:cNvPr>
        <xdr:cNvSpPr>
          <a:spLocks noChangeAspect="1"/>
        </xdr:cNvSpPr>
      </xdr:nvSpPr>
      <xdr:spPr>
        <a:xfrm>
          <a:off x="168552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42</xdr:row>
      <xdr:rowOff>139200</xdr:rowOff>
    </xdr:from>
    <xdr:to>
      <xdr:col>25</xdr:col>
      <xdr:colOff>664201</xdr:colOff>
      <xdr:row>43</xdr:row>
      <xdr:rowOff>111751</xdr:rowOff>
    </xdr:to>
    <xdr:sp macro="" textlink="">
      <xdr:nvSpPr>
        <xdr:cNvPr id="245787" name="フリーフォーム: 図形 245786">
          <a:extLst>
            <a:ext uri="{FF2B5EF4-FFF2-40B4-BE49-F238E27FC236}">
              <a16:creationId xmlns:a16="http://schemas.microsoft.com/office/drawing/2014/main" id="{628B1137-4480-4E1F-964D-4D599020056B}"/>
            </a:ext>
          </a:extLst>
        </xdr:cNvPr>
        <xdr:cNvSpPr>
          <a:spLocks noChangeAspect="1"/>
        </xdr:cNvSpPr>
      </xdr:nvSpPr>
      <xdr:spPr>
        <a:xfrm>
          <a:off x="173591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38</xdr:row>
      <xdr:rowOff>51000</xdr:rowOff>
    </xdr:from>
    <xdr:to>
      <xdr:col>25</xdr:col>
      <xdr:colOff>178201</xdr:colOff>
      <xdr:row>43</xdr:row>
      <xdr:rowOff>3751</xdr:rowOff>
    </xdr:to>
    <xdr:sp macro="" textlink="">
      <xdr:nvSpPr>
        <xdr:cNvPr id="245788" name="フリーフォーム: 図形 245787">
          <a:extLst>
            <a:ext uri="{FF2B5EF4-FFF2-40B4-BE49-F238E27FC236}">
              <a16:creationId xmlns:a16="http://schemas.microsoft.com/office/drawing/2014/main" id="{6D76E8F4-1E29-4828-9FF3-AC525336928D}"/>
            </a:ext>
          </a:extLst>
        </xdr:cNvPr>
        <xdr:cNvSpPr>
          <a:spLocks noChangeAspect="1"/>
        </xdr:cNvSpPr>
      </xdr:nvSpPr>
      <xdr:spPr>
        <a:xfrm>
          <a:off x="170531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37</xdr:row>
      <xdr:rowOff>114450</xdr:rowOff>
    </xdr:from>
    <xdr:to>
      <xdr:col>25</xdr:col>
      <xdr:colOff>430201</xdr:colOff>
      <xdr:row>42</xdr:row>
      <xdr:rowOff>157201</xdr:rowOff>
    </xdr:to>
    <xdr:sp macro="" textlink="">
      <xdr:nvSpPr>
        <xdr:cNvPr id="245789" name="フリーフォーム: 図形 245788">
          <a:extLst>
            <a:ext uri="{FF2B5EF4-FFF2-40B4-BE49-F238E27FC236}">
              <a16:creationId xmlns:a16="http://schemas.microsoft.com/office/drawing/2014/main" id="{33BE27CF-1182-43B8-9236-99596313C8F8}"/>
            </a:ext>
          </a:extLst>
        </xdr:cNvPr>
        <xdr:cNvSpPr>
          <a:spLocks noChangeAspect="1"/>
        </xdr:cNvSpPr>
      </xdr:nvSpPr>
      <xdr:spPr>
        <a:xfrm>
          <a:off x="173232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38</xdr:row>
      <xdr:rowOff>69000</xdr:rowOff>
    </xdr:from>
    <xdr:to>
      <xdr:col>26</xdr:col>
      <xdr:colOff>68401</xdr:colOff>
      <xdr:row>43</xdr:row>
      <xdr:rowOff>3751</xdr:rowOff>
    </xdr:to>
    <xdr:sp macro="" textlink="">
      <xdr:nvSpPr>
        <xdr:cNvPr id="245790" name="フリーフォーム: 図形 245789">
          <a:extLst>
            <a:ext uri="{FF2B5EF4-FFF2-40B4-BE49-F238E27FC236}">
              <a16:creationId xmlns:a16="http://schemas.microsoft.com/office/drawing/2014/main" id="{CD30ADDA-B3BF-47D7-8718-E870960C0016}"/>
            </a:ext>
          </a:extLst>
        </xdr:cNvPr>
        <xdr:cNvSpPr>
          <a:spLocks noChangeAspect="1"/>
        </xdr:cNvSpPr>
      </xdr:nvSpPr>
      <xdr:spPr>
        <a:xfrm>
          <a:off x="173772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43</xdr:row>
      <xdr:rowOff>75750</xdr:rowOff>
    </xdr:from>
    <xdr:to>
      <xdr:col>25</xdr:col>
      <xdr:colOff>466200</xdr:colOff>
      <xdr:row>47</xdr:row>
      <xdr:rowOff>163951</xdr:rowOff>
    </xdr:to>
    <xdr:sp macro="" textlink="">
      <xdr:nvSpPr>
        <xdr:cNvPr id="245791" name="フリーフォーム: 図形 245790">
          <a:extLst>
            <a:ext uri="{FF2B5EF4-FFF2-40B4-BE49-F238E27FC236}">
              <a16:creationId xmlns:a16="http://schemas.microsoft.com/office/drawing/2014/main" id="{D1DC9764-88D4-415D-899C-A4D8A43A2D2A}"/>
            </a:ext>
          </a:extLst>
        </xdr:cNvPr>
        <xdr:cNvSpPr>
          <a:spLocks noChangeAspect="1"/>
        </xdr:cNvSpPr>
      </xdr:nvSpPr>
      <xdr:spPr>
        <a:xfrm>
          <a:off x="173412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43</xdr:row>
      <xdr:rowOff>93750</xdr:rowOff>
    </xdr:from>
    <xdr:to>
      <xdr:col>25</xdr:col>
      <xdr:colOff>196201</xdr:colOff>
      <xdr:row>48</xdr:row>
      <xdr:rowOff>118501</xdr:rowOff>
    </xdr:to>
    <xdr:sp macro="" textlink="">
      <xdr:nvSpPr>
        <xdr:cNvPr id="245792" name="フリーフォーム: 図形 245791">
          <a:extLst>
            <a:ext uri="{FF2B5EF4-FFF2-40B4-BE49-F238E27FC236}">
              <a16:creationId xmlns:a16="http://schemas.microsoft.com/office/drawing/2014/main" id="{FA131573-84C2-41F0-B754-97BEAD4F40A9}"/>
            </a:ext>
          </a:extLst>
        </xdr:cNvPr>
        <xdr:cNvSpPr>
          <a:spLocks noChangeAspect="1"/>
        </xdr:cNvSpPr>
      </xdr:nvSpPr>
      <xdr:spPr>
        <a:xfrm>
          <a:off x="171072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43</xdr:row>
      <xdr:rowOff>75750</xdr:rowOff>
    </xdr:from>
    <xdr:to>
      <xdr:col>25</xdr:col>
      <xdr:colOff>160201</xdr:colOff>
      <xdr:row>48</xdr:row>
      <xdr:rowOff>10501</xdr:rowOff>
    </xdr:to>
    <xdr:sp macro="" textlink="">
      <xdr:nvSpPr>
        <xdr:cNvPr id="245793" name="フリーフォーム: 図形 245792">
          <a:extLst>
            <a:ext uri="{FF2B5EF4-FFF2-40B4-BE49-F238E27FC236}">
              <a16:creationId xmlns:a16="http://schemas.microsoft.com/office/drawing/2014/main" id="{256A27BE-4FDD-4394-A460-73858E272BCB}"/>
            </a:ext>
          </a:extLst>
        </xdr:cNvPr>
        <xdr:cNvSpPr>
          <a:spLocks noChangeAspect="1"/>
        </xdr:cNvSpPr>
      </xdr:nvSpPr>
      <xdr:spPr>
        <a:xfrm>
          <a:off x="167832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37</xdr:row>
      <xdr:rowOff>42450</xdr:rowOff>
    </xdr:from>
    <xdr:to>
      <xdr:col>28</xdr:col>
      <xdr:colOff>93601</xdr:colOff>
      <xdr:row>38</xdr:row>
      <xdr:rowOff>15001</xdr:rowOff>
    </xdr:to>
    <xdr:sp macro="" textlink="">
      <xdr:nvSpPr>
        <xdr:cNvPr id="245794" name="フリーフォーム: 図形 245793">
          <a:extLst>
            <a:ext uri="{FF2B5EF4-FFF2-40B4-BE49-F238E27FC236}">
              <a16:creationId xmlns:a16="http://schemas.microsoft.com/office/drawing/2014/main" id="{FCC559B3-0DAC-4E18-A5D4-E9790200B529}"/>
            </a:ext>
          </a:extLst>
        </xdr:cNvPr>
        <xdr:cNvSpPr>
          <a:spLocks noChangeAspect="1"/>
        </xdr:cNvSpPr>
      </xdr:nvSpPr>
      <xdr:spPr>
        <a:xfrm>
          <a:off x="188280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37</xdr:row>
      <xdr:rowOff>42450</xdr:rowOff>
    </xdr:from>
    <xdr:to>
      <xdr:col>28</xdr:col>
      <xdr:colOff>633601</xdr:colOff>
      <xdr:row>38</xdr:row>
      <xdr:rowOff>15001</xdr:rowOff>
    </xdr:to>
    <xdr:sp macro="" textlink="">
      <xdr:nvSpPr>
        <xdr:cNvPr id="245795" name="フリーフォーム: 図形 245794">
          <a:extLst>
            <a:ext uri="{FF2B5EF4-FFF2-40B4-BE49-F238E27FC236}">
              <a16:creationId xmlns:a16="http://schemas.microsoft.com/office/drawing/2014/main" id="{473CE475-4871-4F88-8987-BB5F0E7A1006}"/>
            </a:ext>
          </a:extLst>
        </xdr:cNvPr>
        <xdr:cNvSpPr>
          <a:spLocks noChangeAspect="1"/>
        </xdr:cNvSpPr>
      </xdr:nvSpPr>
      <xdr:spPr>
        <a:xfrm>
          <a:off x="193680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37</xdr:row>
      <xdr:rowOff>114450</xdr:rowOff>
    </xdr:from>
    <xdr:to>
      <xdr:col>29</xdr:col>
      <xdr:colOff>19801</xdr:colOff>
      <xdr:row>43</xdr:row>
      <xdr:rowOff>21751</xdr:rowOff>
    </xdr:to>
    <xdr:sp macro="" textlink="">
      <xdr:nvSpPr>
        <xdr:cNvPr id="245796" name="フリーフォーム: 図形 245795">
          <a:extLst>
            <a:ext uri="{FF2B5EF4-FFF2-40B4-BE49-F238E27FC236}">
              <a16:creationId xmlns:a16="http://schemas.microsoft.com/office/drawing/2014/main" id="{95275B56-8164-469C-BBC8-33C8E3D803BC}"/>
            </a:ext>
          </a:extLst>
        </xdr:cNvPr>
        <xdr:cNvSpPr>
          <a:spLocks noChangeAspect="1"/>
        </xdr:cNvSpPr>
      </xdr:nvSpPr>
      <xdr:spPr>
        <a:xfrm>
          <a:off x="196199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43</xdr:row>
      <xdr:rowOff>75750</xdr:rowOff>
    </xdr:from>
    <xdr:to>
      <xdr:col>28</xdr:col>
      <xdr:colOff>525601</xdr:colOff>
      <xdr:row>48</xdr:row>
      <xdr:rowOff>136501</xdr:rowOff>
    </xdr:to>
    <xdr:sp macro="" textlink="">
      <xdr:nvSpPr>
        <xdr:cNvPr id="245797" name="フリーフォーム: 図形 245796">
          <a:extLst>
            <a:ext uri="{FF2B5EF4-FFF2-40B4-BE49-F238E27FC236}">
              <a16:creationId xmlns:a16="http://schemas.microsoft.com/office/drawing/2014/main" id="{C80541F4-6170-4EBF-AB51-D74B8597E7A3}"/>
            </a:ext>
          </a:extLst>
        </xdr:cNvPr>
        <xdr:cNvSpPr>
          <a:spLocks noChangeAspect="1"/>
        </xdr:cNvSpPr>
      </xdr:nvSpPr>
      <xdr:spPr>
        <a:xfrm>
          <a:off x="194399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48</xdr:row>
      <xdr:rowOff>64500</xdr:rowOff>
    </xdr:from>
    <xdr:to>
      <xdr:col>27</xdr:col>
      <xdr:colOff>455401</xdr:colOff>
      <xdr:row>49</xdr:row>
      <xdr:rowOff>37051</xdr:rowOff>
    </xdr:to>
    <xdr:sp macro="" textlink="">
      <xdr:nvSpPr>
        <xdr:cNvPr id="245798" name="フリーフォーム: 図形 245797">
          <a:extLst>
            <a:ext uri="{FF2B5EF4-FFF2-40B4-BE49-F238E27FC236}">
              <a16:creationId xmlns:a16="http://schemas.microsoft.com/office/drawing/2014/main" id="{050B4667-5FBD-45EA-AC3E-DEDF153B7960}"/>
            </a:ext>
          </a:extLst>
        </xdr:cNvPr>
        <xdr:cNvSpPr>
          <a:spLocks noChangeAspect="1"/>
        </xdr:cNvSpPr>
      </xdr:nvSpPr>
      <xdr:spPr>
        <a:xfrm>
          <a:off x="184860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48</xdr:row>
      <xdr:rowOff>64500</xdr:rowOff>
    </xdr:from>
    <xdr:to>
      <xdr:col>28</xdr:col>
      <xdr:colOff>273601</xdr:colOff>
      <xdr:row>49</xdr:row>
      <xdr:rowOff>37051</xdr:rowOff>
    </xdr:to>
    <xdr:sp macro="" textlink="">
      <xdr:nvSpPr>
        <xdr:cNvPr id="245799" name="フリーフォーム: 図形 245798">
          <a:extLst>
            <a:ext uri="{FF2B5EF4-FFF2-40B4-BE49-F238E27FC236}">
              <a16:creationId xmlns:a16="http://schemas.microsoft.com/office/drawing/2014/main" id="{E6CA93F9-F7D4-4580-9731-3551B2627A4D}"/>
            </a:ext>
          </a:extLst>
        </xdr:cNvPr>
        <xdr:cNvSpPr>
          <a:spLocks noChangeAspect="1"/>
        </xdr:cNvSpPr>
      </xdr:nvSpPr>
      <xdr:spPr>
        <a:xfrm>
          <a:off x="190079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43</xdr:row>
      <xdr:rowOff>75750</xdr:rowOff>
    </xdr:from>
    <xdr:to>
      <xdr:col>27</xdr:col>
      <xdr:colOff>203401</xdr:colOff>
      <xdr:row>48</xdr:row>
      <xdr:rowOff>136501</xdr:rowOff>
    </xdr:to>
    <xdr:sp macro="" textlink="">
      <xdr:nvSpPr>
        <xdr:cNvPr id="245800" name="フリーフォーム: 図形 245799">
          <a:extLst>
            <a:ext uri="{FF2B5EF4-FFF2-40B4-BE49-F238E27FC236}">
              <a16:creationId xmlns:a16="http://schemas.microsoft.com/office/drawing/2014/main" id="{2F0C0348-90D8-4FB6-B9F9-97E770554360}"/>
            </a:ext>
          </a:extLst>
        </xdr:cNvPr>
        <xdr:cNvSpPr>
          <a:spLocks noChangeAspect="1"/>
        </xdr:cNvSpPr>
      </xdr:nvSpPr>
      <xdr:spPr>
        <a:xfrm>
          <a:off x="18432001" y="77148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37</xdr:row>
      <xdr:rowOff>114450</xdr:rowOff>
    </xdr:from>
    <xdr:to>
      <xdr:col>27</xdr:col>
      <xdr:colOff>347402</xdr:colOff>
      <xdr:row>43</xdr:row>
      <xdr:rowOff>21751</xdr:rowOff>
    </xdr:to>
    <xdr:sp macro="" textlink="">
      <xdr:nvSpPr>
        <xdr:cNvPr id="245801" name="フリーフォーム: 図形 245800">
          <a:extLst>
            <a:ext uri="{FF2B5EF4-FFF2-40B4-BE49-F238E27FC236}">
              <a16:creationId xmlns:a16="http://schemas.microsoft.com/office/drawing/2014/main" id="{262C1EE7-9F0D-40FD-9F62-6557C9A4E071}"/>
            </a:ext>
          </a:extLst>
        </xdr:cNvPr>
        <xdr:cNvSpPr>
          <a:spLocks noChangeAspect="1"/>
        </xdr:cNvSpPr>
      </xdr:nvSpPr>
      <xdr:spPr>
        <a:xfrm>
          <a:off x="186120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42</xdr:row>
      <xdr:rowOff>139200</xdr:rowOff>
    </xdr:from>
    <xdr:to>
      <xdr:col>27</xdr:col>
      <xdr:colOff>617401</xdr:colOff>
      <xdr:row>43</xdr:row>
      <xdr:rowOff>111751</xdr:rowOff>
    </xdr:to>
    <xdr:sp macro="" textlink="">
      <xdr:nvSpPr>
        <xdr:cNvPr id="245802" name="フリーフォーム: 図形 245801">
          <a:extLst>
            <a:ext uri="{FF2B5EF4-FFF2-40B4-BE49-F238E27FC236}">
              <a16:creationId xmlns:a16="http://schemas.microsoft.com/office/drawing/2014/main" id="{E4741296-EB95-42FA-9461-BC57DE270D21}"/>
            </a:ext>
          </a:extLst>
        </xdr:cNvPr>
        <xdr:cNvSpPr>
          <a:spLocks noChangeAspect="1"/>
        </xdr:cNvSpPr>
      </xdr:nvSpPr>
      <xdr:spPr>
        <a:xfrm>
          <a:off x="186840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42</xdr:row>
      <xdr:rowOff>139200</xdr:rowOff>
    </xdr:from>
    <xdr:to>
      <xdr:col>28</xdr:col>
      <xdr:colOff>435601</xdr:colOff>
      <xdr:row>43</xdr:row>
      <xdr:rowOff>111751</xdr:rowOff>
    </xdr:to>
    <xdr:sp macro="" textlink="">
      <xdr:nvSpPr>
        <xdr:cNvPr id="245803" name="フリーフォーム: 図形 245802">
          <a:extLst>
            <a:ext uri="{FF2B5EF4-FFF2-40B4-BE49-F238E27FC236}">
              <a16:creationId xmlns:a16="http://schemas.microsoft.com/office/drawing/2014/main" id="{F3130E5A-3C96-4016-87FC-2FFB7411850F}"/>
            </a:ext>
          </a:extLst>
        </xdr:cNvPr>
        <xdr:cNvSpPr>
          <a:spLocks noChangeAspect="1"/>
        </xdr:cNvSpPr>
      </xdr:nvSpPr>
      <xdr:spPr>
        <a:xfrm>
          <a:off x="191879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38</xdr:row>
      <xdr:rowOff>51000</xdr:rowOff>
    </xdr:from>
    <xdr:to>
      <xdr:col>27</xdr:col>
      <xdr:colOff>635401</xdr:colOff>
      <xdr:row>43</xdr:row>
      <xdr:rowOff>3751</xdr:rowOff>
    </xdr:to>
    <xdr:sp macro="" textlink="">
      <xdr:nvSpPr>
        <xdr:cNvPr id="245804" name="フリーフォーム: 図形 245803">
          <a:extLst>
            <a:ext uri="{FF2B5EF4-FFF2-40B4-BE49-F238E27FC236}">
              <a16:creationId xmlns:a16="http://schemas.microsoft.com/office/drawing/2014/main" id="{3AF871C4-EBE1-4352-8F76-CB643D5C0445}"/>
            </a:ext>
          </a:extLst>
        </xdr:cNvPr>
        <xdr:cNvSpPr>
          <a:spLocks noChangeAspect="1"/>
        </xdr:cNvSpPr>
      </xdr:nvSpPr>
      <xdr:spPr>
        <a:xfrm>
          <a:off x="188819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37</xdr:row>
      <xdr:rowOff>114450</xdr:rowOff>
    </xdr:from>
    <xdr:to>
      <xdr:col>28</xdr:col>
      <xdr:colOff>201601</xdr:colOff>
      <xdr:row>42</xdr:row>
      <xdr:rowOff>157201</xdr:rowOff>
    </xdr:to>
    <xdr:sp macro="" textlink="">
      <xdr:nvSpPr>
        <xdr:cNvPr id="245805" name="フリーフォーム: 図形 245804">
          <a:extLst>
            <a:ext uri="{FF2B5EF4-FFF2-40B4-BE49-F238E27FC236}">
              <a16:creationId xmlns:a16="http://schemas.microsoft.com/office/drawing/2014/main" id="{23BABBF2-BCE3-4667-8DE5-DEFBBFCEAF59}"/>
            </a:ext>
          </a:extLst>
        </xdr:cNvPr>
        <xdr:cNvSpPr>
          <a:spLocks noChangeAspect="1"/>
        </xdr:cNvSpPr>
      </xdr:nvSpPr>
      <xdr:spPr>
        <a:xfrm>
          <a:off x="191520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38</xdr:row>
      <xdr:rowOff>69000</xdr:rowOff>
    </xdr:from>
    <xdr:to>
      <xdr:col>28</xdr:col>
      <xdr:colOff>525601</xdr:colOff>
      <xdr:row>43</xdr:row>
      <xdr:rowOff>3751</xdr:rowOff>
    </xdr:to>
    <xdr:sp macro="" textlink="">
      <xdr:nvSpPr>
        <xdr:cNvPr id="245806" name="フリーフォーム: 図形 245805">
          <a:extLst>
            <a:ext uri="{FF2B5EF4-FFF2-40B4-BE49-F238E27FC236}">
              <a16:creationId xmlns:a16="http://schemas.microsoft.com/office/drawing/2014/main" id="{151EB004-EBF1-41CC-B549-055BE7985D75}"/>
            </a:ext>
          </a:extLst>
        </xdr:cNvPr>
        <xdr:cNvSpPr>
          <a:spLocks noChangeAspect="1"/>
        </xdr:cNvSpPr>
      </xdr:nvSpPr>
      <xdr:spPr>
        <a:xfrm>
          <a:off x="192060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43</xdr:row>
      <xdr:rowOff>75750</xdr:rowOff>
    </xdr:from>
    <xdr:to>
      <xdr:col>28</xdr:col>
      <xdr:colOff>237600</xdr:colOff>
      <xdr:row>47</xdr:row>
      <xdr:rowOff>163951</xdr:rowOff>
    </xdr:to>
    <xdr:sp macro="" textlink="">
      <xdr:nvSpPr>
        <xdr:cNvPr id="245807" name="フリーフォーム: 図形 245806">
          <a:extLst>
            <a:ext uri="{FF2B5EF4-FFF2-40B4-BE49-F238E27FC236}">
              <a16:creationId xmlns:a16="http://schemas.microsoft.com/office/drawing/2014/main" id="{78078BCD-457C-455C-AAF1-EF7B7E9D3F51}"/>
            </a:ext>
          </a:extLst>
        </xdr:cNvPr>
        <xdr:cNvSpPr>
          <a:spLocks noChangeAspect="1"/>
        </xdr:cNvSpPr>
      </xdr:nvSpPr>
      <xdr:spPr>
        <a:xfrm>
          <a:off x="191700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43</xdr:row>
      <xdr:rowOff>93750</xdr:rowOff>
    </xdr:from>
    <xdr:to>
      <xdr:col>27</xdr:col>
      <xdr:colOff>653401</xdr:colOff>
      <xdr:row>48</xdr:row>
      <xdr:rowOff>118501</xdr:rowOff>
    </xdr:to>
    <xdr:sp macro="" textlink="">
      <xdr:nvSpPr>
        <xdr:cNvPr id="245808" name="フリーフォーム: 図形 245807">
          <a:extLst>
            <a:ext uri="{FF2B5EF4-FFF2-40B4-BE49-F238E27FC236}">
              <a16:creationId xmlns:a16="http://schemas.microsoft.com/office/drawing/2014/main" id="{61FCD21C-BD6A-4B02-9B24-47A01C96150F}"/>
            </a:ext>
          </a:extLst>
        </xdr:cNvPr>
        <xdr:cNvSpPr>
          <a:spLocks noChangeAspect="1"/>
        </xdr:cNvSpPr>
      </xdr:nvSpPr>
      <xdr:spPr>
        <a:xfrm>
          <a:off x="189360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43</xdr:row>
      <xdr:rowOff>75750</xdr:rowOff>
    </xdr:from>
    <xdr:to>
      <xdr:col>27</xdr:col>
      <xdr:colOff>617401</xdr:colOff>
      <xdr:row>48</xdr:row>
      <xdr:rowOff>10501</xdr:rowOff>
    </xdr:to>
    <xdr:sp macro="" textlink="">
      <xdr:nvSpPr>
        <xdr:cNvPr id="245809" name="フリーフォーム: 図形 245808">
          <a:extLst>
            <a:ext uri="{FF2B5EF4-FFF2-40B4-BE49-F238E27FC236}">
              <a16:creationId xmlns:a16="http://schemas.microsoft.com/office/drawing/2014/main" id="{85ADE514-ECF8-48B9-8910-28CD1E238929}"/>
            </a:ext>
          </a:extLst>
        </xdr:cNvPr>
        <xdr:cNvSpPr>
          <a:spLocks noChangeAspect="1"/>
        </xdr:cNvSpPr>
      </xdr:nvSpPr>
      <xdr:spPr>
        <a:xfrm>
          <a:off x="186120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37</xdr:row>
      <xdr:rowOff>42450</xdr:rowOff>
    </xdr:from>
    <xdr:to>
      <xdr:col>30</xdr:col>
      <xdr:colOff>550801</xdr:colOff>
      <xdr:row>38</xdr:row>
      <xdr:rowOff>15001</xdr:rowOff>
    </xdr:to>
    <xdr:sp macro="" textlink="">
      <xdr:nvSpPr>
        <xdr:cNvPr id="245810" name="フリーフォーム: 図形 245809">
          <a:extLst>
            <a:ext uri="{FF2B5EF4-FFF2-40B4-BE49-F238E27FC236}">
              <a16:creationId xmlns:a16="http://schemas.microsoft.com/office/drawing/2014/main" id="{655F5748-D5EB-40FB-BF9C-6A21875F087A}"/>
            </a:ext>
          </a:extLst>
        </xdr:cNvPr>
        <xdr:cNvSpPr>
          <a:spLocks noChangeAspect="1"/>
        </xdr:cNvSpPr>
      </xdr:nvSpPr>
      <xdr:spPr>
        <a:xfrm>
          <a:off x="206568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37</xdr:row>
      <xdr:rowOff>42450</xdr:rowOff>
    </xdr:from>
    <xdr:to>
      <xdr:col>31</xdr:col>
      <xdr:colOff>405001</xdr:colOff>
      <xdr:row>38</xdr:row>
      <xdr:rowOff>15001</xdr:rowOff>
    </xdr:to>
    <xdr:sp macro="" textlink="">
      <xdr:nvSpPr>
        <xdr:cNvPr id="245811" name="フリーフォーム: 図形 245810">
          <a:extLst>
            <a:ext uri="{FF2B5EF4-FFF2-40B4-BE49-F238E27FC236}">
              <a16:creationId xmlns:a16="http://schemas.microsoft.com/office/drawing/2014/main" id="{4A58FF34-BB9C-4B41-977F-7F8D6B58E77D}"/>
            </a:ext>
          </a:extLst>
        </xdr:cNvPr>
        <xdr:cNvSpPr>
          <a:spLocks noChangeAspect="1"/>
        </xdr:cNvSpPr>
      </xdr:nvSpPr>
      <xdr:spPr>
        <a:xfrm>
          <a:off x="211968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37</xdr:row>
      <xdr:rowOff>114450</xdr:rowOff>
    </xdr:from>
    <xdr:to>
      <xdr:col>31</xdr:col>
      <xdr:colOff>477001</xdr:colOff>
      <xdr:row>43</xdr:row>
      <xdr:rowOff>21751</xdr:rowOff>
    </xdr:to>
    <xdr:sp macro="" textlink="">
      <xdr:nvSpPr>
        <xdr:cNvPr id="245812" name="フリーフォーム: 図形 245811">
          <a:extLst>
            <a:ext uri="{FF2B5EF4-FFF2-40B4-BE49-F238E27FC236}">
              <a16:creationId xmlns:a16="http://schemas.microsoft.com/office/drawing/2014/main" id="{9A5D7509-4958-40F1-8682-8606B833FDBE}"/>
            </a:ext>
          </a:extLst>
        </xdr:cNvPr>
        <xdr:cNvSpPr>
          <a:spLocks noChangeAspect="1"/>
        </xdr:cNvSpPr>
      </xdr:nvSpPr>
      <xdr:spPr>
        <a:xfrm>
          <a:off x="214487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43</xdr:row>
      <xdr:rowOff>75750</xdr:rowOff>
    </xdr:from>
    <xdr:to>
      <xdr:col>31</xdr:col>
      <xdr:colOff>297001</xdr:colOff>
      <xdr:row>48</xdr:row>
      <xdr:rowOff>136501</xdr:rowOff>
    </xdr:to>
    <xdr:sp macro="" textlink="">
      <xdr:nvSpPr>
        <xdr:cNvPr id="245813" name="フリーフォーム: 図形 245812">
          <a:extLst>
            <a:ext uri="{FF2B5EF4-FFF2-40B4-BE49-F238E27FC236}">
              <a16:creationId xmlns:a16="http://schemas.microsoft.com/office/drawing/2014/main" id="{09489F69-9261-4678-BD50-4CF05410C61E}"/>
            </a:ext>
          </a:extLst>
        </xdr:cNvPr>
        <xdr:cNvSpPr>
          <a:spLocks noChangeAspect="1"/>
        </xdr:cNvSpPr>
      </xdr:nvSpPr>
      <xdr:spPr>
        <a:xfrm>
          <a:off x="212687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48</xdr:row>
      <xdr:rowOff>64500</xdr:rowOff>
    </xdr:from>
    <xdr:to>
      <xdr:col>30</xdr:col>
      <xdr:colOff>226801</xdr:colOff>
      <xdr:row>49</xdr:row>
      <xdr:rowOff>37051</xdr:rowOff>
    </xdr:to>
    <xdr:sp macro="" textlink="">
      <xdr:nvSpPr>
        <xdr:cNvPr id="245814" name="フリーフォーム: 図形 245813">
          <a:extLst>
            <a:ext uri="{FF2B5EF4-FFF2-40B4-BE49-F238E27FC236}">
              <a16:creationId xmlns:a16="http://schemas.microsoft.com/office/drawing/2014/main" id="{1AB35790-7BB3-41A6-B918-828029341397}"/>
            </a:ext>
          </a:extLst>
        </xdr:cNvPr>
        <xdr:cNvSpPr>
          <a:spLocks noChangeAspect="1"/>
        </xdr:cNvSpPr>
      </xdr:nvSpPr>
      <xdr:spPr>
        <a:xfrm>
          <a:off x="203148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48</xdr:row>
      <xdr:rowOff>64500</xdr:rowOff>
    </xdr:from>
    <xdr:to>
      <xdr:col>31</xdr:col>
      <xdr:colOff>45001</xdr:colOff>
      <xdr:row>49</xdr:row>
      <xdr:rowOff>37051</xdr:rowOff>
    </xdr:to>
    <xdr:sp macro="" textlink="">
      <xdr:nvSpPr>
        <xdr:cNvPr id="245815" name="フリーフォーム: 図形 245814">
          <a:extLst>
            <a:ext uri="{FF2B5EF4-FFF2-40B4-BE49-F238E27FC236}">
              <a16:creationId xmlns:a16="http://schemas.microsoft.com/office/drawing/2014/main" id="{DBB8DC36-BE11-470D-B18E-8B37F175C3DA}"/>
            </a:ext>
          </a:extLst>
        </xdr:cNvPr>
        <xdr:cNvSpPr>
          <a:spLocks noChangeAspect="1"/>
        </xdr:cNvSpPr>
      </xdr:nvSpPr>
      <xdr:spPr>
        <a:xfrm>
          <a:off x="208367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43</xdr:row>
      <xdr:rowOff>75750</xdr:rowOff>
    </xdr:from>
    <xdr:to>
      <xdr:col>29</xdr:col>
      <xdr:colOff>660601</xdr:colOff>
      <xdr:row>48</xdr:row>
      <xdr:rowOff>136501</xdr:rowOff>
    </xdr:to>
    <xdr:sp macro="" textlink="">
      <xdr:nvSpPr>
        <xdr:cNvPr id="245816" name="フリーフォーム: 図形 245815">
          <a:extLst>
            <a:ext uri="{FF2B5EF4-FFF2-40B4-BE49-F238E27FC236}">
              <a16:creationId xmlns:a16="http://schemas.microsoft.com/office/drawing/2014/main" id="{55940327-A90B-4D69-A05A-C524F8483137}"/>
            </a:ext>
          </a:extLst>
        </xdr:cNvPr>
        <xdr:cNvSpPr>
          <a:spLocks noChangeAspect="1"/>
        </xdr:cNvSpPr>
      </xdr:nvSpPr>
      <xdr:spPr>
        <a:xfrm>
          <a:off x="20260801" y="77148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37</xdr:row>
      <xdr:rowOff>114450</xdr:rowOff>
    </xdr:from>
    <xdr:to>
      <xdr:col>30</xdr:col>
      <xdr:colOff>118802</xdr:colOff>
      <xdr:row>43</xdr:row>
      <xdr:rowOff>21751</xdr:rowOff>
    </xdr:to>
    <xdr:sp macro="" textlink="">
      <xdr:nvSpPr>
        <xdr:cNvPr id="245817" name="フリーフォーム: 図形 245816">
          <a:extLst>
            <a:ext uri="{FF2B5EF4-FFF2-40B4-BE49-F238E27FC236}">
              <a16:creationId xmlns:a16="http://schemas.microsoft.com/office/drawing/2014/main" id="{64E65D8C-46BC-47DD-ADB2-03E4F25CD7E2}"/>
            </a:ext>
          </a:extLst>
        </xdr:cNvPr>
        <xdr:cNvSpPr>
          <a:spLocks noChangeAspect="1"/>
        </xdr:cNvSpPr>
      </xdr:nvSpPr>
      <xdr:spPr>
        <a:xfrm>
          <a:off x="204408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42</xdr:row>
      <xdr:rowOff>139200</xdr:rowOff>
    </xdr:from>
    <xdr:to>
      <xdr:col>30</xdr:col>
      <xdr:colOff>388801</xdr:colOff>
      <xdr:row>43</xdr:row>
      <xdr:rowOff>111751</xdr:rowOff>
    </xdr:to>
    <xdr:sp macro="" textlink="">
      <xdr:nvSpPr>
        <xdr:cNvPr id="245818" name="フリーフォーム: 図形 245817">
          <a:extLst>
            <a:ext uri="{FF2B5EF4-FFF2-40B4-BE49-F238E27FC236}">
              <a16:creationId xmlns:a16="http://schemas.microsoft.com/office/drawing/2014/main" id="{9B6407EA-12C0-41F1-BE92-E0A8F02C4902}"/>
            </a:ext>
          </a:extLst>
        </xdr:cNvPr>
        <xdr:cNvSpPr>
          <a:spLocks noChangeAspect="1"/>
        </xdr:cNvSpPr>
      </xdr:nvSpPr>
      <xdr:spPr>
        <a:xfrm>
          <a:off x="205128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42</xdr:row>
      <xdr:rowOff>139200</xdr:rowOff>
    </xdr:from>
    <xdr:to>
      <xdr:col>31</xdr:col>
      <xdr:colOff>207001</xdr:colOff>
      <xdr:row>43</xdr:row>
      <xdr:rowOff>111751</xdr:rowOff>
    </xdr:to>
    <xdr:sp macro="" textlink="">
      <xdr:nvSpPr>
        <xdr:cNvPr id="245819" name="フリーフォーム: 図形 245818">
          <a:extLst>
            <a:ext uri="{FF2B5EF4-FFF2-40B4-BE49-F238E27FC236}">
              <a16:creationId xmlns:a16="http://schemas.microsoft.com/office/drawing/2014/main" id="{9C8F08D5-6113-4E1B-96F9-A36DF581DACC}"/>
            </a:ext>
          </a:extLst>
        </xdr:cNvPr>
        <xdr:cNvSpPr>
          <a:spLocks noChangeAspect="1"/>
        </xdr:cNvSpPr>
      </xdr:nvSpPr>
      <xdr:spPr>
        <a:xfrm>
          <a:off x="210167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38</xdr:row>
      <xdr:rowOff>51000</xdr:rowOff>
    </xdr:from>
    <xdr:to>
      <xdr:col>30</xdr:col>
      <xdr:colOff>406801</xdr:colOff>
      <xdr:row>43</xdr:row>
      <xdr:rowOff>3751</xdr:rowOff>
    </xdr:to>
    <xdr:sp macro="" textlink="">
      <xdr:nvSpPr>
        <xdr:cNvPr id="245820" name="フリーフォーム: 図形 245819">
          <a:extLst>
            <a:ext uri="{FF2B5EF4-FFF2-40B4-BE49-F238E27FC236}">
              <a16:creationId xmlns:a16="http://schemas.microsoft.com/office/drawing/2014/main" id="{AB16B050-5548-42AC-9246-D76DFE4B34A2}"/>
            </a:ext>
          </a:extLst>
        </xdr:cNvPr>
        <xdr:cNvSpPr>
          <a:spLocks noChangeAspect="1"/>
        </xdr:cNvSpPr>
      </xdr:nvSpPr>
      <xdr:spPr>
        <a:xfrm>
          <a:off x="207107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37</xdr:row>
      <xdr:rowOff>114450</xdr:rowOff>
    </xdr:from>
    <xdr:to>
      <xdr:col>30</xdr:col>
      <xdr:colOff>658801</xdr:colOff>
      <xdr:row>42</xdr:row>
      <xdr:rowOff>157201</xdr:rowOff>
    </xdr:to>
    <xdr:sp macro="" textlink="">
      <xdr:nvSpPr>
        <xdr:cNvPr id="245821" name="フリーフォーム: 図形 245820">
          <a:extLst>
            <a:ext uri="{FF2B5EF4-FFF2-40B4-BE49-F238E27FC236}">
              <a16:creationId xmlns:a16="http://schemas.microsoft.com/office/drawing/2014/main" id="{5ADD5F9B-523B-4624-85FC-9D959FA91774}"/>
            </a:ext>
          </a:extLst>
        </xdr:cNvPr>
        <xdr:cNvSpPr>
          <a:spLocks noChangeAspect="1"/>
        </xdr:cNvSpPr>
      </xdr:nvSpPr>
      <xdr:spPr>
        <a:xfrm>
          <a:off x="209808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38</xdr:row>
      <xdr:rowOff>69000</xdr:rowOff>
    </xdr:from>
    <xdr:to>
      <xdr:col>31</xdr:col>
      <xdr:colOff>297001</xdr:colOff>
      <xdr:row>43</xdr:row>
      <xdr:rowOff>3751</xdr:rowOff>
    </xdr:to>
    <xdr:sp macro="" textlink="">
      <xdr:nvSpPr>
        <xdr:cNvPr id="245822" name="フリーフォーム: 図形 245821">
          <a:extLst>
            <a:ext uri="{FF2B5EF4-FFF2-40B4-BE49-F238E27FC236}">
              <a16:creationId xmlns:a16="http://schemas.microsoft.com/office/drawing/2014/main" id="{33956FFE-CF0D-43C1-A415-4BFDA73FC497}"/>
            </a:ext>
          </a:extLst>
        </xdr:cNvPr>
        <xdr:cNvSpPr>
          <a:spLocks noChangeAspect="1"/>
        </xdr:cNvSpPr>
      </xdr:nvSpPr>
      <xdr:spPr>
        <a:xfrm>
          <a:off x="210348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43</xdr:row>
      <xdr:rowOff>75750</xdr:rowOff>
    </xdr:from>
    <xdr:to>
      <xdr:col>31</xdr:col>
      <xdr:colOff>9000</xdr:colOff>
      <xdr:row>47</xdr:row>
      <xdr:rowOff>163951</xdr:rowOff>
    </xdr:to>
    <xdr:sp macro="" textlink="">
      <xdr:nvSpPr>
        <xdr:cNvPr id="245823" name="フリーフォーム: 図形 245822">
          <a:extLst>
            <a:ext uri="{FF2B5EF4-FFF2-40B4-BE49-F238E27FC236}">
              <a16:creationId xmlns:a16="http://schemas.microsoft.com/office/drawing/2014/main" id="{01370A6B-E233-490F-8C89-BE332CA5F1EC}"/>
            </a:ext>
          </a:extLst>
        </xdr:cNvPr>
        <xdr:cNvSpPr>
          <a:spLocks noChangeAspect="1"/>
        </xdr:cNvSpPr>
      </xdr:nvSpPr>
      <xdr:spPr>
        <a:xfrm>
          <a:off x="209988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43</xdr:row>
      <xdr:rowOff>93750</xdr:rowOff>
    </xdr:from>
    <xdr:to>
      <xdr:col>30</xdr:col>
      <xdr:colOff>424801</xdr:colOff>
      <xdr:row>48</xdr:row>
      <xdr:rowOff>118501</xdr:rowOff>
    </xdr:to>
    <xdr:sp macro="" textlink="">
      <xdr:nvSpPr>
        <xdr:cNvPr id="245824" name="フリーフォーム: 図形 245823">
          <a:extLst>
            <a:ext uri="{FF2B5EF4-FFF2-40B4-BE49-F238E27FC236}">
              <a16:creationId xmlns:a16="http://schemas.microsoft.com/office/drawing/2014/main" id="{E808410C-DDDA-4FAD-88F9-F3D8F315F328}"/>
            </a:ext>
          </a:extLst>
        </xdr:cNvPr>
        <xdr:cNvSpPr>
          <a:spLocks noChangeAspect="1"/>
        </xdr:cNvSpPr>
      </xdr:nvSpPr>
      <xdr:spPr>
        <a:xfrm>
          <a:off x="207648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43</xdr:row>
      <xdr:rowOff>75750</xdr:rowOff>
    </xdr:from>
    <xdr:to>
      <xdr:col>30</xdr:col>
      <xdr:colOff>388801</xdr:colOff>
      <xdr:row>48</xdr:row>
      <xdr:rowOff>10501</xdr:rowOff>
    </xdr:to>
    <xdr:sp macro="" textlink="">
      <xdr:nvSpPr>
        <xdr:cNvPr id="245825" name="フリーフォーム: 図形 245824">
          <a:extLst>
            <a:ext uri="{FF2B5EF4-FFF2-40B4-BE49-F238E27FC236}">
              <a16:creationId xmlns:a16="http://schemas.microsoft.com/office/drawing/2014/main" id="{5CB7859B-13B0-428B-A6E0-2803DDDEDB5C}"/>
            </a:ext>
          </a:extLst>
        </xdr:cNvPr>
        <xdr:cNvSpPr>
          <a:spLocks noChangeAspect="1"/>
        </xdr:cNvSpPr>
      </xdr:nvSpPr>
      <xdr:spPr>
        <a:xfrm>
          <a:off x="204408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37</xdr:row>
      <xdr:rowOff>42450</xdr:rowOff>
    </xdr:from>
    <xdr:to>
      <xdr:col>33</xdr:col>
      <xdr:colOff>322201</xdr:colOff>
      <xdr:row>38</xdr:row>
      <xdr:rowOff>15001</xdr:rowOff>
    </xdr:to>
    <xdr:sp macro="" textlink="">
      <xdr:nvSpPr>
        <xdr:cNvPr id="245826" name="フリーフォーム: 図形 245825">
          <a:extLst>
            <a:ext uri="{FF2B5EF4-FFF2-40B4-BE49-F238E27FC236}">
              <a16:creationId xmlns:a16="http://schemas.microsoft.com/office/drawing/2014/main" id="{CEEED38E-8B6F-41DD-8D79-182C4211E332}"/>
            </a:ext>
          </a:extLst>
        </xdr:cNvPr>
        <xdr:cNvSpPr>
          <a:spLocks noChangeAspect="1"/>
        </xdr:cNvSpPr>
      </xdr:nvSpPr>
      <xdr:spPr>
        <a:xfrm>
          <a:off x="224856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37</xdr:row>
      <xdr:rowOff>42450</xdr:rowOff>
    </xdr:from>
    <xdr:to>
      <xdr:col>34</xdr:col>
      <xdr:colOff>176401</xdr:colOff>
      <xdr:row>38</xdr:row>
      <xdr:rowOff>15001</xdr:rowOff>
    </xdr:to>
    <xdr:sp macro="" textlink="">
      <xdr:nvSpPr>
        <xdr:cNvPr id="245827" name="フリーフォーム: 図形 245826">
          <a:extLst>
            <a:ext uri="{FF2B5EF4-FFF2-40B4-BE49-F238E27FC236}">
              <a16:creationId xmlns:a16="http://schemas.microsoft.com/office/drawing/2014/main" id="{F12A8358-FFCF-4A0C-A9AA-2C00C5E0F5D9}"/>
            </a:ext>
          </a:extLst>
        </xdr:cNvPr>
        <xdr:cNvSpPr>
          <a:spLocks noChangeAspect="1"/>
        </xdr:cNvSpPr>
      </xdr:nvSpPr>
      <xdr:spPr>
        <a:xfrm>
          <a:off x="230256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37</xdr:row>
      <xdr:rowOff>114450</xdr:rowOff>
    </xdr:from>
    <xdr:to>
      <xdr:col>34</xdr:col>
      <xdr:colOff>248401</xdr:colOff>
      <xdr:row>43</xdr:row>
      <xdr:rowOff>21751</xdr:rowOff>
    </xdr:to>
    <xdr:sp macro="" textlink="">
      <xdr:nvSpPr>
        <xdr:cNvPr id="245828" name="フリーフォーム: 図形 245827">
          <a:extLst>
            <a:ext uri="{FF2B5EF4-FFF2-40B4-BE49-F238E27FC236}">
              <a16:creationId xmlns:a16="http://schemas.microsoft.com/office/drawing/2014/main" id="{ADB25AD1-5786-4610-B1ED-3C2D7EBBE868}"/>
            </a:ext>
          </a:extLst>
        </xdr:cNvPr>
        <xdr:cNvSpPr>
          <a:spLocks noChangeAspect="1"/>
        </xdr:cNvSpPr>
      </xdr:nvSpPr>
      <xdr:spPr>
        <a:xfrm>
          <a:off x="232775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43</xdr:row>
      <xdr:rowOff>75750</xdr:rowOff>
    </xdr:from>
    <xdr:to>
      <xdr:col>34</xdr:col>
      <xdr:colOff>68401</xdr:colOff>
      <xdr:row>48</xdr:row>
      <xdr:rowOff>136501</xdr:rowOff>
    </xdr:to>
    <xdr:sp macro="" textlink="">
      <xdr:nvSpPr>
        <xdr:cNvPr id="245829" name="フリーフォーム: 図形 245828">
          <a:extLst>
            <a:ext uri="{FF2B5EF4-FFF2-40B4-BE49-F238E27FC236}">
              <a16:creationId xmlns:a16="http://schemas.microsoft.com/office/drawing/2014/main" id="{E80DCF01-362C-487C-97F1-E49D798D3D60}"/>
            </a:ext>
          </a:extLst>
        </xdr:cNvPr>
        <xdr:cNvSpPr>
          <a:spLocks noChangeAspect="1"/>
        </xdr:cNvSpPr>
      </xdr:nvSpPr>
      <xdr:spPr>
        <a:xfrm>
          <a:off x="230975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48</xdr:row>
      <xdr:rowOff>64500</xdr:rowOff>
    </xdr:from>
    <xdr:to>
      <xdr:col>32</xdr:col>
      <xdr:colOff>684001</xdr:colOff>
      <xdr:row>49</xdr:row>
      <xdr:rowOff>37051</xdr:rowOff>
    </xdr:to>
    <xdr:sp macro="" textlink="">
      <xdr:nvSpPr>
        <xdr:cNvPr id="245830" name="フリーフォーム: 図形 245829">
          <a:extLst>
            <a:ext uri="{FF2B5EF4-FFF2-40B4-BE49-F238E27FC236}">
              <a16:creationId xmlns:a16="http://schemas.microsoft.com/office/drawing/2014/main" id="{06A69C61-9CA1-4AA7-94D4-7F97FB66A5DD}"/>
            </a:ext>
          </a:extLst>
        </xdr:cNvPr>
        <xdr:cNvSpPr>
          <a:spLocks noChangeAspect="1"/>
        </xdr:cNvSpPr>
      </xdr:nvSpPr>
      <xdr:spPr>
        <a:xfrm>
          <a:off x="221436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48</xdr:row>
      <xdr:rowOff>64500</xdr:rowOff>
    </xdr:from>
    <xdr:to>
      <xdr:col>33</xdr:col>
      <xdr:colOff>502201</xdr:colOff>
      <xdr:row>49</xdr:row>
      <xdr:rowOff>37051</xdr:rowOff>
    </xdr:to>
    <xdr:sp macro="" textlink="">
      <xdr:nvSpPr>
        <xdr:cNvPr id="245831" name="フリーフォーム: 図形 245830">
          <a:extLst>
            <a:ext uri="{FF2B5EF4-FFF2-40B4-BE49-F238E27FC236}">
              <a16:creationId xmlns:a16="http://schemas.microsoft.com/office/drawing/2014/main" id="{ECC2DA05-98A7-4350-8596-6B6E9859B259}"/>
            </a:ext>
          </a:extLst>
        </xdr:cNvPr>
        <xdr:cNvSpPr>
          <a:spLocks noChangeAspect="1"/>
        </xdr:cNvSpPr>
      </xdr:nvSpPr>
      <xdr:spPr>
        <a:xfrm>
          <a:off x="226655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43</xdr:row>
      <xdr:rowOff>75750</xdr:rowOff>
    </xdr:from>
    <xdr:to>
      <xdr:col>32</xdr:col>
      <xdr:colOff>432001</xdr:colOff>
      <xdr:row>48</xdr:row>
      <xdr:rowOff>136501</xdr:rowOff>
    </xdr:to>
    <xdr:sp macro="" textlink="">
      <xdr:nvSpPr>
        <xdr:cNvPr id="245832" name="フリーフォーム: 図形 245831">
          <a:extLst>
            <a:ext uri="{FF2B5EF4-FFF2-40B4-BE49-F238E27FC236}">
              <a16:creationId xmlns:a16="http://schemas.microsoft.com/office/drawing/2014/main" id="{C04B7EFE-BEAB-4ADB-B02A-DEACA0D781D8}"/>
            </a:ext>
          </a:extLst>
        </xdr:cNvPr>
        <xdr:cNvSpPr>
          <a:spLocks noChangeAspect="1"/>
        </xdr:cNvSpPr>
      </xdr:nvSpPr>
      <xdr:spPr>
        <a:xfrm>
          <a:off x="22089601" y="77148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37</xdr:row>
      <xdr:rowOff>114450</xdr:rowOff>
    </xdr:from>
    <xdr:to>
      <xdr:col>32</xdr:col>
      <xdr:colOff>576002</xdr:colOff>
      <xdr:row>43</xdr:row>
      <xdr:rowOff>21751</xdr:rowOff>
    </xdr:to>
    <xdr:sp macro="" textlink="">
      <xdr:nvSpPr>
        <xdr:cNvPr id="245833" name="フリーフォーム: 図形 245832">
          <a:extLst>
            <a:ext uri="{FF2B5EF4-FFF2-40B4-BE49-F238E27FC236}">
              <a16:creationId xmlns:a16="http://schemas.microsoft.com/office/drawing/2014/main" id="{41C0E0F8-C307-4016-9BFF-D5826CD2FD59}"/>
            </a:ext>
          </a:extLst>
        </xdr:cNvPr>
        <xdr:cNvSpPr>
          <a:spLocks noChangeAspect="1"/>
        </xdr:cNvSpPr>
      </xdr:nvSpPr>
      <xdr:spPr>
        <a:xfrm>
          <a:off x="222696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42</xdr:row>
      <xdr:rowOff>139200</xdr:rowOff>
    </xdr:from>
    <xdr:to>
      <xdr:col>33</xdr:col>
      <xdr:colOff>160201</xdr:colOff>
      <xdr:row>43</xdr:row>
      <xdr:rowOff>111751</xdr:rowOff>
    </xdr:to>
    <xdr:sp macro="" textlink="">
      <xdr:nvSpPr>
        <xdr:cNvPr id="245834" name="フリーフォーム: 図形 245833">
          <a:extLst>
            <a:ext uri="{FF2B5EF4-FFF2-40B4-BE49-F238E27FC236}">
              <a16:creationId xmlns:a16="http://schemas.microsoft.com/office/drawing/2014/main" id="{3F26E468-0BDB-4C18-A92B-379B69E9DE27}"/>
            </a:ext>
          </a:extLst>
        </xdr:cNvPr>
        <xdr:cNvSpPr>
          <a:spLocks noChangeAspect="1"/>
        </xdr:cNvSpPr>
      </xdr:nvSpPr>
      <xdr:spPr>
        <a:xfrm>
          <a:off x="223416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42</xdr:row>
      <xdr:rowOff>139200</xdr:rowOff>
    </xdr:from>
    <xdr:to>
      <xdr:col>33</xdr:col>
      <xdr:colOff>664201</xdr:colOff>
      <xdr:row>43</xdr:row>
      <xdr:rowOff>111751</xdr:rowOff>
    </xdr:to>
    <xdr:sp macro="" textlink="">
      <xdr:nvSpPr>
        <xdr:cNvPr id="245835" name="フリーフォーム: 図形 245834">
          <a:extLst>
            <a:ext uri="{FF2B5EF4-FFF2-40B4-BE49-F238E27FC236}">
              <a16:creationId xmlns:a16="http://schemas.microsoft.com/office/drawing/2014/main" id="{4ED43E56-13C8-4595-A95E-C93243B7B98D}"/>
            </a:ext>
          </a:extLst>
        </xdr:cNvPr>
        <xdr:cNvSpPr>
          <a:spLocks noChangeAspect="1"/>
        </xdr:cNvSpPr>
      </xdr:nvSpPr>
      <xdr:spPr>
        <a:xfrm>
          <a:off x="228455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38</xdr:row>
      <xdr:rowOff>51000</xdr:rowOff>
    </xdr:from>
    <xdr:to>
      <xdr:col>33</xdr:col>
      <xdr:colOff>178201</xdr:colOff>
      <xdr:row>43</xdr:row>
      <xdr:rowOff>3751</xdr:rowOff>
    </xdr:to>
    <xdr:sp macro="" textlink="">
      <xdr:nvSpPr>
        <xdr:cNvPr id="245836" name="フリーフォーム: 図形 245835">
          <a:extLst>
            <a:ext uri="{FF2B5EF4-FFF2-40B4-BE49-F238E27FC236}">
              <a16:creationId xmlns:a16="http://schemas.microsoft.com/office/drawing/2014/main" id="{14798F2D-D225-4D01-AE96-5943932234F4}"/>
            </a:ext>
          </a:extLst>
        </xdr:cNvPr>
        <xdr:cNvSpPr>
          <a:spLocks noChangeAspect="1"/>
        </xdr:cNvSpPr>
      </xdr:nvSpPr>
      <xdr:spPr>
        <a:xfrm>
          <a:off x="225395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37</xdr:row>
      <xdr:rowOff>114450</xdr:rowOff>
    </xdr:from>
    <xdr:to>
      <xdr:col>33</xdr:col>
      <xdr:colOff>430201</xdr:colOff>
      <xdr:row>42</xdr:row>
      <xdr:rowOff>157201</xdr:rowOff>
    </xdr:to>
    <xdr:sp macro="" textlink="">
      <xdr:nvSpPr>
        <xdr:cNvPr id="245837" name="フリーフォーム: 図形 245836">
          <a:extLst>
            <a:ext uri="{FF2B5EF4-FFF2-40B4-BE49-F238E27FC236}">
              <a16:creationId xmlns:a16="http://schemas.microsoft.com/office/drawing/2014/main" id="{146F1B9D-EE54-43B1-893C-3CA79ABAE443}"/>
            </a:ext>
          </a:extLst>
        </xdr:cNvPr>
        <xdr:cNvSpPr>
          <a:spLocks noChangeAspect="1"/>
        </xdr:cNvSpPr>
      </xdr:nvSpPr>
      <xdr:spPr>
        <a:xfrm>
          <a:off x="228096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38</xdr:row>
      <xdr:rowOff>69000</xdr:rowOff>
    </xdr:from>
    <xdr:to>
      <xdr:col>34</xdr:col>
      <xdr:colOff>68401</xdr:colOff>
      <xdr:row>43</xdr:row>
      <xdr:rowOff>3751</xdr:rowOff>
    </xdr:to>
    <xdr:sp macro="" textlink="">
      <xdr:nvSpPr>
        <xdr:cNvPr id="245838" name="フリーフォーム: 図形 245837">
          <a:extLst>
            <a:ext uri="{FF2B5EF4-FFF2-40B4-BE49-F238E27FC236}">
              <a16:creationId xmlns:a16="http://schemas.microsoft.com/office/drawing/2014/main" id="{119CB114-4B37-4002-961C-1C9B7E01D159}"/>
            </a:ext>
          </a:extLst>
        </xdr:cNvPr>
        <xdr:cNvSpPr>
          <a:spLocks noChangeAspect="1"/>
        </xdr:cNvSpPr>
      </xdr:nvSpPr>
      <xdr:spPr>
        <a:xfrm>
          <a:off x="228636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43</xdr:row>
      <xdr:rowOff>75750</xdr:rowOff>
    </xdr:from>
    <xdr:to>
      <xdr:col>33</xdr:col>
      <xdr:colOff>466200</xdr:colOff>
      <xdr:row>47</xdr:row>
      <xdr:rowOff>163951</xdr:rowOff>
    </xdr:to>
    <xdr:sp macro="" textlink="">
      <xdr:nvSpPr>
        <xdr:cNvPr id="245839" name="フリーフォーム: 図形 245838">
          <a:extLst>
            <a:ext uri="{FF2B5EF4-FFF2-40B4-BE49-F238E27FC236}">
              <a16:creationId xmlns:a16="http://schemas.microsoft.com/office/drawing/2014/main" id="{FA961310-D800-4A2B-97F5-3E51AF11B7EE}"/>
            </a:ext>
          </a:extLst>
        </xdr:cNvPr>
        <xdr:cNvSpPr>
          <a:spLocks noChangeAspect="1"/>
        </xdr:cNvSpPr>
      </xdr:nvSpPr>
      <xdr:spPr>
        <a:xfrm>
          <a:off x="228276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43</xdr:row>
      <xdr:rowOff>93750</xdr:rowOff>
    </xdr:from>
    <xdr:to>
      <xdr:col>33</xdr:col>
      <xdr:colOff>196201</xdr:colOff>
      <xdr:row>48</xdr:row>
      <xdr:rowOff>118501</xdr:rowOff>
    </xdr:to>
    <xdr:sp macro="" textlink="">
      <xdr:nvSpPr>
        <xdr:cNvPr id="245840" name="フリーフォーム: 図形 245839">
          <a:extLst>
            <a:ext uri="{FF2B5EF4-FFF2-40B4-BE49-F238E27FC236}">
              <a16:creationId xmlns:a16="http://schemas.microsoft.com/office/drawing/2014/main" id="{5FF12CC4-CC81-4DB7-A7AA-C9CEFBDAC7A3}"/>
            </a:ext>
          </a:extLst>
        </xdr:cNvPr>
        <xdr:cNvSpPr>
          <a:spLocks noChangeAspect="1"/>
        </xdr:cNvSpPr>
      </xdr:nvSpPr>
      <xdr:spPr>
        <a:xfrm>
          <a:off x="225936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43</xdr:row>
      <xdr:rowOff>75750</xdr:rowOff>
    </xdr:from>
    <xdr:to>
      <xdr:col>33</xdr:col>
      <xdr:colOff>160201</xdr:colOff>
      <xdr:row>48</xdr:row>
      <xdr:rowOff>10501</xdr:rowOff>
    </xdr:to>
    <xdr:sp macro="" textlink="">
      <xdr:nvSpPr>
        <xdr:cNvPr id="245841" name="フリーフォーム: 図形 245840">
          <a:extLst>
            <a:ext uri="{FF2B5EF4-FFF2-40B4-BE49-F238E27FC236}">
              <a16:creationId xmlns:a16="http://schemas.microsoft.com/office/drawing/2014/main" id="{A709DE15-5F14-4682-AD12-BA8AA55EAB71}"/>
            </a:ext>
          </a:extLst>
        </xdr:cNvPr>
        <xdr:cNvSpPr>
          <a:spLocks noChangeAspect="1"/>
        </xdr:cNvSpPr>
      </xdr:nvSpPr>
      <xdr:spPr>
        <a:xfrm>
          <a:off x="222696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37</xdr:row>
      <xdr:rowOff>42450</xdr:rowOff>
    </xdr:from>
    <xdr:to>
      <xdr:col>36</xdr:col>
      <xdr:colOff>93601</xdr:colOff>
      <xdr:row>38</xdr:row>
      <xdr:rowOff>15001</xdr:rowOff>
    </xdr:to>
    <xdr:sp macro="" textlink="">
      <xdr:nvSpPr>
        <xdr:cNvPr id="245842" name="フリーフォーム: 図形 245841">
          <a:extLst>
            <a:ext uri="{FF2B5EF4-FFF2-40B4-BE49-F238E27FC236}">
              <a16:creationId xmlns:a16="http://schemas.microsoft.com/office/drawing/2014/main" id="{9DC9E16C-E62F-4021-9170-A49882654C2C}"/>
            </a:ext>
          </a:extLst>
        </xdr:cNvPr>
        <xdr:cNvSpPr>
          <a:spLocks noChangeAspect="1"/>
        </xdr:cNvSpPr>
      </xdr:nvSpPr>
      <xdr:spPr>
        <a:xfrm>
          <a:off x="24314400" y="66528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37</xdr:row>
      <xdr:rowOff>42450</xdr:rowOff>
    </xdr:from>
    <xdr:to>
      <xdr:col>36</xdr:col>
      <xdr:colOff>633601</xdr:colOff>
      <xdr:row>38</xdr:row>
      <xdr:rowOff>15001</xdr:rowOff>
    </xdr:to>
    <xdr:sp macro="" textlink="">
      <xdr:nvSpPr>
        <xdr:cNvPr id="245843" name="フリーフォーム: 図形 245842">
          <a:extLst>
            <a:ext uri="{FF2B5EF4-FFF2-40B4-BE49-F238E27FC236}">
              <a16:creationId xmlns:a16="http://schemas.microsoft.com/office/drawing/2014/main" id="{0BC38E94-D426-477A-8D74-4AA6D15E15BE}"/>
            </a:ext>
          </a:extLst>
        </xdr:cNvPr>
        <xdr:cNvSpPr>
          <a:spLocks noChangeAspect="1"/>
        </xdr:cNvSpPr>
      </xdr:nvSpPr>
      <xdr:spPr>
        <a:xfrm>
          <a:off x="24854401" y="66528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37</xdr:row>
      <xdr:rowOff>114450</xdr:rowOff>
    </xdr:from>
    <xdr:to>
      <xdr:col>37</xdr:col>
      <xdr:colOff>19801</xdr:colOff>
      <xdr:row>43</xdr:row>
      <xdr:rowOff>21751</xdr:rowOff>
    </xdr:to>
    <xdr:sp macro="" textlink="">
      <xdr:nvSpPr>
        <xdr:cNvPr id="245844" name="フリーフォーム: 図形 245843">
          <a:extLst>
            <a:ext uri="{FF2B5EF4-FFF2-40B4-BE49-F238E27FC236}">
              <a16:creationId xmlns:a16="http://schemas.microsoft.com/office/drawing/2014/main" id="{82544026-2DF3-4340-95EF-E5C1B83EFE2E}"/>
            </a:ext>
          </a:extLst>
        </xdr:cNvPr>
        <xdr:cNvSpPr>
          <a:spLocks noChangeAspect="1"/>
        </xdr:cNvSpPr>
      </xdr:nvSpPr>
      <xdr:spPr>
        <a:xfrm>
          <a:off x="25106399" y="67248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43</xdr:row>
      <xdr:rowOff>75750</xdr:rowOff>
    </xdr:from>
    <xdr:to>
      <xdr:col>36</xdr:col>
      <xdr:colOff>525601</xdr:colOff>
      <xdr:row>48</xdr:row>
      <xdr:rowOff>136501</xdr:rowOff>
    </xdr:to>
    <xdr:sp macro="" textlink="">
      <xdr:nvSpPr>
        <xdr:cNvPr id="245845" name="フリーフォーム: 図形 245844">
          <a:extLst>
            <a:ext uri="{FF2B5EF4-FFF2-40B4-BE49-F238E27FC236}">
              <a16:creationId xmlns:a16="http://schemas.microsoft.com/office/drawing/2014/main" id="{3003F1BB-2AF4-48DC-9612-C52F9E12008A}"/>
            </a:ext>
          </a:extLst>
        </xdr:cNvPr>
        <xdr:cNvSpPr>
          <a:spLocks noChangeAspect="1"/>
        </xdr:cNvSpPr>
      </xdr:nvSpPr>
      <xdr:spPr>
        <a:xfrm>
          <a:off x="24926399" y="77148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48</xdr:row>
      <xdr:rowOff>64500</xdr:rowOff>
    </xdr:from>
    <xdr:to>
      <xdr:col>35</xdr:col>
      <xdr:colOff>455401</xdr:colOff>
      <xdr:row>49</xdr:row>
      <xdr:rowOff>37051</xdr:rowOff>
    </xdr:to>
    <xdr:sp macro="" textlink="">
      <xdr:nvSpPr>
        <xdr:cNvPr id="245846" name="フリーフォーム: 図形 245845">
          <a:extLst>
            <a:ext uri="{FF2B5EF4-FFF2-40B4-BE49-F238E27FC236}">
              <a16:creationId xmlns:a16="http://schemas.microsoft.com/office/drawing/2014/main" id="{F3E48C51-D7D2-4C73-B37B-E1A9B409C199}"/>
            </a:ext>
          </a:extLst>
        </xdr:cNvPr>
        <xdr:cNvSpPr>
          <a:spLocks noChangeAspect="1"/>
        </xdr:cNvSpPr>
      </xdr:nvSpPr>
      <xdr:spPr>
        <a:xfrm>
          <a:off x="23972400" y="8560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48</xdr:row>
      <xdr:rowOff>64500</xdr:rowOff>
    </xdr:from>
    <xdr:to>
      <xdr:col>36</xdr:col>
      <xdr:colOff>273601</xdr:colOff>
      <xdr:row>49</xdr:row>
      <xdr:rowOff>37051</xdr:rowOff>
    </xdr:to>
    <xdr:sp macro="" textlink="">
      <xdr:nvSpPr>
        <xdr:cNvPr id="245847" name="フリーフォーム: 図形 245846">
          <a:extLst>
            <a:ext uri="{FF2B5EF4-FFF2-40B4-BE49-F238E27FC236}">
              <a16:creationId xmlns:a16="http://schemas.microsoft.com/office/drawing/2014/main" id="{25B0BAD4-8F19-42DD-AB62-B8A401F77475}"/>
            </a:ext>
          </a:extLst>
        </xdr:cNvPr>
        <xdr:cNvSpPr>
          <a:spLocks noChangeAspect="1"/>
        </xdr:cNvSpPr>
      </xdr:nvSpPr>
      <xdr:spPr>
        <a:xfrm>
          <a:off x="24494399" y="8560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43</xdr:row>
      <xdr:rowOff>75750</xdr:rowOff>
    </xdr:from>
    <xdr:to>
      <xdr:col>35</xdr:col>
      <xdr:colOff>203401</xdr:colOff>
      <xdr:row>48</xdr:row>
      <xdr:rowOff>136501</xdr:rowOff>
    </xdr:to>
    <xdr:sp macro="" textlink="">
      <xdr:nvSpPr>
        <xdr:cNvPr id="245848" name="フリーフォーム: 図形 245847">
          <a:extLst>
            <a:ext uri="{FF2B5EF4-FFF2-40B4-BE49-F238E27FC236}">
              <a16:creationId xmlns:a16="http://schemas.microsoft.com/office/drawing/2014/main" id="{5D8AFF8A-7645-4672-A6F3-8CD0A5F22B99}"/>
            </a:ext>
          </a:extLst>
        </xdr:cNvPr>
        <xdr:cNvSpPr>
          <a:spLocks noChangeAspect="1"/>
        </xdr:cNvSpPr>
      </xdr:nvSpPr>
      <xdr:spPr>
        <a:xfrm>
          <a:off x="23918401" y="77148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37</xdr:row>
      <xdr:rowOff>114450</xdr:rowOff>
    </xdr:from>
    <xdr:to>
      <xdr:col>35</xdr:col>
      <xdr:colOff>347402</xdr:colOff>
      <xdr:row>43</xdr:row>
      <xdr:rowOff>21751</xdr:rowOff>
    </xdr:to>
    <xdr:sp macro="" textlink="">
      <xdr:nvSpPr>
        <xdr:cNvPr id="245849" name="フリーフォーム: 図形 245848">
          <a:extLst>
            <a:ext uri="{FF2B5EF4-FFF2-40B4-BE49-F238E27FC236}">
              <a16:creationId xmlns:a16="http://schemas.microsoft.com/office/drawing/2014/main" id="{80D9965B-CC6E-4846-B2A3-522A905DEAC4}"/>
            </a:ext>
          </a:extLst>
        </xdr:cNvPr>
        <xdr:cNvSpPr>
          <a:spLocks noChangeAspect="1"/>
        </xdr:cNvSpPr>
      </xdr:nvSpPr>
      <xdr:spPr>
        <a:xfrm>
          <a:off x="24098400" y="67248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42</xdr:row>
      <xdr:rowOff>139200</xdr:rowOff>
    </xdr:from>
    <xdr:to>
      <xdr:col>35</xdr:col>
      <xdr:colOff>617401</xdr:colOff>
      <xdr:row>43</xdr:row>
      <xdr:rowOff>111751</xdr:rowOff>
    </xdr:to>
    <xdr:sp macro="" textlink="">
      <xdr:nvSpPr>
        <xdr:cNvPr id="245850" name="フリーフォーム: 図形 245849">
          <a:extLst>
            <a:ext uri="{FF2B5EF4-FFF2-40B4-BE49-F238E27FC236}">
              <a16:creationId xmlns:a16="http://schemas.microsoft.com/office/drawing/2014/main" id="{B10D8DE3-1147-4BFD-B376-3F21552B9BDA}"/>
            </a:ext>
          </a:extLst>
        </xdr:cNvPr>
        <xdr:cNvSpPr>
          <a:spLocks noChangeAspect="1"/>
        </xdr:cNvSpPr>
      </xdr:nvSpPr>
      <xdr:spPr>
        <a:xfrm>
          <a:off x="24170401" y="76068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42</xdr:row>
      <xdr:rowOff>139200</xdr:rowOff>
    </xdr:from>
    <xdr:to>
      <xdr:col>36</xdr:col>
      <xdr:colOff>435601</xdr:colOff>
      <xdr:row>43</xdr:row>
      <xdr:rowOff>111751</xdr:rowOff>
    </xdr:to>
    <xdr:sp macro="" textlink="">
      <xdr:nvSpPr>
        <xdr:cNvPr id="245851" name="フリーフォーム: 図形 245850">
          <a:extLst>
            <a:ext uri="{FF2B5EF4-FFF2-40B4-BE49-F238E27FC236}">
              <a16:creationId xmlns:a16="http://schemas.microsoft.com/office/drawing/2014/main" id="{6D425C6D-9028-4CCA-99EC-71FE5E3BF22E}"/>
            </a:ext>
          </a:extLst>
        </xdr:cNvPr>
        <xdr:cNvSpPr>
          <a:spLocks noChangeAspect="1"/>
        </xdr:cNvSpPr>
      </xdr:nvSpPr>
      <xdr:spPr>
        <a:xfrm>
          <a:off x="24674399" y="76068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38</xdr:row>
      <xdr:rowOff>51000</xdr:rowOff>
    </xdr:from>
    <xdr:to>
      <xdr:col>35</xdr:col>
      <xdr:colOff>635401</xdr:colOff>
      <xdr:row>43</xdr:row>
      <xdr:rowOff>3751</xdr:rowOff>
    </xdr:to>
    <xdr:sp macro="" textlink="">
      <xdr:nvSpPr>
        <xdr:cNvPr id="245852" name="フリーフォーム: 図形 245851">
          <a:extLst>
            <a:ext uri="{FF2B5EF4-FFF2-40B4-BE49-F238E27FC236}">
              <a16:creationId xmlns:a16="http://schemas.microsoft.com/office/drawing/2014/main" id="{5D9B60C7-D770-4216-8F4F-B3EC201FE0B7}"/>
            </a:ext>
          </a:extLst>
        </xdr:cNvPr>
        <xdr:cNvSpPr>
          <a:spLocks noChangeAspect="1"/>
        </xdr:cNvSpPr>
      </xdr:nvSpPr>
      <xdr:spPr>
        <a:xfrm>
          <a:off x="24368399" y="68328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37</xdr:row>
      <xdr:rowOff>114450</xdr:rowOff>
    </xdr:from>
    <xdr:to>
      <xdr:col>36</xdr:col>
      <xdr:colOff>201601</xdr:colOff>
      <xdr:row>42</xdr:row>
      <xdr:rowOff>157201</xdr:rowOff>
    </xdr:to>
    <xdr:sp macro="" textlink="">
      <xdr:nvSpPr>
        <xdr:cNvPr id="245853" name="フリーフォーム: 図形 245852">
          <a:extLst>
            <a:ext uri="{FF2B5EF4-FFF2-40B4-BE49-F238E27FC236}">
              <a16:creationId xmlns:a16="http://schemas.microsoft.com/office/drawing/2014/main" id="{B575A07C-E8AB-439D-B9F3-93DF875D1308}"/>
            </a:ext>
          </a:extLst>
        </xdr:cNvPr>
        <xdr:cNvSpPr>
          <a:spLocks noChangeAspect="1"/>
        </xdr:cNvSpPr>
      </xdr:nvSpPr>
      <xdr:spPr>
        <a:xfrm>
          <a:off x="24638400" y="67248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38</xdr:row>
      <xdr:rowOff>69000</xdr:rowOff>
    </xdr:from>
    <xdr:to>
      <xdr:col>36</xdr:col>
      <xdr:colOff>525601</xdr:colOff>
      <xdr:row>43</xdr:row>
      <xdr:rowOff>3751</xdr:rowOff>
    </xdr:to>
    <xdr:sp macro="" textlink="">
      <xdr:nvSpPr>
        <xdr:cNvPr id="245854" name="フリーフォーム: 図形 245853">
          <a:extLst>
            <a:ext uri="{FF2B5EF4-FFF2-40B4-BE49-F238E27FC236}">
              <a16:creationId xmlns:a16="http://schemas.microsoft.com/office/drawing/2014/main" id="{0E4584E9-D7E8-4AED-9F25-55F3247E2577}"/>
            </a:ext>
          </a:extLst>
        </xdr:cNvPr>
        <xdr:cNvSpPr>
          <a:spLocks noChangeAspect="1"/>
        </xdr:cNvSpPr>
      </xdr:nvSpPr>
      <xdr:spPr>
        <a:xfrm>
          <a:off x="24692400" y="68508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43</xdr:row>
      <xdr:rowOff>75750</xdr:rowOff>
    </xdr:from>
    <xdr:to>
      <xdr:col>36</xdr:col>
      <xdr:colOff>237600</xdr:colOff>
      <xdr:row>47</xdr:row>
      <xdr:rowOff>163951</xdr:rowOff>
    </xdr:to>
    <xdr:sp macro="" textlink="">
      <xdr:nvSpPr>
        <xdr:cNvPr id="245855" name="フリーフォーム: 図形 245854">
          <a:extLst>
            <a:ext uri="{FF2B5EF4-FFF2-40B4-BE49-F238E27FC236}">
              <a16:creationId xmlns:a16="http://schemas.microsoft.com/office/drawing/2014/main" id="{33CD2B3A-56BC-4F62-9DAE-5023320B507B}"/>
            </a:ext>
          </a:extLst>
        </xdr:cNvPr>
        <xdr:cNvSpPr>
          <a:spLocks noChangeAspect="1"/>
        </xdr:cNvSpPr>
      </xdr:nvSpPr>
      <xdr:spPr>
        <a:xfrm>
          <a:off x="24656400" y="77148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43</xdr:row>
      <xdr:rowOff>93750</xdr:rowOff>
    </xdr:from>
    <xdr:to>
      <xdr:col>35</xdr:col>
      <xdr:colOff>653401</xdr:colOff>
      <xdr:row>48</xdr:row>
      <xdr:rowOff>118501</xdr:rowOff>
    </xdr:to>
    <xdr:sp macro="" textlink="">
      <xdr:nvSpPr>
        <xdr:cNvPr id="245856" name="フリーフォーム: 図形 245855">
          <a:extLst>
            <a:ext uri="{FF2B5EF4-FFF2-40B4-BE49-F238E27FC236}">
              <a16:creationId xmlns:a16="http://schemas.microsoft.com/office/drawing/2014/main" id="{48DD96E5-66B1-4350-A7EB-64138BBC0464}"/>
            </a:ext>
          </a:extLst>
        </xdr:cNvPr>
        <xdr:cNvSpPr>
          <a:spLocks noChangeAspect="1"/>
        </xdr:cNvSpPr>
      </xdr:nvSpPr>
      <xdr:spPr>
        <a:xfrm>
          <a:off x="24422401" y="77328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43</xdr:row>
      <xdr:rowOff>75750</xdr:rowOff>
    </xdr:from>
    <xdr:to>
      <xdr:col>35</xdr:col>
      <xdr:colOff>617401</xdr:colOff>
      <xdr:row>48</xdr:row>
      <xdr:rowOff>10501</xdr:rowOff>
    </xdr:to>
    <xdr:sp macro="" textlink="">
      <xdr:nvSpPr>
        <xdr:cNvPr id="245857" name="フリーフォーム: 図形 245856">
          <a:extLst>
            <a:ext uri="{FF2B5EF4-FFF2-40B4-BE49-F238E27FC236}">
              <a16:creationId xmlns:a16="http://schemas.microsoft.com/office/drawing/2014/main" id="{473A3964-33C2-4C7E-98A8-F94378FF941C}"/>
            </a:ext>
          </a:extLst>
        </xdr:cNvPr>
        <xdr:cNvSpPr>
          <a:spLocks noChangeAspect="1"/>
        </xdr:cNvSpPr>
      </xdr:nvSpPr>
      <xdr:spPr>
        <a:xfrm>
          <a:off x="24098400" y="77148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37</xdr:row>
      <xdr:rowOff>42450</xdr:rowOff>
    </xdr:from>
    <xdr:to>
      <xdr:col>38</xdr:col>
      <xdr:colOff>550801</xdr:colOff>
      <xdr:row>38</xdr:row>
      <xdr:rowOff>15001</xdr:rowOff>
    </xdr:to>
    <xdr:sp macro="" textlink="">
      <xdr:nvSpPr>
        <xdr:cNvPr id="245858" name="フリーフォーム: 図形 245857">
          <a:extLst>
            <a:ext uri="{FF2B5EF4-FFF2-40B4-BE49-F238E27FC236}">
              <a16:creationId xmlns:a16="http://schemas.microsoft.com/office/drawing/2014/main" id="{04E70F38-E9B8-431A-B864-12800093F919}"/>
            </a:ext>
          </a:extLst>
        </xdr:cNvPr>
        <xdr:cNvSpPr>
          <a:spLocks noChangeAspect="1"/>
        </xdr:cNvSpPr>
      </xdr:nvSpPr>
      <xdr:spPr>
        <a:xfrm>
          <a:off x="261432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37</xdr:row>
      <xdr:rowOff>42450</xdr:rowOff>
    </xdr:from>
    <xdr:to>
      <xdr:col>39</xdr:col>
      <xdr:colOff>405000</xdr:colOff>
      <xdr:row>38</xdr:row>
      <xdr:rowOff>15001</xdr:rowOff>
    </xdr:to>
    <xdr:sp macro="" textlink="">
      <xdr:nvSpPr>
        <xdr:cNvPr id="245859" name="フリーフォーム: 図形 245858">
          <a:extLst>
            <a:ext uri="{FF2B5EF4-FFF2-40B4-BE49-F238E27FC236}">
              <a16:creationId xmlns:a16="http://schemas.microsoft.com/office/drawing/2014/main" id="{8B9CB205-05F9-4245-B4F8-B0028CED7821}"/>
            </a:ext>
          </a:extLst>
        </xdr:cNvPr>
        <xdr:cNvSpPr>
          <a:spLocks noChangeAspect="1"/>
        </xdr:cNvSpPr>
      </xdr:nvSpPr>
      <xdr:spPr>
        <a:xfrm>
          <a:off x="266831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37</xdr:row>
      <xdr:rowOff>114450</xdr:rowOff>
    </xdr:from>
    <xdr:to>
      <xdr:col>39</xdr:col>
      <xdr:colOff>477001</xdr:colOff>
      <xdr:row>43</xdr:row>
      <xdr:rowOff>21751</xdr:rowOff>
    </xdr:to>
    <xdr:sp macro="" textlink="">
      <xdr:nvSpPr>
        <xdr:cNvPr id="245860" name="フリーフォーム: 図形 245859">
          <a:extLst>
            <a:ext uri="{FF2B5EF4-FFF2-40B4-BE49-F238E27FC236}">
              <a16:creationId xmlns:a16="http://schemas.microsoft.com/office/drawing/2014/main" id="{BA5E1047-2719-4193-8DBB-682656027DD0}"/>
            </a:ext>
          </a:extLst>
        </xdr:cNvPr>
        <xdr:cNvSpPr>
          <a:spLocks noChangeAspect="1"/>
        </xdr:cNvSpPr>
      </xdr:nvSpPr>
      <xdr:spPr>
        <a:xfrm>
          <a:off x="269351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43</xdr:row>
      <xdr:rowOff>75750</xdr:rowOff>
    </xdr:from>
    <xdr:to>
      <xdr:col>39</xdr:col>
      <xdr:colOff>297000</xdr:colOff>
      <xdr:row>48</xdr:row>
      <xdr:rowOff>136501</xdr:rowOff>
    </xdr:to>
    <xdr:sp macro="" textlink="">
      <xdr:nvSpPr>
        <xdr:cNvPr id="245861" name="フリーフォーム: 図形 245860">
          <a:extLst>
            <a:ext uri="{FF2B5EF4-FFF2-40B4-BE49-F238E27FC236}">
              <a16:creationId xmlns:a16="http://schemas.microsoft.com/office/drawing/2014/main" id="{1F7FFEB2-1311-45E6-B9B9-9A8F9AF951C2}"/>
            </a:ext>
          </a:extLst>
        </xdr:cNvPr>
        <xdr:cNvSpPr>
          <a:spLocks noChangeAspect="1"/>
        </xdr:cNvSpPr>
      </xdr:nvSpPr>
      <xdr:spPr>
        <a:xfrm>
          <a:off x="267552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48</xdr:row>
      <xdr:rowOff>64500</xdr:rowOff>
    </xdr:from>
    <xdr:to>
      <xdr:col>38</xdr:col>
      <xdr:colOff>226800</xdr:colOff>
      <xdr:row>49</xdr:row>
      <xdr:rowOff>37051</xdr:rowOff>
    </xdr:to>
    <xdr:sp macro="" textlink="">
      <xdr:nvSpPr>
        <xdr:cNvPr id="245862" name="フリーフォーム: 図形 245861">
          <a:extLst>
            <a:ext uri="{FF2B5EF4-FFF2-40B4-BE49-F238E27FC236}">
              <a16:creationId xmlns:a16="http://schemas.microsoft.com/office/drawing/2014/main" id="{92CF84B1-D9FA-492D-9D1F-DBE1415D5730}"/>
            </a:ext>
          </a:extLst>
        </xdr:cNvPr>
        <xdr:cNvSpPr>
          <a:spLocks noChangeAspect="1"/>
        </xdr:cNvSpPr>
      </xdr:nvSpPr>
      <xdr:spPr>
        <a:xfrm>
          <a:off x="25801200" y="85608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48</xdr:row>
      <xdr:rowOff>64500</xdr:rowOff>
    </xdr:from>
    <xdr:to>
      <xdr:col>39</xdr:col>
      <xdr:colOff>45000</xdr:colOff>
      <xdr:row>49</xdr:row>
      <xdr:rowOff>37051</xdr:rowOff>
    </xdr:to>
    <xdr:sp macro="" textlink="">
      <xdr:nvSpPr>
        <xdr:cNvPr id="245863" name="フリーフォーム: 図形 245862">
          <a:extLst>
            <a:ext uri="{FF2B5EF4-FFF2-40B4-BE49-F238E27FC236}">
              <a16:creationId xmlns:a16="http://schemas.microsoft.com/office/drawing/2014/main" id="{CAD8BD98-3857-43EE-962B-8AF5C635A597}"/>
            </a:ext>
          </a:extLst>
        </xdr:cNvPr>
        <xdr:cNvSpPr>
          <a:spLocks noChangeAspect="1"/>
        </xdr:cNvSpPr>
      </xdr:nvSpPr>
      <xdr:spPr>
        <a:xfrm>
          <a:off x="263231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43</xdr:row>
      <xdr:rowOff>75750</xdr:rowOff>
    </xdr:from>
    <xdr:to>
      <xdr:col>37</xdr:col>
      <xdr:colOff>660603</xdr:colOff>
      <xdr:row>48</xdr:row>
      <xdr:rowOff>136501</xdr:rowOff>
    </xdr:to>
    <xdr:sp macro="" textlink="">
      <xdr:nvSpPr>
        <xdr:cNvPr id="245864" name="フリーフォーム: 図形 245863">
          <a:extLst>
            <a:ext uri="{FF2B5EF4-FFF2-40B4-BE49-F238E27FC236}">
              <a16:creationId xmlns:a16="http://schemas.microsoft.com/office/drawing/2014/main" id="{3A1398C9-34D1-47D8-A44E-E4C4D883D79A}"/>
            </a:ext>
          </a:extLst>
        </xdr:cNvPr>
        <xdr:cNvSpPr>
          <a:spLocks noChangeAspect="1"/>
        </xdr:cNvSpPr>
      </xdr:nvSpPr>
      <xdr:spPr>
        <a:xfrm>
          <a:off x="25747201" y="7714800"/>
          <a:ext cx="288002" cy="918001"/>
        </a:xfrm>
        <a:custGeom>
          <a:avLst/>
          <a:gdLst/>
          <a:ahLst/>
          <a:cxnLst/>
          <a:rect l="0" t="0" r="0" b="0"/>
          <a:pathLst>
            <a:path w="288002" h="918001">
              <a:moveTo>
                <a:pt x="143998" y="54000"/>
              </a:moveTo>
              <a:lnTo>
                <a:pt x="215999" y="0"/>
              </a:lnTo>
              <a:lnTo>
                <a:pt x="288001"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37</xdr:row>
      <xdr:rowOff>114450</xdr:rowOff>
    </xdr:from>
    <xdr:to>
      <xdr:col>38</xdr:col>
      <xdr:colOff>118800</xdr:colOff>
      <xdr:row>43</xdr:row>
      <xdr:rowOff>21751</xdr:rowOff>
    </xdr:to>
    <xdr:sp macro="" textlink="">
      <xdr:nvSpPr>
        <xdr:cNvPr id="245865" name="フリーフォーム: 図形 245864">
          <a:extLst>
            <a:ext uri="{FF2B5EF4-FFF2-40B4-BE49-F238E27FC236}">
              <a16:creationId xmlns:a16="http://schemas.microsoft.com/office/drawing/2014/main" id="{9F1DB061-318F-4286-B0F3-3A3889DF7042}"/>
            </a:ext>
          </a:extLst>
        </xdr:cNvPr>
        <xdr:cNvSpPr>
          <a:spLocks noChangeAspect="1"/>
        </xdr:cNvSpPr>
      </xdr:nvSpPr>
      <xdr:spPr>
        <a:xfrm>
          <a:off x="25927200" y="6724800"/>
          <a:ext cx="252000" cy="936001"/>
        </a:xfrm>
        <a:custGeom>
          <a:avLst/>
          <a:gdLst/>
          <a:ahLst/>
          <a:cxnLst/>
          <a:rect l="0" t="0" r="0" b="0"/>
          <a:pathLst>
            <a:path w="252000" h="936001">
              <a:moveTo>
                <a:pt x="126000" y="72000"/>
              </a:moveTo>
              <a:lnTo>
                <a:pt x="180000" y="0"/>
              </a:lnTo>
              <a:lnTo>
                <a:pt x="251999"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42</xdr:row>
      <xdr:rowOff>139200</xdr:rowOff>
    </xdr:from>
    <xdr:to>
      <xdr:col>38</xdr:col>
      <xdr:colOff>388802</xdr:colOff>
      <xdr:row>43</xdr:row>
      <xdr:rowOff>111751</xdr:rowOff>
    </xdr:to>
    <xdr:sp macro="" textlink="">
      <xdr:nvSpPr>
        <xdr:cNvPr id="245866" name="フリーフォーム: 図形 245865">
          <a:extLst>
            <a:ext uri="{FF2B5EF4-FFF2-40B4-BE49-F238E27FC236}">
              <a16:creationId xmlns:a16="http://schemas.microsoft.com/office/drawing/2014/main" id="{62C3BBE5-41DE-45F4-B1CF-D9A004C8BE16}"/>
            </a:ext>
          </a:extLst>
        </xdr:cNvPr>
        <xdr:cNvSpPr>
          <a:spLocks noChangeAspect="1"/>
        </xdr:cNvSpPr>
      </xdr:nvSpPr>
      <xdr:spPr>
        <a:xfrm>
          <a:off x="259992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42</xdr:row>
      <xdr:rowOff>139200</xdr:rowOff>
    </xdr:from>
    <xdr:to>
      <xdr:col>39</xdr:col>
      <xdr:colOff>207002</xdr:colOff>
      <xdr:row>43</xdr:row>
      <xdr:rowOff>111751</xdr:rowOff>
    </xdr:to>
    <xdr:sp macro="" textlink="">
      <xdr:nvSpPr>
        <xdr:cNvPr id="245867" name="フリーフォーム: 図形 245866">
          <a:extLst>
            <a:ext uri="{FF2B5EF4-FFF2-40B4-BE49-F238E27FC236}">
              <a16:creationId xmlns:a16="http://schemas.microsoft.com/office/drawing/2014/main" id="{1DFA633E-01C9-4AE5-A2B9-807E6FC28B0C}"/>
            </a:ext>
          </a:extLst>
        </xdr:cNvPr>
        <xdr:cNvSpPr>
          <a:spLocks noChangeAspect="1"/>
        </xdr:cNvSpPr>
      </xdr:nvSpPr>
      <xdr:spPr>
        <a:xfrm>
          <a:off x="265032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38</xdr:row>
      <xdr:rowOff>51000</xdr:rowOff>
    </xdr:from>
    <xdr:to>
      <xdr:col>38</xdr:col>
      <xdr:colOff>406801</xdr:colOff>
      <xdr:row>43</xdr:row>
      <xdr:rowOff>3751</xdr:rowOff>
    </xdr:to>
    <xdr:sp macro="" textlink="">
      <xdr:nvSpPr>
        <xdr:cNvPr id="245868" name="フリーフォーム: 図形 245867">
          <a:extLst>
            <a:ext uri="{FF2B5EF4-FFF2-40B4-BE49-F238E27FC236}">
              <a16:creationId xmlns:a16="http://schemas.microsoft.com/office/drawing/2014/main" id="{A4FEA6FC-0B5C-459F-98D2-19C8C9FD62B0}"/>
            </a:ext>
          </a:extLst>
        </xdr:cNvPr>
        <xdr:cNvSpPr>
          <a:spLocks noChangeAspect="1"/>
        </xdr:cNvSpPr>
      </xdr:nvSpPr>
      <xdr:spPr>
        <a:xfrm>
          <a:off x="261972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37</xdr:row>
      <xdr:rowOff>114450</xdr:rowOff>
    </xdr:from>
    <xdr:to>
      <xdr:col>38</xdr:col>
      <xdr:colOff>658801</xdr:colOff>
      <xdr:row>42</xdr:row>
      <xdr:rowOff>157201</xdr:rowOff>
    </xdr:to>
    <xdr:sp macro="" textlink="">
      <xdr:nvSpPr>
        <xdr:cNvPr id="245869" name="フリーフォーム: 図形 245868">
          <a:extLst>
            <a:ext uri="{FF2B5EF4-FFF2-40B4-BE49-F238E27FC236}">
              <a16:creationId xmlns:a16="http://schemas.microsoft.com/office/drawing/2014/main" id="{5FB22E32-50F8-46B9-8110-FEEB61952A53}"/>
            </a:ext>
          </a:extLst>
        </xdr:cNvPr>
        <xdr:cNvSpPr>
          <a:spLocks noChangeAspect="1"/>
        </xdr:cNvSpPr>
      </xdr:nvSpPr>
      <xdr:spPr>
        <a:xfrm>
          <a:off x="264672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38</xdr:row>
      <xdr:rowOff>69000</xdr:rowOff>
    </xdr:from>
    <xdr:to>
      <xdr:col>39</xdr:col>
      <xdr:colOff>297000</xdr:colOff>
      <xdr:row>43</xdr:row>
      <xdr:rowOff>3751</xdr:rowOff>
    </xdr:to>
    <xdr:sp macro="" textlink="">
      <xdr:nvSpPr>
        <xdr:cNvPr id="245870" name="フリーフォーム: 図形 245869">
          <a:extLst>
            <a:ext uri="{FF2B5EF4-FFF2-40B4-BE49-F238E27FC236}">
              <a16:creationId xmlns:a16="http://schemas.microsoft.com/office/drawing/2014/main" id="{66A87CEB-CE19-440F-9738-CA1EB66460E5}"/>
            </a:ext>
          </a:extLst>
        </xdr:cNvPr>
        <xdr:cNvSpPr>
          <a:spLocks noChangeAspect="1"/>
        </xdr:cNvSpPr>
      </xdr:nvSpPr>
      <xdr:spPr>
        <a:xfrm>
          <a:off x="265212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43</xdr:row>
      <xdr:rowOff>75750</xdr:rowOff>
    </xdr:from>
    <xdr:to>
      <xdr:col>39</xdr:col>
      <xdr:colOff>9002</xdr:colOff>
      <xdr:row>47</xdr:row>
      <xdr:rowOff>163951</xdr:rowOff>
    </xdr:to>
    <xdr:sp macro="" textlink="">
      <xdr:nvSpPr>
        <xdr:cNvPr id="245871" name="フリーフォーム: 図形 245870">
          <a:extLst>
            <a:ext uri="{FF2B5EF4-FFF2-40B4-BE49-F238E27FC236}">
              <a16:creationId xmlns:a16="http://schemas.microsoft.com/office/drawing/2014/main" id="{1E94442A-4E2A-46D9-908C-A6064F2042A3}"/>
            </a:ext>
          </a:extLst>
        </xdr:cNvPr>
        <xdr:cNvSpPr>
          <a:spLocks noChangeAspect="1"/>
        </xdr:cNvSpPr>
      </xdr:nvSpPr>
      <xdr:spPr>
        <a:xfrm>
          <a:off x="264851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43</xdr:row>
      <xdr:rowOff>93750</xdr:rowOff>
    </xdr:from>
    <xdr:to>
      <xdr:col>38</xdr:col>
      <xdr:colOff>424800</xdr:colOff>
      <xdr:row>48</xdr:row>
      <xdr:rowOff>118501</xdr:rowOff>
    </xdr:to>
    <xdr:sp macro="" textlink="">
      <xdr:nvSpPr>
        <xdr:cNvPr id="245872" name="フリーフォーム: 図形 245871">
          <a:extLst>
            <a:ext uri="{FF2B5EF4-FFF2-40B4-BE49-F238E27FC236}">
              <a16:creationId xmlns:a16="http://schemas.microsoft.com/office/drawing/2014/main" id="{BF5BA05B-0CE4-464E-870B-03C9BFC455DA}"/>
            </a:ext>
          </a:extLst>
        </xdr:cNvPr>
        <xdr:cNvSpPr>
          <a:spLocks noChangeAspect="1"/>
        </xdr:cNvSpPr>
      </xdr:nvSpPr>
      <xdr:spPr>
        <a:xfrm>
          <a:off x="262512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43</xdr:row>
      <xdr:rowOff>75750</xdr:rowOff>
    </xdr:from>
    <xdr:to>
      <xdr:col>38</xdr:col>
      <xdr:colOff>388802</xdr:colOff>
      <xdr:row>48</xdr:row>
      <xdr:rowOff>10501</xdr:rowOff>
    </xdr:to>
    <xdr:sp macro="" textlink="">
      <xdr:nvSpPr>
        <xdr:cNvPr id="245873" name="フリーフォーム: 図形 245872">
          <a:extLst>
            <a:ext uri="{FF2B5EF4-FFF2-40B4-BE49-F238E27FC236}">
              <a16:creationId xmlns:a16="http://schemas.microsoft.com/office/drawing/2014/main" id="{C6422D21-AFF3-4EDD-89D3-0BBA9C720E58}"/>
            </a:ext>
          </a:extLst>
        </xdr:cNvPr>
        <xdr:cNvSpPr>
          <a:spLocks noChangeAspect="1"/>
        </xdr:cNvSpPr>
      </xdr:nvSpPr>
      <xdr:spPr>
        <a:xfrm>
          <a:off x="25927200" y="7714800"/>
          <a:ext cx="522002" cy="792001"/>
        </a:xfrm>
        <a:custGeom>
          <a:avLst/>
          <a:gdLst/>
          <a:ahLst/>
          <a:cxnLst/>
          <a:rect l="0" t="0" r="0" b="0"/>
          <a:pathLst>
            <a:path w="522002" h="792001">
              <a:moveTo>
                <a:pt x="395999" y="72000"/>
              </a:moveTo>
              <a:lnTo>
                <a:pt x="522001" y="0"/>
              </a:lnTo>
              <a:lnTo>
                <a:pt x="324001" y="378000"/>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37</xdr:row>
      <xdr:rowOff>42450</xdr:rowOff>
    </xdr:from>
    <xdr:to>
      <xdr:col>41</xdr:col>
      <xdr:colOff>322201</xdr:colOff>
      <xdr:row>38</xdr:row>
      <xdr:rowOff>15001</xdr:rowOff>
    </xdr:to>
    <xdr:sp macro="" textlink="">
      <xdr:nvSpPr>
        <xdr:cNvPr id="245874" name="フリーフォーム: 図形 245873">
          <a:extLst>
            <a:ext uri="{FF2B5EF4-FFF2-40B4-BE49-F238E27FC236}">
              <a16:creationId xmlns:a16="http://schemas.microsoft.com/office/drawing/2014/main" id="{1EA5565C-64CA-4663-BE81-7CD85CDE9E5F}"/>
            </a:ext>
          </a:extLst>
        </xdr:cNvPr>
        <xdr:cNvSpPr>
          <a:spLocks noChangeAspect="1"/>
        </xdr:cNvSpPr>
      </xdr:nvSpPr>
      <xdr:spPr>
        <a:xfrm>
          <a:off x="279720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37</xdr:row>
      <xdr:rowOff>42450</xdr:rowOff>
    </xdr:from>
    <xdr:to>
      <xdr:col>42</xdr:col>
      <xdr:colOff>176400</xdr:colOff>
      <xdr:row>38</xdr:row>
      <xdr:rowOff>15001</xdr:rowOff>
    </xdr:to>
    <xdr:sp macro="" textlink="">
      <xdr:nvSpPr>
        <xdr:cNvPr id="245875" name="フリーフォーム: 図形 245874">
          <a:extLst>
            <a:ext uri="{FF2B5EF4-FFF2-40B4-BE49-F238E27FC236}">
              <a16:creationId xmlns:a16="http://schemas.microsoft.com/office/drawing/2014/main" id="{B4692FB6-8D19-4C49-80D8-892EDD13935B}"/>
            </a:ext>
          </a:extLst>
        </xdr:cNvPr>
        <xdr:cNvSpPr>
          <a:spLocks noChangeAspect="1"/>
        </xdr:cNvSpPr>
      </xdr:nvSpPr>
      <xdr:spPr>
        <a:xfrm>
          <a:off x="285119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37</xdr:row>
      <xdr:rowOff>114450</xdr:rowOff>
    </xdr:from>
    <xdr:to>
      <xdr:col>42</xdr:col>
      <xdr:colOff>248401</xdr:colOff>
      <xdr:row>43</xdr:row>
      <xdr:rowOff>21751</xdr:rowOff>
    </xdr:to>
    <xdr:sp macro="" textlink="">
      <xdr:nvSpPr>
        <xdr:cNvPr id="245876" name="フリーフォーム: 図形 245875">
          <a:extLst>
            <a:ext uri="{FF2B5EF4-FFF2-40B4-BE49-F238E27FC236}">
              <a16:creationId xmlns:a16="http://schemas.microsoft.com/office/drawing/2014/main" id="{D0BBC52D-881F-4B78-BA9C-27F93E506A3B}"/>
            </a:ext>
          </a:extLst>
        </xdr:cNvPr>
        <xdr:cNvSpPr>
          <a:spLocks noChangeAspect="1"/>
        </xdr:cNvSpPr>
      </xdr:nvSpPr>
      <xdr:spPr>
        <a:xfrm>
          <a:off x="287639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43</xdr:row>
      <xdr:rowOff>75750</xdr:rowOff>
    </xdr:from>
    <xdr:to>
      <xdr:col>42</xdr:col>
      <xdr:colOff>68400</xdr:colOff>
      <xdr:row>48</xdr:row>
      <xdr:rowOff>136501</xdr:rowOff>
    </xdr:to>
    <xdr:sp macro="" textlink="">
      <xdr:nvSpPr>
        <xdr:cNvPr id="245877" name="フリーフォーム: 図形 245876">
          <a:extLst>
            <a:ext uri="{FF2B5EF4-FFF2-40B4-BE49-F238E27FC236}">
              <a16:creationId xmlns:a16="http://schemas.microsoft.com/office/drawing/2014/main" id="{974B9C55-5DC0-4C7D-ACE2-D12D8EC1059B}"/>
            </a:ext>
          </a:extLst>
        </xdr:cNvPr>
        <xdr:cNvSpPr>
          <a:spLocks noChangeAspect="1"/>
        </xdr:cNvSpPr>
      </xdr:nvSpPr>
      <xdr:spPr>
        <a:xfrm>
          <a:off x="285840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48</xdr:row>
      <xdr:rowOff>64500</xdr:rowOff>
    </xdr:from>
    <xdr:to>
      <xdr:col>40</xdr:col>
      <xdr:colOff>684000</xdr:colOff>
      <xdr:row>49</xdr:row>
      <xdr:rowOff>37051</xdr:rowOff>
    </xdr:to>
    <xdr:sp macro="" textlink="">
      <xdr:nvSpPr>
        <xdr:cNvPr id="245878" name="フリーフォーム: 図形 245877">
          <a:extLst>
            <a:ext uri="{FF2B5EF4-FFF2-40B4-BE49-F238E27FC236}">
              <a16:creationId xmlns:a16="http://schemas.microsoft.com/office/drawing/2014/main" id="{24898056-8182-47FE-951C-05232E865F84}"/>
            </a:ext>
          </a:extLst>
        </xdr:cNvPr>
        <xdr:cNvSpPr>
          <a:spLocks noChangeAspect="1"/>
        </xdr:cNvSpPr>
      </xdr:nvSpPr>
      <xdr:spPr>
        <a:xfrm>
          <a:off x="276300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48</xdr:row>
      <xdr:rowOff>64500</xdr:rowOff>
    </xdr:from>
    <xdr:to>
      <xdr:col>41</xdr:col>
      <xdr:colOff>502200</xdr:colOff>
      <xdr:row>49</xdr:row>
      <xdr:rowOff>37051</xdr:rowOff>
    </xdr:to>
    <xdr:sp macro="" textlink="">
      <xdr:nvSpPr>
        <xdr:cNvPr id="245879" name="フリーフォーム: 図形 245878">
          <a:extLst>
            <a:ext uri="{FF2B5EF4-FFF2-40B4-BE49-F238E27FC236}">
              <a16:creationId xmlns:a16="http://schemas.microsoft.com/office/drawing/2014/main" id="{8089825A-C4B5-4BD4-8205-3D355C9482A5}"/>
            </a:ext>
          </a:extLst>
        </xdr:cNvPr>
        <xdr:cNvSpPr>
          <a:spLocks noChangeAspect="1"/>
        </xdr:cNvSpPr>
      </xdr:nvSpPr>
      <xdr:spPr>
        <a:xfrm>
          <a:off x="281519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43</xdr:row>
      <xdr:rowOff>75750</xdr:rowOff>
    </xdr:from>
    <xdr:to>
      <xdr:col>40</xdr:col>
      <xdr:colOff>432003</xdr:colOff>
      <xdr:row>48</xdr:row>
      <xdr:rowOff>136501</xdr:rowOff>
    </xdr:to>
    <xdr:sp macro="" textlink="">
      <xdr:nvSpPr>
        <xdr:cNvPr id="245880" name="フリーフォーム: 図形 245879">
          <a:extLst>
            <a:ext uri="{FF2B5EF4-FFF2-40B4-BE49-F238E27FC236}">
              <a16:creationId xmlns:a16="http://schemas.microsoft.com/office/drawing/2014/main" id="{39A940AC-0FF3-4917-8797-B42A2656C57E}"/>
            </a:ext>
          </a:extLst>
        </xdr:cNvPr>
        <xdr:cNvSpPr>
          <a:spLocks noChangeAspect="1"/>
        </xdr:cNvSpPr>
      </xdr:nvSpPr>
      <xdr:spPr>
        <a:xfrm>
          <a:off x="275760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37</xdr:row>
      <xdr:rowOff>114450</xdr:rowOff>
    </xdr:from>
    <xdr:to>
      <xdr:col>40</xdr:col>
      <xdr:colOff>576000</xdr:colOff>
      <xdr:row>43</xdr:row>
      <xdr:rowOff>21751</xdr:rowOff>
    </xdr:to>
    <xdr:sp macro="" textlink="">
      <xdr:nvSpPr>
        <xdr:cNvPr id="245881" name="フリーフォーム: 図形 245880">
          <a:extLst>
            <a:ext uri="{FF2B5EF4-FFF2-40B4-BE49-F238E27FC236}">
              <a16:creationId xmlns:a16="http://schemas.microsoft.com/office/drawing/2014/main" id="{D138C36A-A552-46DA-9887-61DAD62A4A95}"/>
            </a:ext>
          </a:extLst>
        </xdr:cNvPr>
        <xdr:cNvSpPr>
          <a:spLocks noChangeAspect="1"/>
        </xdr:cNvSpPr>
      </xdr:nvSpPr>
      <xdr:spPr>
        <a:xfrm>
          <a:off x="277559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42</xdr:row>
      <xdr:rowOff>139200</xdr:rowOff>
    </xdr:from>
    <xdr:to>
      <xdr:col>41</xdr:col>
      <xdr:colOff>160202</xdr:colOff>
      <xdr:row>43</xdr:row>
      <xdr:rowOff>111751</xdr:rowOff>
    </xdr:to>
    <xdr:sp macro="" textlink="">
      <xdr:nvSpPr>
        <xdr:cNvPr id="245882" name="フリーフォーム: 図形 245881">
          <a:extLst>
            <a:ext uri="{FF2B5EF4-FFF2-40B4-BE49-F238E27FC236}">
              <a16:creationId xmlns:a16="http://schemas.microsoft.com/office/drawing/2014/main" id="{C048973F-1910-4171-8B1C-6477A9D407B3}"/>
            </a:ext>
          </a:extLst>
        </xdr:cNvPr>
        <xdr:cNvSpPr>
          <a:spLocks noChangeAspect="1"/>
        </xdr:cNvSpPr>
      </xdr:nvSpPr>
      <xdr:spPr>
        <a:xfrm>
          <a:off x="278280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42</xdr:row>
      <xdr:rowOff>139200</xdr:rowOff>
    </xdr:from>
    <xdr:to>
      <xdr:col>41</xdr:col>
      <xdr:colOff>664202</xdr:colOff>
      <xdr:row>43</xdr:row>
      <xdr:rowOff>111751</xdr:rowOff>
    </xdr:to>
    <xdr:sp macro="" textlink="">
      <xdr:nvSpPr>
        <xdr:cNvPr id="245883" name="フリーフォーム: 図形 245882">
          <a:extLst>
            <a:ext uri="{FF2B5EF4-FFF2-40B4-BE49-F238E27FC236}">
              <a16:creationId xmlns:a16="http://schemas.microsoft.com/office/drawing/2014/main" id="{406145D3-3195-4F0D-AD16-A7603D8F2AF3}"/>
            </a:ext>
          </a:extLst>
        </xdr:cNvPr>
        <xdr:cNvSpPr>
          <a:spLocks noChangeAspect="1"/>
        </xdr:cNvSpPr>
      </xdr:nvSpPr>
      <xdr:spPr>
        <a:xfrm>
          <a:off x="283320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38</xdr:row>
      <xdr:rowOff>51000</xdr:rowOff>
    </xdr:from>
    <xdr:to>
      <xdr:col>41</xdr:col>
      <xdr:colOff>178201</xdr:colOff>
      <xdr:row>43</xdr:row>
      <xdr:rowOff>3751</xdr:rowOff>
    </xdr:to>
    <xdr:sp macro="" textlink="">
      <xdr:nvSpPr>
        <xdr:cNvPr id="245884" name="フリーフォーム: 図形 245883">
          <a:extLst>
            <a:ext uri="{FF2B5EF4-FFF2-40B4-BE49-F238E27FC236}">
              <a16:creationId xmlns:a16="http://schemas.microsoft.com/office/drawing/2014/main" id="{04752CE7-62D0-4BFC-A201-2C7D54285234}"/>
            </a:ext>
          </a:extLst>
        </xdr:cNvPr>
        <xdr:cNvSpPr>
          <a:spLocks noChangeAspect="1"/>
        </xdr:cNvSpPr>
      </xdr:nvSpPr>
      <xdr:spPr>
        <a:xfrm>
          <a:off x="280260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37</xdr:row>
      <xdr:rowOff>114450</xdr:rowOff>
    </xdr:from>
    <xdr:to>
      <xdr:col>41</xdr:col>
      <xdr:colOff>430201</xdr:colOff>
      <xdr:row>42</xdr:row>
      <xdr:rowOff>157201</xdr:rowOff>
    </xdr:to>
    <xdr:sp macro="" textlink="">
      <xdr:nvSpPr>
        <xdr:cNvPr id="245885" name="フリーフォーム: 図形 245884">
          <a:extLst>
            <a:ext uri="{FF2B5EF4-FFF2-40B4-BE49-F238E27FC236}">
              <a16:creationId xmlns:a16="http://schemas.microsoft.com/office/drawing/2014/main" id="{E7677231-B3F1-4533-93E1-8275D9880DCB}"/>
            </a:ext>
          </a:extLst>
        </xdr:cNvPr>
        <xdr:cNvSpPr>
          <a:spLocks noChangeAspect="1"/>
        </xdr:cNvSpPr>
      </xdr:nvSpPr>
      <xdr:spPr>
        <a:xfrm>
          <a:off x="282960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38</xdr:row>
      <xdr:rowOff>69000</xdr:rowOff>
    </xdr:from>
    <xdr:to>
      <xdr:col>42</xdr:col>
      <xdr:colOff>68400</xdr:colOff>
      <xdr:row>43</xdr:row>
      <xdr:rowOff>3751</xdr:rowOff>
    </xdr:to>
    <xdr:sp macro="" textlink="">
      <xdr:nvSpPr>
        <xdr:cNvPr id="245886" name="フリーフォーム: 図形 245885">
          <a:extLst>
            <a:ext uri="{FF2B5EF4-FFF2-40B4-BE49-F238E27FC236}">
              <a16:creationId xmlns:a16="http://schemas.microsoft.com/office/drawing/2014/main" id="{5AC4068C-7E1A-4685-8BA5-DE46535B39BB}"/>
            </a:ext>
          </a:extLst>
        </xdr:cNvPr>
        <xdr:cNvSpPr>
          <a:spLocks noChangeAspect="1"/>
        </xdr:cNvSpPr>
      </xdr:nvSpPr>
      <xdr:spPr>
        <a:xfrm>
          <a:off x="283500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43</xdr:row>
      <xdr:rowOff>75750</xdr:rowOff>
    </xdr:from>
    <xdr:to>
      <xdr:col>41</xdr:col>
      <xdr:colOff>466202</xdr:colOff>
      <xdr:row>47</xdr:row>
      <xdr:rowOff>163951</xdr:rowOff>
    </xdr:to>
    <xdr:sp macro="" textlink="">
      <xdr:nvSpPr>
        <xdr:cNvPr id="245887" name="フリーフォーム: 図形 245886">
          <a:extLst>
            <a:ext uri="{FF2B5EF4-FFF2-40B4-BE49-F238E27FC236}">
              <a16:creationId xmlns:a16="http://schemas.microsoft.com/office/drawing/2014/main" id="{5B853DDF-8C3B-46A6-896E-70EA9C7EF7E7}"/>
            </a:ext>
          </a:extLst>
        </xdr:cNvPr>
        <xdr:cNvSpPr>
          <a:spLocks noChangeAspect="1"/>
        </xdr:cNvSpPr>
      </xdr:nvSpPr>
      <xdr:spPr>
        <a:xfrm>
          <a:off x="283139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43</xdr:row>
      <xdr:rowOff>93750</xdr:rowOff>
    </xdr:from>
    <xdr:to>
      <xdr:col>41</xdr:col>
      <xdr:colOff>196200</xdr:colOff>
      <xdr:row>48</xdr:row>
      <xdr:rowOff>118501</xdr:rowOff>
    </xdr:to>
    <xdr:sp macro="" textlink="">
      <xdr:nvSpPr>
        <xdr:cNvPr id="245888" name="フリーフォーム: 図形 245887">
          <a:extLst>
            <a:ext uri="{FF2B5EF4-FFF2-40B4-BE49-F238E27FC236}">
              <a16:creationId xmlns:a16="http://schemas.microsoft.com/office/drawing/2014/main" id="{5457678F-348D-4C3F-9981-28A42567E87E}"/>
            </a:ext>
          </a:extLst>
        </xdr:cNvPr>
        <xdr:cNvSpPr>
          <a:spLocks noChangeAspect="1"/>
        </xdr:cNvSpPr>
      </xdr:nvSpPr>
      <xdr:spPr>
        <a:xfrm>
          <a:off x="280800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43</xdr:row>
      <xdr:rowOff>75750</xdr:rowOff>
    </xdr:from>
    <xdr:to>
      <xdr:col>41</xdr:col>
      <xdr:colOff>160202</xdr:colOff>
      <xdr:row>48</xdr:row>
      <xdr:rowOff>10501</xdr:rowOff>
    </xdr:to>
    <xdr:sp macro="" textlink="">
      <xdr:nvSpPr>
        <xdr:cNvPr id="245889" name="フリーフォーム: 図形 245888">
          <a:extLst>
            <a:ext uri="{FF2B5EF4-FFF2-40B4-BE49-F238E27FC236}">
              <a16:creationId xmlns:a16="http://schemas.microsoft.com/office/drawing/2014/main" id="{B84F950C-5EDD-4229-AA53-310EBCBD0638}"/>
            </a:ext>
          </a:extLst>
        </xdr:cNvPr>
        <xdr:cNvSpPr>
          <a:spLocks noChangeAspect="1"/>
        </xdr:cNvSpPr>
      </xdr:nvSpPr>
      <xdr:spPr>
        <a:xfrm>
          <a:off x="277559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37</xdr:row>
      <xdr:rowOff>42450</xdr:rowOff>
    </xdr:from>
    <xdr:to>
      <xdr:col>44</xdr:col>
      <xdr:colOff>93601</xdr:colOff>
      <xdr:row>38</xdr:row>
      <xdr:rowOff>15001</xdr:rowOff>
    </xdr:to>
    <xdr:sp macro="" textlink="">
      <xdr:nvSpPr>
        <xdr:cNvPr id="245890" name="フリーフォーム: 図形 245889">
          <a:extLst>
            <a:ext uri="{FF2B5EF4-FFF2-40B4-BE49-F238E27FC236}">
              <a16:creationId xmlns:a16="http://schemas.microsoft.com/office/drawing/2014/main" id="{CEF4E9C6-C416-419D-A00B-AC8B2E7F567F}"/>
            </a:ext>
          </a:extLst>
        </xdr:cNvPr>
        <xdr:cNvSpPr>
          <a:spLocks noChangeAspect="1"/>
        </xdr:cNvSpPr>
      </xdr:nvSpPr>
      <xdr:spPr>
        <a:xfrm>
          <a:off x="298008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37</xdr:row>
      <xdr:rowOff>42450</xdr:rowOff>
    </xdr:from>
    <xdr:to>
      <xdr:col>44</xdr:col>
      <xdr:colOff>633600</xdr:colOff>
      <xdr:row>38</xdr:row>
      <xdr:rowOff>15001</xdr:rowOff>
    </xdr:to>
    <xdr:sp macro="" textlink="">
      <xdr:nvSpPr>
        <xdr:cNvPr id="245891" name="フリーフォーム: 図形 245890">
          <a:extLst>
            <a:ext uri="{FF2B5EF4-FFF2-40B4-BE49-F238E27FC236}">
              <a16:creationId xmlns:a16="http://schemas.microsoft.com/office/drawing/2014/main" id="{26E6552B-E6BC-4578-8072-6C14CA00979D}"/>
            </a:ext>
          </a:extLst>
        </xdr:cNvPr>
        <xdr:cNvSpPr>
          <a:spLocks noChangeAspect="1"/>
        </xdr:cNvSpPr>
      </xdr:nvSpPr>
      <xdr:spPr>
        <a:xfrm>
          <a:off x="303407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37</xdr:row>
      <xdr:rowOff>114450</xdr:rowOff>
    </xdr:from>
    <xdr:to>
      <xdr:col>45</xdr:col>
      <xdr:colOff>19801</xdr:colOff>
      <xdr:row>43</xdr:row>
      <xdr:rowOff>21751</xdr:rowOff>
    </xdr:to>
    <xdr:sp macro="" textlink="">
      <xdr:nvSpPr>
        <xdr:cNvPr id="245892" name="フリーフォーム: 図形 245891">
          <a:extLst>
            <a:ext uri="{FF2B5EF4-FFF2-40B4-BE49-F238E27FC236}">
              <a16:creationId xmlns:a16="http://schemas.microsoft.com/office/drawing/2014/main" id="{2732A407-705F-4915-9762-2BA533837EC4}"/>
            </a:ext>
          </a:extLst>
        </xdr:cNvPr>
        <xdr:cNvSpPr>
          <a:spLocks noChangeAspect="1"/>
        </xdr:cNvSpPr>
      </xdr:nvSpPr>
      <xdr:spPr>
        <a:xfrm>
          <a:off x="305927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43</xdr:row>
      <xdr:rowOff>75750</xdr:rowOff>
    </xdr:from>
    <xdr:to>
      <xdr:col>44</xdr:col>
      <xdr:colOff>525600</xdr:colOff>
      <xdr:row>48</xdr:row>
      <xdr:rowOff>136501</xdr:rowOff>
    </xdr:to>
    <xdr:sp macro="" textlink="">
      <xdr:nvSpPr>
        <xdr:cNvPr id="245893" name="フリーフォーム: 図形 245892">
          <a:extLst>
            <a:ext uri="{FF2B5EF4-FFF2-40B4-BE49-F238E27FC236}">
              <a16:creationId xmlns:a16="http://schemas.microsoft.com/office/drawing/2014/main" id="{4CD0E052-0E9F-406A-B964-B3AF45663C23}"/>
            </a:ext>
          </a:extLst>
        </xdr:cNvPr>
        <xdr:cNvSpPr>
          <a:spLocks noChangeAspect="1"/>
        </xdr:cNvSpPr>
      </xdr:nvSpPr>
      <xdr:spPr>
        <a:xfrm>
          <a:off x="304128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48</xdr:row>
      <xdr:rowOff>64500</xdr:rowOff>
    </xdr:from>
    <xdr:to>
      <xdr:col>43</xdr:col>
      <xdr:colOff>455400</xdr:colOff>
      <xdr:row>49</xdr:row>
      <xdr:rowOff>37051</xdr:rowOff>
    </xdr:to>
    <xdr:sp macro="" textlink="">
      <xdr:nvSpPr>
        <xdr:cNvPr id="245894" name="フリーフォーム: 図形 245893">
          <a:extLst>
            <a:ext uri="{FF2B5EF4-FFF2-40B4-BE49-F238E27FC236}">
              <a16:creationId xmlns:a16="http://schemas.microsoft.com/office/drawing/2014/main" id="{5E05D370-3AA1-4240-B6F2-35EBE140C785}"/>
            </a:ext>
          </a:extLst>
        </xdr:cNvPr>
        <xdr:cNvSpPr>
          <a:spLocks noChangeAspect="1"/>
        </xdr:cNvSpPr>
      </xdr:nvSpPr>
      <xdr:spPr>
        <a:xfrm>
          <a:off x="294588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48</xdr:row>
      <xdr:rowOff>64500</xdr:rowOff>
    </xdr:from>
    <xdr:to>
      <xdr:col>44</xdr:col>
      <xdr:colOff>273600</xdr:colOff>
      <xdr:row>49</xdr:row>
      <xdr:rowOff>37051</xdr:rowOff>
    </xdr:to>
    <xdr:sp macro="" textlink="">
      <xdr:nvSpPr>
        <xdr:cNvPr id="245895" name="フリーフォーム: 図形 245894">
          <a:extLst>
            <a:ext uri="{FF2B5EF4-FFF2-40B4-BE49-F238E27FC236}">
              <a16:creationId xmlns:a16="http://schemas.microsoft.com/office/drawing/2014/main" id="{D44165DF-5106-4A1F-A3BC-75EE28A38439}"/>
            </a:ext>
          </a:extLst>
        </xdr:cNvPr>
        <xdr:cNvSpPr>
          <a:spLocks noChangeAspect="1"/>
        </xdr:cNvSpPr>
      </xdr:nvSpPr>
      <xdr:spPr>
        <a:xfrm>
          <a:off x="299807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43</xdr:row>
      <xdr:rowOff>75750</xdr:rowOff>
    </xdr:from>
    <xdr:to>
      <xdr:col>43</xdr:col>
      <xdr:colOff>203403</xdr:colOff>
      <xdr:row>48</xdr:row>
      <xdr:rowOff>136501</xdr:rowOff>
    </xdr:to>
    <xdr:sp macro="" textlink="">
      <xdr:nvSpPr>
        <xdr:cNvPr id="245896" name="フリーフォーム: 図形 245895">
          <a:extLst>
            <a:ext uri="{FF2B5EF4-FFF2-40B4-BE49-F238E27FC236}">
              <a16:creationId xmlns:a16="http://schemas.microsoft.com/office/drawing/2014/main" id="{0AB4D122-F581-4F38-94C8-902F62AC09AA}"/>
            </a:ext>
          </a:extLst>
        </xdr:cNvPr>
        <xdr:cNvSpPr>
          <a:spLocks noChangeAspect="1"/>
        </xdr:cNvSpPr>
      </xdr:nvSpPr>
      <xdr:spPr>
        <a:xfrm>
          <a:off x="294048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37</xdr:row>
      <xdr:rowOff>114450</xdr:rowOff>
    </xdr:from>
    <xdr:to>
      <xdr:col>43</xdr:col>
      <xdr:colOff>347400</xdr:colOff>
      <xdr:row>43</xdr:row>
      <xdr:rowOff>21751</xdr:rowOff>
    </xdr:to>
    <xdr:sp macro="" textlink="">
      <xdr:nvSpPr>
        <xdr:cNvPr id="245897" name="フリーフォーム: 図形 245896">
          <a:extLst>
            <a:ext uri="{FF2B5EF4-FFF2-40B4-BE49-F238E27FC236}">
              <a16:creationId xmlns:a16="http://schemas.microsoft.com/office/drawing/2014/main" id="{D85F54C7-D578-4FFA-AEBF-99D5F324708B}"/>
            </a:ext>
          </a:extLst>
        </xdr:cNvPr>
        <xdr:cNvSpPr>
          <a:spLocks noChangeAspect="1"/>
        </xdr:cNvSpPr>
      </xdr:nvSpPr>
      <xdr:spPr>
        <a:xfrm>
          <a:off x="295847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42</xdr:row>
      <xdr:rowOff>139200</xdr:rowOff>
    </xdr:from>
    <xdr:to>
      <xdr:col>43</xdr:col>
      <xdr:colOff>617402</xdr:colOff>
      <xdr:row>43</xdr:row>
      <xdr:rowOff>111751</xdr:rowOff>
    </xdr:to>
    <xdr:sp macro="" textlink="">
      <xdr:nvSpPr>
        <xdr:cNvPr id="245898" name="フリーフォーム: 図形 245897">
          <a:extLst>
            <a:ext uri="{FF2B5EF4-FFF2-40B4-BE49-F238E27FC236}">
              <a16:creationId xmlns:a16="http://schemas.microsoft.com/office/drawing/2014/main" id="{1023C2C7-8F85-4B13-B7F2-C2619EB286A3}"/>
            </a:ext>
          </a:extLst>
        </xdr:cNvPr>
        <xdr:cNvSpPr>
          <a:spLocks noChangeAspect="1"/>
        </xdr:cNvSpPr>
      </xdr:nvSpPr>
      <xdr:spPr>
        <a:xfrm>
          <a:off x="296568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42</xdr:row>
      <xdr:rowOff>139200</xdr:rowOff>
    </xdr:from>
    <xdr:to>
      <xdr:col>44</xdr:col>
      <xdr:colOff>435602</xdr:colOff>
      <xdr:row>43</xdr:row>
      <xdr:rowOff>111751</xdr:rowOff>
    </xdr:to>
    <xdr:sp macro="" textlink="">
      <xdr:nvSpPr>
        <xdr:cNvPr id="245899" name="フリーフォーム: 図形 245898">
          <a:extLst>
            <a:ext uri="{FF2B5EF4-FFF2-40B4-BE49-F238E27FC236}">
              <a16:creationId xmlns:a16="http://schemas.microsoft.com/office/drawing/2014/main" id="{771CD126-FA22-483B-ABBD-1F299E3A932C}"/>
            </a:ext>
          </a:extLst>
        </xdr:cNvPr>
        <xdr:cNvSpPr>
          <a:spLocks noChangeAspect="1"/>
        </xdr:cNvSpPr>
      </xdr:nvSpPr>
      <xdr:spPr>
        <a:xfrm>
          <a:off x="301608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38</xdr:row>
      <xdr:rowOff>51000</xdr:rowOff>
    </xdr:from>
    <xdr:to>
      <xdr:col>43</xdr:col>
      <xdr:colOff>635401</xdr:colOff>
      <xdr:row>43</xdr:row>
      <xdr:rowOff>3751</xdr:rowOff>
    </xdr:to>
    <xdr:sp macro="" textlink="">
      <xdr:nvSpPr>
        <xdr:cNvPr id="245900" name="フリーフォーム: 図形 245899">
          <a:extLst>
            <a:ext uri="{FF2B5EF4-FFF2-40B4-BE49-F238E27FC236}">
              <a16:creationId xmlns:a16="http://schemas.microsoft.com/office/drawing/2014/main" id="{274EE2EB-1AE8-4492-8C33-28C8AF53776C}"/>
            </a:ext>
          </a:extLst>
        </xdr:cNvPr>
        <xdr:cNvSpPr>
          <a:spLocks noChangeAspect="1"/>
        </xdr:cNvSpPr>
      </xdr:nvSpPr>
      <xdr:spPr>
        <a:xfrm>
          <a:off x="298548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37</xdr:row>
      <xdr:rowOff>114450</xdr:rowOff>
    </xdr:from>
    <xdr:to>
      <xdr:col>44</xdr:col>
      <xdr:colOff>201601</xdr:colOff>
      <xdr:row>42</xdr:row>
      <xdr:rowOff>157201</xdr:rowOff>
    </xdr:to>
    <xdr:sp macro="" textlink="">
      <xdr:nvSpPr>
        <xdr:cNvPr id="245901" name="フリーフォーム: 図形 245900">
          <a:extLst>
            <a:ext uri="{FF2B5EF4-FFF2-40B4-BE49-F238E27FC236}">
              <a16:creationId xmlns:a16="http://schemas.microsoft.com/office/drawing/2014/main" id="{088841B9-74B5-4C96-8965-2F2D02EB05E0}"/>
            </a:ext>
          </a:extLst>
        </xdr:cNvPr>
        <xdr:cNvSpPr>
          <a:spLocks noChangeAspect="1"/>
        </xdr:cNvSpPr>
      </xdr:nvSpPr>
      <xdr:spPr>
        <a:xfrm>
          <a:off x="301248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38</xdr:row>
      <xdr:rowOff>69000</xdr:rowOff>
    </xdr:from>
    <xdr:to>
      <xdr:col>44</xdr:col>
      <xdr:colOff>525600</xdr:colOff>
      <xdr:row>43</xdr:row>
      <xdr:rowOff>3751</xdr:rowOff>
    </xdr:to>
    <xdr:sp macro="" textlink="">
      <xdr:nvSpPr>
        <xdr:cNvPr id="245902" name="フリーフォーム: 図形 245901">
          <a:extLst>
            <a:ext uri="{FF2B5EF4-FFF2-40B4-BE49-F238E27FC236}">
              <a16:creationId xmlns:a16="http://schemas.microsoft.com/office/drawing/2014/main" id="{D0B156AD-21BE-46E0-B960-D41B0DCD44A4}"/>
            </a:ext>
          </a:extLst>
        </xdr:cNvPr>
        <xdr:cNvSpPr>
          <a:spLocks noChangeAspect="1"/>
        </xdr:cNvSpPr>
      </xdr:nvSpPr>
      <xdr:spPr>
        <a:xfrm>
          <a:off x="301788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43</xdr:row>
      <xdr:rowOff>75750</xdr:rowOff>
    </xdr:from>
    <xdr:to>
      <xdr:col>44</xdr:col>
      <xdr:colOff>237602</xdr:colOff>
      <xdr:row>47</xdr:row>
      <xdr:rowOff>163951</xdr:rowOff>
    </xdr:to>
    <xdr:sp macro="" textlink="">
      <xdr:nvSpPr>
        <xdr:cNvPr id="245903" name="フリーフォーム: 図形 245902">
          <a:extLst>
            <a:ext uri="{FF2B5EF4-FFF2-40B4-BE49-F238E27FC236}">
              <a16:creationId xmlns:a16="http://schemas.microsoft.com/office/drawing/2014/main" id="{9383DEB9-817A-447C-A24E-2A704A7CA5D9}"/>
            </a:ext>
          </a:extLst>
        </xdr:cNvPr>
        <xdr:cNvSpPr>
          <a:spLocks noChangeAspect="1"/>
        </xdr:cNvSpPr>
      </xdr:nvSpPr>
      <xdr:spPr>
        <a:xfrm>
          <a:off x="301427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43</xdr:row>
      <xdr:rowOff>93750</xdr:rowOff>
    </xdr:from>
    <xdr:to>
      <xdr:col>43</xdr:col>
      <xdr:colOff>653400</xdr:colOff>
      <xdr:row>48</xdr:row>
      <xdr:rowOff>118501</xdr:rowOff>
    </xdr:to>
    <xdr:sp macro="" textlink="">
      <xdr:nvSpPr>
        <xdr:cNvPr id="245904" name="フリーフォーム: 図形 245903">
          <a:extLst>
            <a:ext uri="{FF2B5EF4-FFF2-40B4-BE49-F238E27FC236}">
              <a16:creationId xmlns:a16="http://schemas.microsoft.com/office/drawing/2014/main" id="{065E3270-F6A2-4800-88FD-6567970BAC59}"/>
            </a:ext>
          </a:extLst>
        </xdr:cNvPr>
        <xdr:cNvSpPr>
          <a:spLocks noChangeAspect="1"/>
        </xdr:cNvSpPr>
      </xdr:nvSpPr>
      <xdr:spPr>
        <a:xfrm>
          <a:off x="299088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43</xdr:row>
      <xdr:rowOff>75750</xdr:rowOff>
    </xdr:from>
    <xdr:to>
      <xdr:col>43</xdr:col>
      <xdr:colOff>617402</xdr:colOff>
      <xdr:row>48</xdr:row>
      <xdr:rowOff>10501</xdr:rowOff>
    </xdr:to>
    <xdr:sp macro="" textlink="">
      <xdr:nvSpPr>
        <xdr:cNvPr id="245905" name="フリーフォーム: 図形 245904">
          <a:extLst>
            <a:ext uri="{FF2B5EF4-FFF2-40B4-BE49-F238E27FC236}">
              <a16:creationId xmlns:a16="http://schemas.microsoft.com/office/drawing/2014/main" id="{5DD28220-1147-419A-A217-874111652629}"/>
            </a:ext>
          </a:extLst>
        </xdr:cNvPr>
        <xdr:cNvSpPr>
          <a:spLocks noChangeAspect="1"/>
        </xdr:cNvSpPr>
      </xdr:nvSpPr>
      <xdr:spPr>
        <a:xfrm>
          <a:off x="295847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37</xdr:row>
      <xdr:rowOff>42450</xdr:rowOff>
    </xdr:from>
    <xdr:to>
      <xdr:col>46</xdr:col>
      <xdr:colOff>550801</xdr:colOff>
      <xdr:row>38</xdr:row>
      <xdr:rowOff>15001</xdr:rowOff>
    </xdr:to>
    <xdr:sp macro="" textlink="">
      <xdr:nvSpPr>
        <xdr:cNvPr id="245906" name="フリーフォーム: 図形 245905">
          <a:extLst>
            <a:ext uri="{FF2B5EF4-FFF2-40B4-BE49-F238E27FC236}">
              <a16:creationId xmlns:a16="http://schemas.microsoft.com/office/drawing/2014/main" id="{21EDECE2-EC1F-446D-A899-D3586BA8E246}"/>
            </a:ext>
          </a:extLst>
        </xdr:cNvPr>
        <xdr:cNvSpPr>
          <a:spLocks noChangeAspect="1"/>
        </xdr:cNvSpPr>
      </xdr:nvSpPr>
      <xdr:spPr>
        <a:xfrm>
          <a:off x="316296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37</xdr:row>
      <xdr:rowOff>42450</xdr:rowOff>
    </xdr:from>
    <xdr:to>
      <xdr:col>47</xdr:col>
      <xdr:colOff>405000</xdr:colOff>
      <xdr:row>38</xdr:row>
      <xdr:rowOff>15001</xdr:rowOff>
    </xdr:to>
    <xdr:sp macro="" textlink="">
      <xdr:nvSpPr>
        <xdr:cNvPr id="245907" name="フリーフォーム: 図形 245906">
          <a:extLst>
            <a:ext uri="{FF2B5EF4-FFF2-40B4-BE49-F238E27FC236}">
              <a16:creationId xmlns:a16="http://schemas.microsoft.com/office/drawing/2014/main" id="{050010DA-530A-474C-99C1-960C1831915F}"/>
            </a:ext>
          </a:extLst>
        </xdr:cNvPr>
        <xdr:cNvSpPr>
          <a:spLocks noChangeAspect="1"/>
        </xdr:cNvSpPr>
      </xdr:nvSpPr>
      <xdr:spPr>
        <a:xfrm>
          <a:off x="321695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37</xdr:row>
      <xdr:rowOff>114450</xdr:rowOff>
    </xdr:from>
    <xdr:to>
      <xdr:col>47</xdr:col>
      <xdr:colOff>477001</xdr:colOff>
      <xdr:row>43</xdr:row>
      <xdr:rowOff>21751</xdr:rowOff>
    </xdr:to>
    <xdr:sp macro="" textlink="">
      <xdr:nvSpPr>
        <xdr:cNvPr id="245908" name="フリーフォーム: 図形 245907">
          <a:extLst>
            <a:ext uri="{FF2B5EF4-FFF2-40B4-BE49-F238E27FC236}">
              <a16:creationId xmlns:a16="http://schemas.microsoft.com/office/drawing/2014/main" id="{1113F1C8-6DDA-47B8-903B-B7E151AD10D6}"/>
            </a:ext>
          </a:extLst>
        </xdr:cNvPr>
        <xdr:cNvSpPr>
          <a:spLocks noChangeAspect="1"/>
        </xdr:cNvSpPr>
      </xdr:nvSpPr>
      <xdr:spPr>
        <a:xfrm>
          <a:off x="324215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43</xdr:row>
      <xdr:rowOff>75750</xdr:rowOff>
    </xdr:from>
    <xdr:to>
      <xdr:col>47</xdr:col>
      <xdr:colOff>297000</xdr:colOff>
      <xdr:row>48</xdr:row>
      <xdr:rowOff>136501</xdr:rowOff>
    </xdr:to>
    <xdr:sp macro="" textlink="">
      <xdr:nvSpPr>
        <xdr:cNvPr id="245909" name="フリーフォーム: 図形 245908">
          <a:extLst>
            <a:ext uri="{FF2B5EF4-FFF2-40B4-BE49-F238E27FC236}">
              <a16:creationId xmlns:a16="http://schemas.microsoft.com/office/drawing/2014/main" id="{F86C95B1-E97B-489B-AE84-FD9F4DE316D9}"/>
            </a:ext>
          </a:extLst>
        </xdr:cNvPr>
        <xdr:cNvSpPr>
          <a:spLocks noChangeAspect="1"/>
        </xdr:cNvSpPr>
      </xdr:nvSpPr>
      <xdr:spPr>
        <a:xfrm>
          <a:off x="322416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48</xdr:row>
      <xdr:rowOff>64500</xdr:rowOff>
    </xdr:from>
    <xdr:to>
      <xdr:col>46</xdr:col>
      <xdr:colOff>226800</xdr:colOff>
      <xdr:row>49</xdr:row>
      <xdr:rowOff>37051</xdr:rowOff>
    </xdr:to>
    <xdr:sp macro="" textlink="">
      <xdr:nvSpPr>
        <xdr:cNvPr id="245910" name="フリーフォーム: 図形 245909">
          <a:extLst>
            <a:ext uri="{FF2B5EF4-FFF2-40B4-BE49-F238E27FC236}">
              <a16:creationId xmlns:a16="http://schemas.microsoft.com/office/drawing/2014/main" id="{6E8D343E-42C9-4A80-833F-0E69906CB41E}"/>
            </a:ext>
          </a:extLst>
        </xdr:cNvPr>
        <xdr:cNvSpPr>
          <a:spLocks noChangeAspect="1"/>
        </xdr:cNvSpPr>
      </xdr:nvSpPr>
      <xdr:spPr>
        <a:xfrm>
          <a:off x="312876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48</xdr:row>
      <xdr:rowOff>64500</xdr:rowOff>
    </xdr:from>
    <xdr:to>
      <xdr:col>47</xdr:col>
      <xdr:colOff>45000</xdr:colOff>
      <xdr:row>49</xdr:row>
      <xdr:rowOff>37051</xdr:rowOff>
    </xdr:to>
    <xdr:sp macro="" textlink="">
      <xdr:nvSpPr>
        <xdr:cNvPr id="245911" name="フリーフォーム: 図形 245910">
          <a:extLst>
            <a:ext uri="{FF2B5EF4-FFF2-40B4-BE49-F238E27FC236}">
              <a16:creationId xmlns:a16="http://schemas.microsoft.com/office/drawing/2014/main" id="{50B2B80D-7671-40DD-8855-BF4252C1841A}"/>
            </a:ext>
          </a:extLst>
        </xdr:cNvPr>
        <xdr:cNvSpPr>
          <a:spLocks noChangeAspect="1"/>
        </xdr:cNvSpPr>
      </xdr:nvSpPr>
      <xdr:spPr>
        <a:xfrm>
          <a:off x="318095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43</xdr:row>
      <xdr:rowOff>75750</xdr:rowOff>
    </xdr:from>
    <xdr:to>
      <xdr:col>45</xdr:col>
      <xdr:colOff>660603</xdr:colOff>
      <xdr:row>48</xdr:row>
      <xdr:rowOff>136501</xdr:rowOff>
    </xdr:to>
    <xdr:sp macro="" textlink="">
      <xdr:nvSpPr>
        <xdr:cNvPr id="245912" name="フリーフォーム: 図形 245911">
          <a:extLst>
            <a:ext uri="{FF2B5EF4-FFF2-40B4-BE49-F238E27FC236}">
              <a16:creationId xmlns:a16="http://schemas.microsoft.com/office/drawing/2014/main" id="{56A8A853-7A4D-4393-AA3F-EC93EC790B40}"/>
            </a:ext>
          </a:extLst>
        </xdr:cNvPr>
        <xdr:cNvSpPr>
          <a:spLocks noChangeAspect="1"/>
        </xdr:cNvSpPr>
      </xdr:nvSpPr>
      <xdr:spPr>
        <a:xfrm>
          <a:off x="312336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37</xdr:row>
      <xdr:rowOff>114450</xdr:rowOff>
    </xdr:from>
    <xdr:to>
      <xdr:col>46</xdr:col>
      <xdr:colOff>118800</xdr:colOff>
      <xdr:row>43</xdr:row>
      <xdr:rowOff>21751</xdr:rowOff>
    </xdr:to>
    <xdr:sp macro="" textlink="">
      <xdr:nvSpPr>
        <xdr:cNvPr id="245913" name="フリーフォーム: 図形 245912">
          <a:extLst>
            <a:ext uri="{FF2B5EF4-FFF2-40B4-BE49-F238E27FC236}">
              <a16:creationId xmlns:a16="http://schemas.microsoft.com/office/drawing/2014/main" id="{AA4E130A-9347-4500-9485-E4ABBBB0B204}"/>
            </a:ext>
          </a:extLst>
        </xdr:cNvPr>
        <xdr:cNvSpPr>
          <a:spLocks noChangeAspect="1"/>
        </xdr:cNvSpPr>
      </xdr:nvSpPr>
      <xdr:spPr>
        <a:xfrm>
          <a:off x="314135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42</xdr:row>
      <xdr:rowOff>139200</xdr:rowOff>
    </xdr:from>
    <xdr:to>
      <xdr:col>46</xdr:col>
      <xdr:colOff>388802</xdr:colOff>
      <xdr:row>43</xdr:row>
      <xdr:rowOff>111751</xdr:rowOff>
    </xdr:to>
    <xdr:sp macro="" textlink="">
      <xdr:nvSpPr>
        <xdr:cNvPr id="245914" name="フリーフォーム: 図形 245913">
          <a:extLst>
            <a:ext uri="{FF2B5EF4-FFF2-40B4-BE49-F238E27FC236}">
              <a16:creationId xmlns:a16="http://schemas.microsoft.com/office/drawing/2014/main" id="{4C7FFC86-9F60-4486-8EAD-FAB474DEA2DF}"/>
            </a:ext>
          </a:extLst>
        </xdr:cNvPr>
        <xdr:cNvSpPr>
          <a:spLocks noChangeAspect="1"/>
        </xdr:cNvSpPr>
      </xdr:nvSpPr>
      <xdr:spPr>
        <a:xfrm>
          <a:off x="314856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42</xdr:row>
      <xdr:rowOff>139200</xdr:rowOff>
    </xdr:from>
    <xdr:to>
      <xdr:col>47</xdr:col>
      <xdr:colOff>207002</xdr:colOff>
      <xdr:row>43</xdr:row>
      <xdr:rowOff>111751</xdr:rowOff>
    </xdr:to>
    <xdr:sp macro="" textlink="">
      <xdr:nvSpPr>
        <xdr:cNvPr id="245915" name="フリーフォーム: 図形 245914">
          <a:extLst>
            <a:ext uri="{FF2B5EF4-FFF2-40B4-BE49-F238E27FC236}">
              <a16:creationId xmlns:a16="http://schemas.microsoft.com/office/drawing/2014/main" id="{6B8BEDCE-E7E5-46A0-931D-FDEC7B245B58}"/>
            </a:ext>
          </a:extLst>
        </xdr:cNvPr>
        <xdr:cNvSpPr>
          <a:spLocks noChangeAspect="1"/>
        </xdr:cNvSpPr>
      </xdr:nvSpPr>
      <xdr:spPr>
        <a:xfrm>
          <a:off x="319896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38</xdr:row>
      <xdr:rowOff>51000</xdr:rowOff>
    </xdr:from>
    <xdr:to>
      <xdr:col>46</xdr:col>
      <xdr:colOff>406801</xdr:colOff>
      <xdr:row>43</xdr:row>
      <xdr:rowOff>3751</xdr:rowOff>
    </xdr:to>
    <xdr:sp macro="" textlink="">
      <xdr:nvSpPr>
        <xdr:cNvPr id="245916" name="フリーフォーム: 図形 245915">
          <a:extLst>
            <a:ext uri="{FF2B5EF4-FFF2-40B4-BE49-F238E27FC236}">
              <a16:creationId xmlns:a16="http://schemas.microsoft.com/office/drawing/2014/main" id="{4EE9E850-B064-4F1F-98C8-133C4DD9B29F}"/>
            </a:ext>
          </a:extLst>
        </xdr:cNvPr>
        <xdr:cNvSpPr>
          <a:spLocks noChangeAspect="1"/>
        </xdr:cNvSpPr>
      </xdr:nvSpPr>
      <xdr:spPr>
        <a:xfrm>
          <a:off x="316836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37</xdr:row>
      <xdr:rowOff>114450</xdr:rowOff>
    </xdr:from>
    <xdr:to>
      <xdr:col>46</xdr:col>
      <xdr:colOff>658801</xdr:colOff>
      <xdr:row>42</xdr:row>
      <xdr:rowOff>157201</xdr:rowOff>
    </xdr:to>
    <xdr:sp macro="" textlink="">
      <xdr:nvSpPr>
        <xdr:cNvPr id="245917" name="フリーフォーム: 図形 245916">
          <a:extLst>
            <a:ext uri="{FF2B5EF4-FFF2-40B4-BE49-F238E27FC236}">
              <a16:creationId xmlns:a16="http://schemas.microsoft.com/office/drawing/2014/main" id="{69C6A8F7-AA9B-4F9B-ADB1-49A9B391AEA1}"/>
            </a:ext>
          </a:extLst>
        </xdr:cNvPr>
        <xdr:cNvSpPr>
          <a:spLocks noChangeAspect="1"/>
        </xdr:cNvSpPr>
      </xdr:nvSpPr>
      <xdr:spPr>
        <a:xfrm>
          <a:off x="319536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38</xdr:row>
      <xdr:rowOff>69000</xdr:rowOff>
    </xdr:from>
    <xdr:to>
      <xdr:col>47</xdr:col>
      <xdr:colOff>297000</xdr:colOff>
      <xdr:row>43</xdr:row>
      <xdr:rowOff>3751</xdr:rowOff>
    </xdr:to>
    <xdr:sp macro="" textlink="">
      <xdr:nvSpPr>
        <xdr:cNvPr id="245918" name="フリーフォーム: 図形 245917">
          <a:extLst>
            <a:ext uri="{FF2B5EF4-FFF2-40B4-BE49-F238E27FC236}">
              <a16:creationId xmlns:a16="http://schemas.microsoft.com/office/drawing/2014/main" id="{6281B6D0-C3CA-42A2-8EB8-F9BAE0168205}"/>
            </a:ext>
          </a:extLst>
        </xdr:cNvPr>
        <xdr:cNvSpPr>
          <a:spLocks noChangeAspect="1"/>
        </xdr:cNvSpPr>
      </xdr:nvSpPr>
      <xdr:spPr>
        <a:xfrm>
          <a:off x="320076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43</xdr:row>
      <xdr:rowOff>75750</xdr:rowOff>
    </xdr:from>
    <xdr:to>
      <xdr:col>47</xdr:col>
      <xdr:colOff>9002</xdr:colOff>
      <xdr:row>47</xdr:row>
      <xdr:rowOff>163951</xdr:rowOff>
    </xdr:to>
    <xdr:sp macro="" textlink="">
      <xdr:nvSpPr>
        <xdr:cNvPr id="245919" name="フリーフォーム: 図形 245918">
          <a:extLst>
            <a:ext uri="{FF2B5EF4-FFF2-40B4-BE49-F238E27FC236}">
              <a16:creationId xmlns:a16="http://schemas.microsoft.com/office/drawing/2014/main" id="{486446F6-15A0-4230-BA20-D0D28F44ADC2}"/>
            </a:ext>
          </a:extLst>
        </xdr:cNvPr>
        <xdr:cNvSpPr>
          <a:spLocks noChangeAspect="1"/>
        </xdr:cNvSpPr>
      </xdr:nvSpPr>
      <xdr:spPr>
        <a:xfrm>
          <a:off x="319715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43</xdr:row>
      <xdr:rowOff>93750</xdr:rowOff>
    </xdr:from>
    <xdr:to>
      <xdr:col>46</xdr:col>
      <xdr:colOff>424800</xdr:colOff>
      <xdr:row>48</xdr:row>
      <xdr:rowOff>118501</xdr:rowOff>
    </xdr:to>
    <xdr:sp macro="" textlink="">
      <xdr:nvSpPr>
        <xdr:cNvPr id="245920" name="フリーフォーム: 図形 245919">
          <a:extLst>
            <a:ext uri="{FF2B5EF4-FFF2-40B4-BE49-F238E27FC236}">
              <a16:creationId xmlns:a16="http://schemas.microsoft.com/office/drawing/2014/main" id="{D4C27714-EBE7-4CA3-81C8-BE3B0662F145}"/>
            </a:ext>
          </a:extLst>
        </xdr:cNvPr>
        <xdr:cNvSpPr>
          <a:spLocks noChangeAspect="1"/>
        </xdr:cNvSpPr>
      </xdr:nvSpPr>
      <xdr:spPr>
        <a:xfrm>
          <a:off x="317376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43</xdr:row>
      <xdr:rowOff>75750</xdr:rowOff>
    </xdr:from>
    <xdr:to>
      <xdr:col>46</xdr:col>
      <xdr:colOff>388802</xdr:colOff>
      <xdr:row>48</xdr:row>
      <xdr:rowOff>10501</xdr:rowOff>
    </xdr:to>
    <xdr:sp macro="" textlink="">
      <xdr:nvSpPr>
        <xdr:cNvPr id="245921" name="フリーフォーム: 図形 245920">
          <a:extLst>
            <a:ext uri="{FF2B5EF4-FFF2-40B4-BE49-F238E27FC236}">
              <a16:creationId xmlns:a16="http://schemas.microsoft.com/office/drawing/2014/main" id="{01193C63-E3AD-4B31-98E2-FF5C52609068}"/>
            </a:ext>
          </a:extLst>
        </xdr:cNvPr>
        <xdr:cNvSpPr>
          <a:spLocks noChangeAspect="1"/>
        </xdr:cNvSpPr>
      </xdr:nvSpPr>
      <xdr:spPr>
        <a:xfrm>
          <a:off x="314135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37</xdr:row>
      <xdr:rowOff>42450</xdr:rowOff>
    </xdr:from>
    <xdr:to>
      <xdr:col>49</xdr:col>
      <xdr:colOff>322201</xdr:colOff>
      <xdr:row>38</xdr:row>
      <xdr:rowOff>15001</xdr:rowOff>
    </xdr:to>
    <xdr:sp macro="" textlink="">
      <xdr:nvSpPr>
        <xdr:cNvPr id="245922" name="フリーフォーム: 図形 245921">
          <a:extLst>
            <a:ext uri="{FF2B5EF4-FFF2-40B4-BE49-F238E27FC236}">
              <a16:creationId xmlns:a16="http://schemas.microsoft.com/office/drawing/2014/main" id="{D6D86371-6373-40F3-B6E9-8BDC4E53B8A8}"/>
            </a:ext>
          </a:extLst>
        </xdr:cNvPr>
        <xdr:cNvSpPr>
          <a:spLocks noChangeAspect="1"/>
        </xdr:cNvSpPr>
      </xdr:nvSpPr>
      <xdr:spPr>
        <a:xfrm>
          <a:off x="334584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37</xdr:row>
      <xdr:rowOff>42450</xdr:rowOff>
    </xdr:from>
    <xdr:to>
      <xdr:col>50</xdr:col>
      <xdr:colOff>176400</xdr:colOff>
      <xdr:row>38</xdr:row>
      <xdr:rowOff>15001</xdr:rowOff>
    </xdr:to>
    <xdr:sp macro="" textlink="">
      <xdr:nvSpPr>
        <xdr:cNvPr id="245923" name="フリーフォーム: 図形 245922">
          <a:extLst>
            <a:ext uri="{FF2B5EF4-FFF2-40B4-BE49-F238E27FC236}">
              <a16:creationId xmlns:a16="http://schemas.microsoft.com/office/drawing/2014/main" id="{C3A4DF0F-3CAF-42D3-8947-CAEAF1E2D22D}"/>
            </a:ext>
          </a:extLst>
        </xdr:cNvPr>
        <xdr:cNvSpPr>
          <a:spLocks noChangeAspect="1"/>
        </xdr:cNvSpPr>
      </xdr:nvSpPr>
      <xdr:spPr>
        <a:xfrm>
          <a:off x="339983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37</xdr:row>
      <xdr:rowOff>114450</xdr:rowOff>
    </xdr:from>
    <xdr:to>
      <xdr:col>50</xdr:col>
      <xdr:colOff>248401</xdr:colOff>
      <xdr:row>43</xdr:row>
      <xdr:rowOff>21751</xdr:rowOff>
    </xdr:to>
    <xdr:sp macro="" textlink="">
      <xdr:nvSpPr>
        <xdr:cNvPr id="245924" name="フリーフォーム: 図形 245923">
          <a:extLst>
            <a:ext uri="{FF2B5EF4-FFF2-40B4-BE49-F238E27FC236}">
              <a16:creationId xmlns:a16="http://schemas.microsoft.com/office/drawing/2014/main" id="{9AA42390-9E07-4177-A91C-BA9CB04472B6}"/>
            </a:ext>
          </a:extLst>
        </xdr:cNvPr>
        <xdr:cNvSpPr>
          <a:spLocks noChangeAspect="1"/>
        </xdr:cNvSpPr>
      </xdr:nvSpPr>
      <xdr:spPr>
        <a:xfrm>
          <a:off x="342503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43</xdr:row>
      <xdr:rowOff>75750</xdr:rowOff>
    </xdr:from>
    <xdr:to>
      <xdr:col>50</xdr:col>
      <xdr:colOff>68400</xdr:colOff>
      <xdr:row>48</xdr:row>
      <xdr:rowOff>136501</xdr:rowOff>
    </xdr:to>
    <xdr:sp macro="" textlink="">
      <xdr:nvSpPr>
        <xdr:cNvPr id="245925" name="フリーフォーム: 図形 245924">
          <a:extLst>
            <a:ext uri="{FF2B5EF4-FFF2-40B4-BE49-F238E27FC236}">
              <a16:creationId xmlns:a16="http://schemas.microsoft.com/office/drawing/2014/main" id="{CA3774A6-CBD2-4DD7-B2F8-DFD8D2C094F9}"/>
            </a:ext>
          </a:extLst>
        </xdr:cNvPr>
        <xdr:cNvSpPr>
          <a:spLocks noChangeAspect="1"/>
        </xdr:cNvSpPr>
      </xdr:nvSpPr>
      <xdr:spPr>
        <a:xfrm>
          <a:off x="340704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48</xdr:row>
      <xdr:rowOff>64500</xdr:rowOff>
    </xdr:from>
    <xdr:to>
      <xdr:col>48</xdr:col>
      <xdr:colOff>684000</xdr:colOff>
      <xdr:row>49</xdr:row>
      <xdr:rowOff>37051</xdr:rowOff>
    </xdr:to>
    <xdr:sp macro="" textlink="">
      <xdr:nvSpPr>
        <xdr:cNvPr id="245926" name="フリーフォーム: 図形 245925">
          <a:extLst>
            <a:ext uri="{FF2B5EF4-FFF2-40B4-BE49-F238E27FC236}">
              <a16:creationId xmlns:a16="http://schemas.microsoft.com/office/drawing/2014/main" id="{AB515F02-EF71-40A0-AD83-E6CF6D4457FB}"/>
            </a:ext>
          </a:extLst>
        </xdr:cNvPr>
        <xdr:cNvSpPr>
          <a:spLocks noChangeAspect="1"/>
        </xdr:cNvSpPr>
      </xdr:nvSpPr>
      <xdr:spPr>
        <a:xfrm>
          <a:off x="331164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48</xdr:row>
      <xdr:rowOff>64500</xdr:rowOff>
    </xdr:from>
    <xdr:to>
      <xdr:col>49</xdr:col>
      <xdr:colOff>502200</xdr:colOff>
      <xdr:row>49</xdr:row>
      <xdr:rowOff>37051</xdr:rowOff>
    </xdr:to>
    <xdr:sp macro="" textlink="">
      <xdr:nvSpPr>
        <xdr:cNvPr id="245927" name="フリーフォーム: 図形 245926">
          <a:extLst>
            <a:ext uri="{FF2B5EF4-FFF2-40B4-BE49-F238E27FC236}">
              <a16:creationId xmlns:a16="http://schemas.microsoft.com/office/drawing/2014/main" id="{C8B56E43-7985-4144-B598-810A715ECEAB}"/>
            </a:ext>
          </a:extLst>
        </xdr:cNvPr>
        <xdr:cNvSpPr>
          <a:spLocks noChangeAspect="1"/>
        </xdr:cNvSpPr>
      </xdr:nvSpPr>
      <xdr:spPr>
        <a:xfrm>
          <a:off x="336383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43</xdr:row>
      <xdr:rowOff>75750</xdr:rowOff>
    </xdr:from>
    <xdr:to>
      <xdr:col>48</xdr:col>
      <xdr:colOff>432003</xdr:colOff>
      <xdr:row>48</xdr:row>
      <xdr:rowOff>136501</xdr:rowOff>
    </xdr:to>
    <xdr:sp macro="" textlink="">
      <xdr:nvSpPr>
        <xdr:cNvPr id="245928" name="フリーフォーム: 図形 245927">
          <a:extLst>
            <a:ext uri="{FF2B5EF4-FFF2-40B4-BE49-F238E27FC236}">
              <a16:creationId xmlns:a16="http://schemas.microsoft.com/office/drawing/2014/main" id="{814E812A-0F11-4BFC-A577-9FDDF396DDD0}"/>
            </a:ext>
          </a:extLst>
        </xdr:cNvPr>
        <xdr:cNvSpPr>
          <a:spLocks noChangeAspect="1"/>
        </xdr:cNvSpPr>
      </xdr:nvSpPr>
      <xdr:spPr>
        <a:xfrm>
          <a:off x="330624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37</xdr:row>
      <xdr:rowOff>114450</xdr:rowOff>
    </xdr:from>
    <xdr:to>
      <xdr:col>48</xdr:col>
      <xdr:colOff>576000</xdr:colOff>
      <xdr:row>43</xdr:row>
      <xdr:rowOff>21751</xdr:rowOff>
    </xdr:to>
    <xdr:sp macro="" textlink="">
      <xdr:nvSpPr>
        <xdr:cNvPr id="245929" name="フリーフォーム: 図形 245928">
          <a:extLst>
            <a:ext uri="{FF2B5EF4-FFF2-40B4-BE49-F238E27FC236}">
              <a16:creationId xmlns:a16="http://schemas.microsoft.com/office/drawing/2014/main" id="{CDDE7204-78C2-4AFD-A2F3-CCE6CF42DC6E}"/>
            </a:ext>
          </a:extLst>
        </xdr:cNvPr>
        <xdr:cNvSpPr>
          <a:spLocks noChangeAspect="1"/>
        </xdr:cNvSpPr>
      </xdr:nvSpPr>
      <xdr:spPr>
        <a:xfrm>
          <a:off x="332423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42</xdr:row>
      <xdr:rowOff>139200</xdr:rowOff>
    </xdr:from>
    <xdr:to>
      <xdr:col>49</xdr:col>
      <xdr:colOff>160202</xdr:colOff>
      <xdr:row>43</xdr:row>
      <xdr:rowOff>111751</xdr:rowOff>
    </xdr:to>
    <xdr:sp macro="" textlink="">
      <xdr:nvSpPr>
        <xdr:cNvPr id="245930" name="フリーフォーム: 図形 245929">
          <a:extLst>
            <a:ext uri="{FF2B5EF4-FFF2-40B4-BE49-F238E27FC236}">
              <a16:creationId xmlns:a16="http://schemas.microsoft.com/office/drawing/2014/main" id="{496869C1-8627-4502-8F4B-A5C957AC3284}"/>
            </a:ext>
          </a:extLst>
        </xdr:cNvPr>
        <xdr:cNvSpPr>
          <a:spLocks noChangeAspect="1"/>
        </xdr:cNvSpPr>
      </xdr:nvSpPr>
      <xdr:spPr>
        <a:xfrm>
          <a:off x="333144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42</xdr:row>
      <xdr:rowOff>139200</xdr:rowOff>
    </xdr:from>
    <xdr:to>
      <xdr:col>49</xdr:col>
      <xdr:colOff>664202</xdr:colOff>
      <xdr:row>43</xdr:row>
      <xdr:rowOff>111751</xdr:rowOff>
    </xdr:to>
    <xdr:sp macro="" textlink="">
      <xdr:nvSpPr>
        <xdr:cNvPr id="245931" name="フリーフォーム: 図形 245930">
          <a:extLst>
            <a:ext uri="{FF2B5EF4-FFF2-40B4-BE49-F238E27FC236}">
              <a16:creationId xmlns:a16="http://schemas.microsoft.com/office/drawing/2014/main" id="{DFCCA8FA-3566-46A0-954E-CEA5013BE52E}"/>
            </a:ext>
          </a:extLst>
        </xdr:cNvPr>
        <xdr:cNvSpPr>
          <a:spLocks noChangeAspect="1"/>
        </xdr:cNvSpPr>
      </xdr:nvSpPr>
      <xdr:spPr>
        <a:xfrm>
          <a:off x="338184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38</xdr:row>
      <xdr:rowOff>51000</xdr:rowOff>
    </xdr:from>
    <xdr:to>
      <xdr:col>49</xdr:col>
      <xdr:colOff>178201</xdr:colOff>
      <xdr:row>43</xdr:row>
      <xdr:rowOff>3751</xdr:rowOff>
    </xdr:to>
    <xdr:sp macro="" textlink="">
      <xdr:nvSpPr>
        <xdr:cNvPr id="245932" name="フリーフォーム: 図形 245931">
          <a:extLst>
            <a:ext uri="{FF2B5EF4-FFF2-40B4-BE49-F238E27FC236}">
              <a16:creationId xmlns:a16="http://schemas.microsoft.com/office/drawing/2014/main" id="{85B35FFA-D66A-4C76-994F-7EF39E7D11DF}"/>
            </a:ext>
          </a:extLst>
        </xdr:cNvPr>
        <xdr:cNvSpPr>
          <a:spLocks noChangeAspect="1"/>
        </xdr:cNvSpPr>
      </xdr:nvSpPr>
      <xdr:spPr>
        <a:xfrm>
          <a:off x="335124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37</xdr:row>
      <xdr:rowOff>114450</xdr:rowOff>
    </xdr:from>
    <xdr:to>
      <xdr:col>49</xdr:col>
      <xdr:colOff>430201</xdr:colOff>
      <xdr:row>42</xdr:row>
      <xdr:rowOff>157201</xdr:rowOff>
    </xdr:to>
    <xdr:sp macro="" textlink="">
      <xdr:nvSpPr>
        <xdr:cNvPr id="245933" name="フリーフォーム: 図形 245932">
          <a:extLst>
            <a:ext uri="{FF2B5EF4-FFF2-40B4-BE49-F238E27FC236}">
              <a16:creationId xmlns:a16="http://schemas.microsoft.com/office/drawing/2014/main" id="{92191B08-DF91-4A43-9326-ED807D650AED}"/>
            </a:ext>
          </a:extLst>
        </xdr:cNvPr>
        <xdr:cNvSpPr>
          <a:spLocks noChangeAspect="1"/>
        </xdr:cNvSpPr>
      </xdr:nvSpPr>
      <xdr:spPr>
        <a:xfrm>
          <a:off x="337824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38</xdr:row>
      <xdr:rowOff>69000</xdr:rowOff>
    </xdr:from>
    <xdr:to>
      <xdr:col>50</xdr:col>
      <xdr:colOff>68400</xdr:colOff>
      <xdr:row>43</xdr:row>
      <xdr:rowOff>3751</xdr:rowOff>
    </xdr:to>
    <xdr:sp macro="" textlink="">
      <xdr:nvSpPr>
        <xdr:cNvPr id="245934" name="フリーフォーム: 図形 245933">
          <a:extLst>
            <a:ext uri="{FF2B5EF4-FFF2-40B4-BE49-F238E27FC236}">
              <a16:creationId xmlns:a16="http://schemas.microsoft.com/office/drawing/2014/main" id="{49B7E464-0236-47D5-B9A5-98BAEE0F8F54}"/>
            </a:ext>
          </a:extLst>
        </xdr:cNvPr>
        <xdr:cNvSpPr>
          <a:spLocks noChangeAspect="1"/>
        </xdr:cNvSpPr>
      </xdr:nvSpPr>
      <xdr:spPr>
        <a:xfrm>
          <a:off x="338364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43</xdr:row>
      <xdr:rowOff>75750</xdr:rowOff>
    </xdr:from>
    <xdr:to>
      <xdr:col>49</xdr:col>
      <xdr:colOff>466202</xdr:colOff>
      <xdr:row>47</xdr:row>
      <xdr:rowOff>163951</xdr:rowOff>
    </xdr:to>
    <xdr:sp macro="" textlink="">
      <xdr:nvSpPr>
        <xdr:cNvPr id="245935" name="フリーフォーム: 図形 245934">
          <a:extLst>
            <a:ext uri="{FF2B5EF4-FFF2-40B4-BE49-F238E27FC236}">
              <a16:creationId xmlns:a16="http://schemas.microsoft.com/office/drawing/2014/main" id="{CC8C3668-001A-4114-9F17-1BD7351A4CC5}"/>
            </a:ext>
          </a:extLst>
        </xdr:cNvPr>
        <xdr:cNvSpPr>
          <a:spLocks noChangeAspect="1"/>
        </xdr:cNvSpPr>
      </xdr:nvSpPr>
      <xdr:spPr>
        <a:xfrm>
          <a:off x="338003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43</xdr:row>
      <xdr:rowOff>93750</xdr:rowOff>
    </xdr:from>
    <xdr:to>
      <xdr:col>49</xdr:col>
      <xdr:colOff>196200</xdr:colOff>
      <xdr:row>48</xdr:row>
      <xdr:rowOff>118501</xdr:rowOff>
    </xdr:to>
    <xdr:sp macro="" textlink="">
      <xdr:nvSpPr>
        <xdr:cNvPr id="245936" name="フリーフォーム: 図形 245935">
          <a:extLst>
            <a:ext uri="{FF2B5EF4-FFF2-40B4-BE49-F238E27FC236}">
              <a16:creationId xmlns:a16="http://schemas.microsoft.com/office/drawing/2014/main" id="{AAA9DFC3-B03E-478C-AD36-9523D940B007}"/>
            </a:ext>
          </a:extLst>
        </xdr:cNvPr>
        <xdr:cNvSpPr>
          <a:spLocks noChangeAspect="1"/>
        </xdr:cNvSpPr>
      </xdr:nvSpPr>
      <xdr:spPr>
        <a:xfrm>
          <a:off x="335664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43</xdr:row>
      <xdr:rowOff>75750</xdr:rowOff>
    </xdr:from>
    <xdr:to>
      <xdr:col>49</xdr:col>
      <xdr:colOff>160202</xdr:colOff>
      <xdr:row>48</xdr:row>
      <xdr:rowOff>10501</xdr:rowOff>
    </xdr:to>
    <xdr:sp macro="" textlink="">
      <xdr:nvSpPr>
        <xdr:cNvPr id="245937" name="フリーフォーム: 図形 245936">
          <a:extLst>
            <a:ext uri="{FF2B5EF4-FFF2-40B4-BE49-F238E27FC236}">
              <a16:creationId xmlns:a16="http://schemas.microsoft.com/office/drawing/2014/main" id="{F7C3E009-B561-4A18-9DBF-D3B91BAE4D94}"/>
            </a:ext>
          </a:extLst>
        </xdr:cNvPr>
        <xdr:cNvSpPr>
          <a:spLocks noChangeAspect="1"/>
        </xdr:cNvSpPr>
      </xdr:nvSpPr>
      <xdr:spPr>
        <a:xfrm>
          <a:off x="332423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37</xdr:row>
      <xdr:rowOff>42450</xdr:rowOff>
    </xdr:from>
    <xdr:to>
      <xdr:col>52</xdr:col>
      <xdr:colOff>93601</xdr:colOff>
      <xdr:row>38</xdr:row>
      <xdr:rowOff>15001</xdr:rowOff>
    </xdr:to>
    <xdr:sp macro="" textlink="">
      <xdr:nvSpPr>
        <xdr:cNvPr id="245938" name="フリーフォーム: 図形 245937">
          <a:extLst>
            <a:ext uri="{FF2B5EF4-FFF2-40B4-BE49-F238E27FC236}">
              <a16:creationId xmlns:a16="http://schemas.microsoft.com/office/drawing/2014/main" id="{D696C5AC-CE79-45AF-B582-70D341E88B52}"/>
            </a:ext>
          </a:extLst>
        </xdr:cNvPr>
        <xdr:cNvSpPr>
          <a:spLocks noChangeAspect="1"/>
        </xdr:cNvSpPr>
      </xdr:nvSpPr>
      <xdr:spPr>
        <a:xfrm>
          <a:off x="352872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37</xdr:row>
      <xdr:rowOff>42450</xdr:rowOff>
    </xdr:from>
    <xdr:to>
      <xdr:col>52</xdr:col>
      <xdr:colOff>633600</xdr:colOff>
      <xdr:row>38</xdr:row>
      <xdr:rowOff>15001</xdr:rowOff>
    </xdr:to>
    <xdr:sp macro="" textlink="">
      <xdr:nvSpPr>
        <xdr:cNvPr id="245939" name="フリーフォーム: 図形 245938">
          <a:extLst>
            <a:ext uri="{FF2B5EF4-FFF2-40B4-BE49-F238E27FC236}">
              <a16:creationId xmlns:a16="http://schemas.microsoft.com/office/drawing/2014/main" id="{6F47EFD0-5433-48B8-B749-233C95D92298}"/>
            </a:ext>
          </a:extLst>
        </xdr:cNvPr>
        <xdr:cNvSpPr>
          <a:spLocks noChangeAspect="1"/>
        </xdr:cNvSpPr>
      </xdr:nvSpPr>
      <xdr:spPr>
        <a:xfrm>
          <a:off x="358271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37</xdr:row>
      <xdr:rowOff>114450</xdr:rowOff>
    </xdr:from>
    <xdr:to>
      <xdr:col>53</xdr:col>
      <xdr:colOff>19801</xdr:colOff>
      <xdr:row>43</xdr:row>
      <xdr:rowOff>21751</xdr:rowOff>
    </xdr:to>
    <xdr:sp macro="" textlink="">
      <xdr:nvSpPr>
        <xdr:cNvPr id="245940" name="フリーフォーム: 図形 245939">
          <a:extLst>
            <a:ext uri="{FF2B5EF4-FFF2-40B4-BE49-F238E27FC236}">
              <a16:creationId xmlns:a16="http://schemas.microsoft.com/office/drawing/2014/main" id="{FF1EE2B6-F0D2-4C2D-AB90-48D840700108}"/>
            </a:ext>
          </a:extLst>
        </xdr:cNvPr>
        <xdr:cNvSpPr>
          <a:spLocks noChangeAspect="1"/>
        </xdr:cNvSpPr>
      </xdr:nvSpPr>
      <xdr:spPr>
        <a:xfrm>
          <a:off x="360791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43</xdr:row>
      <xdr:rowOff>75750</xdr:rowOff>
    </xdr:from>
    <xdr:to>
      <xdr:col>52</xdr:col>
      <xdr:colOff>525600</xdr:colOff>
      <xdr:row>48</xdr:row>
      <xdr:rowOff>136501</xdr:rowOff>
    </xdr:to>
    <xdr:sp macro="" textlink="">
      <xdr:nvSpPr>
        <xdr:cNvPr id="245941" name="フリーフォーム: 図形 245940">
          <a:extLst>
            <a:ext uri="{FF2B5EF4-FFF2-40B4-BE49-F238E27FC236}">
              <a16:creationId xmlns:a16="http://schemas.microsoft.com/office/drawing/2014/main" id="{90378764-F3A8-4C16-8836-68B163193A91}"/>
            </a:ext>
          </a:extLst>
        </xdr:cNvPr>
        <xdr:cNvSpPr>
          <a:spLocks noChangeAspect="1"/>
        </xdr:cNvSpPr>
      </xdr:nvSpPr>
      <xdr:spPr>
        <a:xfrm>
          <a:off x="358992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48</xdr:row>
      <xdr:rowOff>64500</xdr:rowOff>
    </xdr:from>
    <xdr:to>
      <xdr:col>51</xdr:col>
      <xdr:colOff>455400</xdr:colOff>
      <xdr:row>49</xdr:row>
      <xdr:rowOff>37051</xdr:rowOff>
    </xdr:to>
    <xdr:sp macro="" textlink="">
      <xdr:nvSpPr>
        <xdr:cNvPr id="245942" name="フリーフォーム: 図形 245941">
          <a:extLst>
            <a:ext uri="{FF2B5EF4-FFF2-40B4-BE49-F238E27FC236}">
              <a16:creationId xmlns:a16="http://schemas.microsoft.com/office/drawing/2014/main" id="{B4FF0077-C812-4608-AF5E-720C6ECE4FD2}"/>
            </a:ext>
          </a:extLst>
        </xdr:cNvPr>
        <xdr:cNvSpPr>
          <a:spLocks noChangeAspect="1"/>
        </xdr:cNvSpPr>
      </xdr:nvSpPr>
      <xdr:spPr>
        <a:xfrm>
          <a:off x="349452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48</xdr:row>
      <xdr:rowOff>64500</xdr:rowOff>
    </xdr:from>
    <xdr:to>
      <xdr:col>52</xdr:col>
      <xdr:colOff>273600</xdr:colOff>
      <xdr:row>49</xdr:row>
      <xdr:rowOff>37051</xdr:rowOff>
    </xdr:to>
    <xdr:sp macro="" textlink="">
      <xdr:nvSpPr>
        <xdr:cNvPr id="245943" name="フリーフォーム: 図形 245942">
          <a:extLst>
            <a:ext uri="{FF2B5EF4-FFF2-40B4-BE49-F238E27FC236}">
              <a16:creationId xmlns:a16="http://schemas.microsoft.com/office/drawing/2014/main" id="{DA6A7813-05BE-422B-ACA2-75C980D83F60}"/>
            </a:ext>
          </a:extLst>
        </xdr:cNvPr>
        <xdr:cNvSpPr>
          <a:spLocks noChangeAspect="1"/>
        </xdr:cNvSpPr>
      </xdr:nvSpPr>
      <xdr:spPr>
        <a:xfrm>
          <a:off x="354671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43</xdr:row>
      <xdr:rowOff>75750</xdr:rowOff>
    </xdr:from>
    <xdr:to>
      <xdr:col>51</xdr:col>
      <xdr:colOff>203403</xdr:colOff>
      <xdr:row>48</xdr:row>
      <xdr:rowOff>136501</xdr:rowOff>
    </xdr:to>
    <xdr:sp macro="" textlink="">
      <xdr:nvSpPr>
        <xdr:cNvPr id="245944" name="フリーフォーム: 図形 245943">
          <a:extLst>
            <a:ext uri="{FF2B5EF4-FFF2-40B4-BE49-F238E27FC236}">
              <a16:creationId xmlns:a16="http://schemas.microsoft.com/office/drawing/2014/main" id="{C3D08E7F-F009-4F30-AF59-BDDB2F65431B}"/>
            </a:ext>
          </a:extLst>
        </xdr:cNvPr>
        <xdr:cNvSpPr>
          <a:spLocks noChangeAspect="1"/>
        </xdr:cNvSpPr>
      </xdr:nvSpPr>
      <xdr:spPr>
        <a:xfrm>
          <a:off x="348912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37</xdr:row>
      <xdr:rowOff>114450</xdr:rowOff>
    </xdr:from>
    <xdr:to>
      <xdr:col>51</xdr:col>
      <xdr:colOff>347400</xdr:colOff>
      <xdr:row>43</xdr:row>
      <xdr:rowOff>21751</xdr:rowOff>
    </xdr:to>
    <xdr:sp macro="" textlink="">
      <xdr:nvSpPr>
        <xdr:cNvPr id="245945" name="フリーフォーム: 図形 245944">
          <a:extLst>
            <a:ext uri="{FF2B5EF4-FFF2-40B4-BE49-F238E27FC236}">
              <a16:creationId xmlns:a16="http://schemas.microsoft.com/office/drawing/2014/main" id="{355DE685-FBAB-4CE6-8209-271D48A18A94}"/>
            </a:ext>
          </a:extLst>
        </xdr:cNvPr>
        <xdr:cNvSpPr>
          <a:spLocks noChangeAspect="1"/>
        </xdr:cNvSpPr>
      </xdr:nvSpPr>
      <xdr:spPr>
        <a:xfrm>
          <a:off x="350711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42</xdr:row>
      <xdr:rowOff>139200</xdr:rowOff>
    </xdr:from>
    <xdr:to>
      <xdr:col>51</xdr:col>
      <xdr:colOff>617402</xdr:colOff>
      <xdr:row>43</xdr:row>
      <xdr:rowOff>111751</xdr:rowOff>
    </xdr:to>
    <xdr:sp macro="" textlink="">
      <xdr:nvSpPr>
        <xdr:cNvPr id="245946" name="フリーフォーム: 図形 245945">
          <a:extLst>
            <a:ext uri="{FF2B5EF4-FFF2-40B4-BE49-F238E27FC236}">
              <a16:creationId xmlns:a16="http://schemas.microsoft.com/office/drawing/2014/main" id="{6CF7DA7C-0A8A-4B54-997A-2F356188DBC0}"/>
            </a:ext>
          </a:extLst>
        </xdr:cNvPr>
        <xdr:cNvSpPr>
          <a:spLocks noChangeAspect="1"/>
        </xdr:cNvSpPr>
      </xdr:nvSpPr>
      <xdr:spPr>
        <a:xfrm>
          <a:off x="351432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42</xdr:row>
      <xdr:rowOff>139200</xdr:rowOff>
    </xdr:from>
    <xdr:to>
      <xdr:col>52</xdr:col>
      <xdr:colOff>435602</xdr:colOff>
      <xdr:row>43</xdr:row>
      <xdr:rowOff>111751</xdr:rowOff>
    </xdr:to>
    <xdr:sp macro="" textlink="">
      <xdr:nvSpPr>
        <xdr:cNvPr id="245947" name="フリーフォーム: 図形 245946">
          <a:extLst>
            <a:ext uri="{FF2B5EF4-FFF2-40B4-BE49-F238E27FC236}">
              <a16:creationId xmlns:a16="http://schemas.microsoft.com/office/drawing/2014/main" id="{C173AD38-5DB6-4452-A8E8-945C12CCD127}"/>
            </a:ext>
          </a:extLst>
        </xdr:cNvPr>
        <xdr:cNvSpPr>
          <a:spLocks noChangeAspect="1"/>
        </xdr:cNvSpPr>
      </xdr:nvSpPr>
      <xdr:spPr>
        <a:xfrm>
          <a:off x="356472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38</xdr:row>
      <xdr:rowOff>51000</xdr:rowOff>
    </xdr:from>
    <xdr:to>
      <xdr:col>51</xdr:col>
      <xdr:colOff>635401</xdr:colOff>
      <xdr:row>43</xdr:row>
      <xdr:rowOff>3751</xdr:rowOff>
    </xdr:to>
    <xdr:sp macro="" textlink="">
      <xdr:nvSpPr>
        <xdr:cNvPr id="245948" name="フリーフォーム: 図形 245947">
          <a:extLst>
            <a:ext uri="{FF2B5EF4-FFF2-40B4-BE49-F238E27FC236}">
              <a16:creationId xmlns:a16="http://schemas.microsoft.com/office/drawing/2014/main" id="{DF7D0FDC-82CE-43BC-98A6-9226BCCD78FF}"/>
            </a:ext>
          </a:extLst>
        </xdr:cNvPr>
        <xdr:cNvSpPr>
          <a:spLocks noChangeAspect="1"/>
        </xdr:cNvSpPr>
      </xdr:nvSpPr>
      <xdr:spPr>
        <a:xfrm>
          <a:off x="353412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37</xdr:row>
      <xdr:rowOff>114450</xdr:rowOff>
    </xdr:from>
    <xdr:to>
      <xdr:col>52</xdr:col>
      <xdr:colOff>201601</xdr:colOff>
      <xdr:row>42</xdr:row>
      <xdr:rowOff>157201</xdr:rowOff>
    </xdr:to>
    <xdr:sp macro="" textlink="">
      <xdr:nvSpPr>
        <xdr:cNvPr id="245949" name="フリーフォーム: 図形 245948">
          <a:extLst>
            <a:ext uri="{FF2B5EF4-FFF2-40B4-BE49-F238E27FC236}">
              <a16:creationId xmlns:a16="http://schemas.microsoft.com/office/drawing/2014/main" id="{CAF38206-A9E1-493C-B63D-7D8D19B5EE97}"/>
            </a:ext>
          </a:extLst>
        </xdr:cNvPr>
        <xdr:cNvSpPr>
          <a:spLocks noChangeAspect="1"/>
        </xdr:cNvSpPr>
      </xdr:nvSpPr>
      <xdr:spPr>
        <a:xfrm>
          <a:off x="356112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38</xdr:row>
      <xdr:rowOff>69000</xdr:rowOff>
    </xdr:from>
    <xdr:to>
      <xdr:col>52</xdr:col>
      <xdr:colOff>525600</xdr:colOff>
      <xdr:row>43</xdr:row>
      <xdr:rowOff>3751</xdr:rowOff>
    </xdr:to>
    <xdr:sp macro="" textlink="">
      <xdr:nvSpPr>
        <xdr:cNvPr id="245950" name="フリーフォーム: 図形 245949">
          <a:extLst>
            <a:ext uri="{FF2B5EF4-FFF2-40B4-BE49-F238E27FC236}">
              <a16:creationId xmlns:a16="http://schemas.microsoft.com/office/drawing/2014/main" id="{589810AF-B38C-4EF4-8D4B-D1EDC4E6130E}"/>
            </a:ext>
          </a:extLst>
        </xdr:cNvPr>
        <xdr:cNvSpPr>
          <a:spLocks noChangeAspect="1"/>
        </xdr:cNvSpPr>
      </xdr:nvSpPr>
      <xdr:spPr>
        <a:xfrm>
          <a:off x="356652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43</xdr:row>
      <xdr:rowOff>75750</xdr:rowOff>
    </xdr:from>
    <xdr:to>
      <xdr:col>52</xdr:col>
      <xdr:colOff>237602</xdr:colOff>
      <xdr:row>47</xdr:row>
      <xdr:rowOff>163951</xdr:rowOff>
    </xdr:to>
    <xdr:sp macro="" textlink="">
      <xdr:nvSpPr>
        <xdr:cNvPr id="245951" name="フリーフォーム: 図形 245950">
          <a:extLst>
            <a:ext uri="{FF2B5EF4-FFF2-40B4-BE49-F238E27FC236}">
              <a16:creationId xmlns:a16="http://schemas.microsoft.com/office/drawing/2014/main" id="{5BCBB02E-2DD1-4DCA-B6C1-7DCDE02B9AFC}"/>
            </a:ext>
          </a:extLst>
        </xdr:cNvPr>
        <xdr:cNvSpPr>
          <a:spLocks noChangeAspect="1"/>
        </xdr:cNvSpPr>
      </xdr:nvSpPr>
      <xdr:spPr>
        <a:xfrm>
          <a:off x="356291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43</xdr:row>
      <xdr:rowOff>93750</xdr:rowOff>
    </xdr:from>
    <xdr:to>
      <xdr:col>51</xdr:col>
      <xdr:colOff>653400</xdr:colOff>
      <xdr:row>48</xdr:row>
      <xdr:rowOff>118501</xdr:rowOff>
    </xdr:to>
    <xdr:sp macro="" textlink="">
      <xdr:nvSpPr>
        <xdr:cNvPr id="245952" name="フリーフォーム: 図形 245951">
          <a:extLst>
            <a:ext uri="{FF2B5EF4-FFF2-40B4-BE49-F238E27FC236}">
              <a16:creationId xmlns:a16="http://schemas.microsoft.com/office/drawing/2014/main" id="{348BD22C-94D3-4A69-A323-F3E0C2DB71FE}"/>
            </a:ext>
          </a:extLst>
        </xdr:cNvPr>
        <xdr:cNvSpPr>
          <a:spLocks noChangeAspect="1"/>
        </xdr:cNvSpPr>
      </xdr:nvSpPr>
      <xdr:spPr>
        <a:xfrm>
          <a:off x="353952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43</xdr:row>
      <xdr:rowOff>75750</xdr:rowOff>
    </xdr:from>
    <xdr:to>
      <xdr:col>51</xdr:col>
      <xdr:colOff>617402</xdr:colOff>
      <xdr:row>48</xdr:row>
      <xdr:rowOff>10501</xdr:rowOff>
    </xdr:to>
    <xdr:sp macro="" textlink="">
      <xdr:nvSpPr>
        <xdr:cNvPr id="245953" name="フリーフォーム: 図形 245952">
          <a:extLst>
            <a:ext uri="{FF2B5EF4-FFF2-40B4-BE49-F238E27FC236}">
              <a16:creationId xmlns:a16="http://schemas.microsoft.com/office/drawing/2014/main" id="{F7855BBB-F439-481D-8D8D-9BB39E6C031C}"/>
            </a:ext>
          </a:extLst>
        </xdr:cNvPr>
        <xdr:cNvSpPr>
          <a:spLocks noChangeAspect="1"/>
        </xdr:cNvSpPr>
      </xdr:nvSpPr>
      <xdr:spPr>
        <a:xfrm>
          <a:off x="350711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37</xdr:row>
      <xdr:rowOff>42450</xdr:rowOff>
    </xdr:from>
    <xdr:to>
      <xdr:col>54</xdr:col>
      <xdr:colOff>550801</xdr:colOff>
      <xdr:row>38</xdr:row>
      <xdr:rowOff>15001</xdr:rowOff>
    </xdr:to>
    <xdr:sp macro="" textlink="">
      <xdr:nvSpPr>
        <xdr:cNvPr id="245954" name="フリーフォーム: 図形 245953">
          <a:extLst>
            <a:ext uri="{FF2B5EF4-FFF2-40B4-BE49-F238E27FC236}">
              <a16:creationId xmlns:a16="http://schemas.microsoft.com/office/drawing/2014/main" id="{D081C285-2AE1-401F-972F-A1D6AF89427D}"/>
            </a:ext>
          </a:extLst>
        </xdr:cNvPr>
        <xdr:cNvSpPr>
          <a:spLocks noChangeAspect="1"/>
        </xdr:cNvSpPr>
      </xdr:nvSpPr>
      <xdr:spPr>
        <a:xfrm>
          <a:off x="371160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37</xdr:row>
      <xdr:rowOff>42450</xdr:rowOff>
    </xdr:from>
    <xdr:to>
      <xdr:col>55</xdr:col>
      <xdr:colOff>405000</xdr:colOff>
      <xdr:row>38</xdr:row>
      <xdr:rowOff>15001</xdr:rowOff>
    </xdr:to>
    <xdr:sp macro="" textlink="">
      <xdr:nvSpPr>
        <xdr:cNvPr id="245955" name="フリーフォーム: 図形 245954">
          <a:extLst>
            <a:ext uri="{FF2B5EF4-FFF2-40B4-BE49-F238E27FC236}">
              <a16:creationId xmlns:a16="http://schemas.microsoft.com/office/drawing/2014/main" id="{BAC04AF4-3A87-487B-8D10-43C083DED803}"/>
            </a:ext>
          </a:extLst>
        </xdr:cNvPr>
        <xdr:cNvSpPr>
          <a:spLocks noChangeAspect="1"/>
        </xdr:cNvSpPr>
      </xdr:nvSpPr>
      <xdr:spPr>
        <a:xfrm>
          <a:off x="376559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37</xdr:row>
      <xdr:rowOff>114450</xdr:rowOff>
    </xdr:from>
    <xdr:to>
      <xdr:col>55</xdr:col>
      <xdr:colOff>477001</xdr:colOff>
      <xdr:row>43</xdr:row>
      <xdr:rowOff>21751</xdr:rowOff>
    </xdr:to>
    <xdr:sp macro="" textlink="">
      <xdr:nvSpPr>
        <xdr:cNvPr id="245956" name="フリーフォーム: 図形 245955">
          <a:extLst>
            <a:ext uri="{FF2B5EF4-FFF2-40B4-BE49-F238E27FC236}">
              <a16:creationId xmlns:a16="http://schemas.microsoft.com/office/drawing/2014/main" id="{F0EB9177-5813-4EFD-9D69-DBD9B6FE8BE4}"/>
            </a:ext>
          </a:extLst>
        </xdr:cNvPr>
        <xdr:cNvSpPr>
          <a:spLocks noChangeAspect="1"/>
        </xdr:cNvSpPr>
      </xdr:nvSpPr>
      <xdr:spPr>
        <a:xfrm>
          <a:off x="379079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43</xdr:row>
      <xdr:rowOff>75750</xdr:rowOff>
    </xdr:from>
    <xdr:to>
      <xdr:col>55</xdr:col>
      <xdr:colOff>297000</xdr:colOff>
      <xdr:row>48</xdr:row>
      <xdr:rowOff>136501</xdr:rowOff>
    </xdr:to>
    <xdr:sp macro="" textlink="">
      <xdr:nvSpPr>
        <xdr:cNvPr id="245957" name="フリーフォーム: 図形 245956">
          <a:extLst>
            <a:ext uri="{FF2B5EF4-FFF2-40B4-BE49-F238E27FC236}">
              <a16:creationId xmlns:a16="http://schemas.microsoft.com/office/drawing/2014/main" id="{4B6B5217-4F2B-48F4-B3E9-FBEC276A079C}"/>
            </a:ext>
          </a:extLst>
        </xdr:cNvPr>
        <xdr:cNvSpPr>
          <a:spLocks noChangeAspect="1"/>
        </xdr:cNvSpPr>
      </xdr:nvSpPr>
      <xdr:spPr>
        <a:xfrm>
          <a:off x="377280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48</xdr:row>
      <xdr:rowOff>64500</xdr:rowOff>
    </xdr:from>
    <xdr:to>
      <xdr:col>54</xdr:col>
      <xdr:colOff>226800</xdr:colOff>
      <xdr:row>49</xdr:row>
      <xdr:rowOff>37051</xdr:rowOff>
    </xdr:to>
    <xdr:sp macro="" textlink="">
      <xdr:nvSpPr>
        <xdr:cNvPr id="245958" name="フリーフォーム: 図形 245957">
          <a:extLst>
            <a:ext uri="{FF2B5EF4-FFF2-40B4-BE49-F238E27FC236}">
              <a16:creationId xmlns:a16="http://schemas.microsoft.com/office/drawing/2014/main" id="{0817D701-0931-4CC6-A9CE-B959480A85AC}"/>
            </a:ext>
          </a:extLst>
        </xdr:cNvPr>
        <xdr:cNvSpPr>
          <a:spLocks noChangeAspect="1"/>
        </xdr:cNvSpPr>
      </xdr:nvSpPr>
      <xdr:spPr>
        <a:xfrm>
          <a:off x="367740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48</xdr:row>
      <xdr:rowOff>64500</xdr:rowOff>
    </xdr:from>
    <xdr:to>
      <xdr:col>55</xdr:col>
      <xdr:colOff>45000</xdr:colOff>
      <xdr:row>49</xdr:row>
      <xdr:rowOff>37051</xdr:rowOff>
    </xdr:to>
    <xdr:sp macro="" textlink="">
      <xdr:nvSpPr>
        <xdr:cNvPr id="245959" name="フリーフォーム: 図形 245958">
          <a:extLst>
            <a:ext uri="{FF2B5EF4-FFF2-40B4-BE49-F238E27FC236}">
              <a16:creationId xmlns:a16="http://schemas.microsoft.com/office/drawing/2014/main" id="{18A098AB-53DF-4846-8742-FEAFD0684AE0}"/>
            </a:ext>
          </a:extLst>
        </xdr:cNvPr>
        <xdr:cNvSpPr>
          <a:spLocks noChangeAspect="1"/>
        </xdr:cNvSpPr>
      </xdr:nvSpPr>
      <xdr:spPr>
        <a:xfrm>
          <a:off x="372959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43</xdr:row>
      <xdr:rowOff>75750</xdr:rowOff>
    </xdr:from>
    <xdr:to>
      <xdr:col>53</xdr:col>
      <xdr:colOff>660603</xdr:colOff>
      <xdr:row>48</xdr:row>
      <xdr:rowOff>136501</xdr:rowOff>
    </xdr:to>
    <xdr:sp macro="" textlink="">
      <xdr:nvSpPr>
        <xdr:cNvPr id="245960" name="フリーフォーム: 図形 245959">
          <a:extLst>
            <a:ext uri="{FF2B5EF4-FFF2-40B4-BE49-F238E27FC236}">
              <a16:creationId xmlns:a16="http://schemas.microsoft.com/office/drawing/2014/main" id="{289BC096-0AED-4E81-BC39-DCDF32181E77}"/>
            </a:ext>
          </a:extLst>
        </xdr:cNvPr>
        <xdr:cNvSpPr>
          <a:spLocks noChangeAspect="1"/>
        </xdr:cNvSpPr>
      </xdr:nvSpPr>
      <xdr:spPr>
        <a:xfrm>
          <a:off x="367200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37</xdr:row>
      <xdr:rowOff>114450</xdr:rowOff>
    </xdr:from>
    <xdr:to>
      <xdr:col>54</xdr:col>
      <xdr:colOff>118800</xdr:colOff>
      <xdr:row>43</xdr:row>
      <xdr:rowOff>21751</xdr:rowOff>
    </xdr:to>
    <xdr:sp macro="" textlink="">
      <xdr:nvSpPr>
        <xdr:cNvPr id="245961" name="フリーフォーム: 図形 245960">
          <a:extLst>
            <a:ext uri="{FF2B5EF4-FFF2-40B4-BE49-F238E27FC236}">
              <a16:creationId xmlns:a16="http://schemas.microsoft.com/office/drawing/2014/main" id="{EFF656F4-A187-42C1-89E9-9B3B3EFCD4A0}"/>
            </a:ext>
          </a:extLst>
        </xdr:cNvPr>
        <xdr:cNvSpPr>
          <a:spLocks noChangeAspect="1"/>
        </xdr:cNvSpPr>
      </xdr:nvSpPr>
      <xdr:spPr>
        <a:xfrm>
          <a:off x="368999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42</xdr:row>
      <xdr:rowOff>139200</xdr:rowOff>
    </xdr:from>
    <xdr:to>
      <xdr:col>54</xdr:col>
      <xdr:colOff>388802</xdr:colOff>
      <xdr:row>43</xdr:row>
      <xdr:rowOff>111751</xdr:rowOff>
    </xdr:to>
    <xdr:sp macro="" textlink="">
      <xdr:nvSpPr>
        <xdr:cNvPr id="245962" name="フリーフォーム: 図形 245961">
          <a:extLst>
            <a:ext uri="{FF2B5EF4-FFF2-40B4-BE49-F238E27FC236}">
              <a16:creationId xmlns:a16="http://schemas.microsoft.com/office/drawing/2014/main" id="{58A2E58D-4A7C-47A0-BA5D-3D25BEF17DF8}"/>
            </a:ext>
          </a:extLst>
        </xdr:cNvPr>
        <xdr:cNvSpPr>
          <a:spLocks noChangeAspect="1"/>
        </xdr:cNvSpPr>
      </xdr:nvSpPr>
      <xdr:spPr>
        <a:xfrm>
          <a:off x="369720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42</xdr:row>
      <xdr:rowOff>139200</xdr:rowOff>
    </xdr:from>
    <xdr:to>
      <xdr:col>55</xdr:col>
      <xdr:colOff>207002</xdr:colOff>
      <xdr:row>43</xdr:row>
      <xdr:rowOff>111751</xdr:rowOff>
    </xdr:to>
    <xdr:sp macro="" textlink="">
      <xdr:nvSpPr>
        <xdr:cNvPr id="245963" name="フリーフォーム: 図形 245962">
          <a:extLst>
            <a:ext uri="{FF2B5EF4-FFF2-40B4-BE49-F238E27FC236}">
              <a16:creationId xmlns:a16="http://schemas.microsoft.com/office/drawing/2014/main" id="{38E17138-50F1-441E-91EA-58EBCE7101FB}"/>
            </a:ext>
          </a:extLst>
        </xdr:cNvPr>
        <xdr:cNvSpPr>
          <a:spLocks noChangeAspect="1"/>
        </xdr:cNvSpPr>
      </xdr:nvSpPr>
      <xdr:spPr>
        <a:xfrm>
          <a:off x="374760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38</xdr:row>
      <xdr:rowOff>51000</xdr:rowOff>
    </xdr:from>
    <xdr:to>
      <xdr:col>54</xdr:col>
      <xdr:colOff>406801</xdr:colOff>
      <xdr:row>43</xdr:row>
      <xdr:rowOff>3751</xdr:rowOff>
    </xdr:to>
    <xdr:sp macro="" textlink="">
      <xdr:nvSpPr>
        <xdr:cNvPr id="245964" name="フリーフォーム: 図形 245963">
          <a:extLst>
            <a:ext uri="{FF2B5EF4-FFF2-40B4-BE49-F238E27FC236}">
              <a16:creationId xmlns:a16="http://schemas.microsoft.com/office/drawing/2014/main" id="{9ACF58FB-82EC-4435-91FA-88F64661D2DB}"/>
            </a:ext>
          </a:extLst>
        </xdr:cNvPr>
        <xdr:cNvSpPr>
          <a:spLocks noChangeAspect="1"/>
        </xdr:cNvSpPr>
      </xdr:nvSpPr>
      <xdr:spPr>
        <a:xfrm>
          <a:off x="371700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37</xdr:row>
      <xdr:rowOff>114450</xdr:rowOff>
    </xdr:from>
    <xdr:to>
      <xdr:col>54</xdr:col>
      <xdr:colOff>658801</xdr:colOff>
      <xdr:row>42</xdr:row>
      <xdr:rowOff>157201</xdr:rowOff>
    </xdr:to>
    <xdr:sp macro="" textlink="">
      <xdr:nvSpPr>
        <xdr:cNvPr id="245965" name="フリーフォーム: 図形 245964">
          <a:extLst>
            <a:ext uri="{FF2B5EF4-FFF2-40B4-BE49-F238E27FC236}">
              <a16:creationId xmlns:a16="http://schemas.microsoft.com/office/drawing/2014/main" id="{39890352-E2DD-40F7-8994-3822020E5A16}"/>
            </a:ext>
          </a:extLst>
        </xdr:cNvPr>
        <xdr:cNvSpPr>
          <a:spLocks noChangeAspect="1"/>
        </xdr:cNvSpPr>
      </xdr:nvSpPr>
      <xdr:spPr>
        <a:xfrm>
          <a:off x="374400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38</xdr:row>
      <xdr:rowOff>69000</xdr:rowOff>
    </xdr:from>
    <xdr:to>
      <xdr:col>55</xdr:col>
      <xdr:colOff>297000</xdr:colOff>
      <xdr:row>43</xdr:row>
      <xdr:rowOff>3751</xdr:rowOff>
    </xdr:to>
    <xdr:sp macro="" textlink="">
      <xdr:nvSpPr>
        <xdr:cNvPr id="245966" name="フリーフォーム: 図形 245965">
          <a:extLst>
            <a:ext uri="{FF2B5EF4-FFF2-40B4-BE49-F238E27FC236}">
              <a16:creationId xmlns:a16="http://schemas.microsoft.com/office/drawing/2014/main" id="{735664FC-305B-4B97-B124-894CFE0AA76C}"/>
            </a:ext>
          </a:extLst>
        </xdr:cNvPr>
        <xdr:cNvSpPr>
          <a:spLocks noChangeAspect="1"/>
        </xdr:cNvSpPr>
      </xdr:nvSpPr>
      <xdr:spPr>
        <a:xfrm>
          <a:off x="374940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43</xdr:row>
      <xdr:rowOff>75750</xdr:rowOff>
    </xdr:from>
    <xdr:to>
      <xdr:col>55</xdr:col>
      <xdr:colOff>9002</xdr:colOff>
      <xdr:row>47</xdr:row>
      <xdr:rowOff>163951</xdr:rowOff>
    </xdr:to>
    <xdr:sp macro="" textlink="">
      <xdr:nvSpPr>
        <xdr:cNvPr id="245967" name="フリーフォーム: 図形 245966">
          <a:extLst>
            <a:ext uri="{FF2B5EF4-FFF2-40B4-BE49-F238E27FC236}">
              <a16:creationId xmlns:a16="http://schemas.microsoft.com/office/drawing/2014/main" id="{E5A3746A-BE41-4E80-838B-A3CD6269E55F}"/>
            </a:ext>
          </a:extLst>
        </xdr:cNvPr>
        <xdr:cNvSpPr>
          <a:spLocks noChangeAspect="1"/>
        </xdr:cNvSpPr>
      </xdr:nvSpPr>
      <xdr:spPr>
        <a:xfrm>
          <a:off x="374579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43</xdr:row>
      <xdr:rowOff>93750</xdr:rowOff>
    </xdr:from>
    <xdr:to>
      <xdr:col>54</xdr:col>
      <xdr:colOff>424800</xdr:colOff>
      <xdr:row>48</xdr:row>
      <xdr:rowOff>118501</xdr:rowOff>
    </xdr:to>
    <xdr:sp macro="" textlink="">
      <xdr:nvSpPr>
        <xdr:cNvPr id="245968" name="フリーフォーム: 図形 245967">
          <a:extLst>
            <a:ext uri="{FF2B5EF4-FFF2-40B4-BE49-F238E27FC236}">
              <a16:creationId xmlns:a16="http://schemas.microsoft.com/office/drawing/2014/main" id="{7CC8199C-8ADB-4CE1-BF00-5F973A19857F}"/>
            </a:ext>
          </a:extLst>
        </xdr:cNvPr>
        <xdr:cNvSpPr>
          <a:spLocks noChangeAspect="1"/>
        </xdr:cNvSpPr>
      </xdr:nvSpPr>
      <xdr:spPr>
        <a:xfrm>
          <a:off x="372240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43</xdr:row>
      <xdr:rowOff>75750</xdr:rowOff>
    </xdr:from>
    <xdr:to>
      <xdr:col>54</xdr:col>
      <xdr:colOff>388802</xdr:colOff>
      <xdr:row>48</xdr:row>
      <xdr:rowOff>10501</xdr:rowOff>
    </xdr:to>
    <xdr:sp macro="" textlink="">
      <xdr:nvSpPr>
        <xdr:cNvPr id="245969" name="フリーフォーム: 図形 245968">
          <a:extLst>
            <a:ext uri="{FF2B5EF4-FFF2-40B4-BE49-F238E27FC236}">
              <a16:creationId xmlns:a16="http://schemas.microsoft.com/office/drawing/2014/main" id="{9CE0CACE-2666-4B42-95BE-D7FD389000EC}"/>
            </a:ext>
          </a:extLst>
        </xdr:cNvPr>
        <xdr:cNvSpPr>
          <a:spLocks noChangeAspect="1"/>
        </xdr:cNvSpPr>
      </xdr:nvSpPr>
      <xdr:spPr>
        <a:xfrm>
          <a:off x="368999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37</xdr:row>
      <xdr:rowOff>42450</xdr:rowOff>
    </xdr:from>
    <xdr:to>
      <xdr:col>57</xdr:col>
      <xdr:colOff>322201</xdr:colOff>
      <xdr:row>38</xdr:row>
      <xdr:rowOff>15001</xdr:rowOff>
    </xdr:to>
    <xdr:sp macro="" textlink="">
      <xdr:nvSpPr>
        <xdr:cNvPr id="245970" name="フリーフォーム: 図形 245969">
          <a:extLst>
            <a:ext uri="{FF2B5EF4-FFF2-40B4-BE49-F238E27FC236}">
              <a16:creationId xmlns:a16="http://schemas.microsoft.com/office/drawing/2014/main" id="{BCF0100D-8232-4C8F-8E32-4AB9E7054AB1}"/>
            </a:ext>
          </a:extLst>
        </xdr:cNvPr>
        <xdr:cNvSpPr>
          <a:spLocks noChangeAspect="1"/>
        </xdr:cNvSpPr>
      </xdr:nvSpPr>
      <xdr:spPr>
        <a:xfrm>
          <a:off x="389448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37</xdr:row>
      <xdr:rowOff>42450</xdr:rowOff>
    </xdr:from>
    <xdr:to>
      <xdr:col>58</xdr:col>
      <xdr:colOff>176400</xdr:colOff>
      <xdr:row>38</xdr:row>
      <xdr:rowOff>15001</xdr:rowOff>
    </xdr:to>
    <xdr:sp macro="" textlink="">
      <xdr:nvSpPr>
        <xdr:cNvPr id="245971" name="フリーフォーム: 図形 245970">
          <a:extLst>
            <a:ext uri="{FF2B5EF4-FFF2-40B4-BE49-F238E27FC236}">
              <a16:creationId xmlns:a16="http://schemas.microsoft.com/office/drawing/2014/main" id="{65B1D733-7A1D-4D33-8922-B3B9468D610E}"/>
            </a:ext>
          </a:extLst>
        </xdr:cNvPr>
        <xdr:cNvSpPr>
          <a:spLocks noChangeAspect="1"/>
        </xdr:cNvSpPr>
      </xdr:nvSpPr>
      <xdr:spPr>
        <a:xfrm>
          <a:off x="394847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37</xdr:row>
      <xdr:rowOff>114450</xdr:rowOff>
    </xdr:from>
    <xdr:to>
      <xdr:col>58</xdr:col>
      <xdr:colOff>248401</xdr:colOff>
      <xdr:row>43</xdr:row>
      <xdr:rowOff>21751</xdr:rowOff>
    </xdr:to>
    <xdr:sp macro="" textlink="">
      <xdr:nvSpPr>
        <xdr:cNvPr id="245972" name="フリーフォーム: 図形 245971">
          <a:extLst>
            <a:ext uri="{FF2B5EF4-FFF2-40B4-BE49-F238E27FC236}">
              <a16:creationId xmlns:a16="http://schemas.microsoft.com/office/drawing/2014/main" id="{C32DC9B4-DBFC-48FA-A72F-1BC3019B280B}"/>
            </a:ext>
          </a:extLst>
        </xdr:cNvPr>
        <xdr:cNvSpPr>
          <a:spLocks noChangeAspect="1"/>
        </xdr:cNvSpPr>
      </xdr:nvSpPr>
      <xdr:spPr>
        <a:xfrm>
          <a:off x="397367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43</xdr:row>
      <xdr:rowOff>75750</xdr:rowOff>
    </xdr:from>
    <xdr:to>
      <xdr:col>58</xdr:col>
      <xdr:colOff>68400</xdr:colOff>
      <xdr:row>48</xdr:row>
      <xdr:rowOff>136501</xdr:rowOff>
    </xdr:to>
    <xdr:sp macro="" textlink="">
      <xdr:nvSpPr>
        <xdr:cNvPr id="245973" name="フリーフォーム: 図形 245972">
          <a:extLst>
            <a:ext uri="{FF2B5EF4-FFF2-40B4-BE49-F238E27FC236}">
              <a16:creationId xmlns:a16="http://schemas.microsoft.com/office/drawing/2014/main" id="{6A096AFB-1A46-41F8-AB6D-C956D90BC8E1}"/>
            </a:ext>
          </a:extLst>
        </xdr:cNvPr>
        <xdr:cNvSpPr>
          <a:spLocks noChangeAspect="1"/>
        </xdr:cNvSpPr>
      </xdr:nvSpPr>
      <xdr:spPr>
        <a:xfrm>
          <a:off x="395568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48</xdr:row>
      <xdr:rowOff>64500</xdr:rowOff>
    </xdr:from>
    <xdr:to>
      <xdr:col>56</xdr:col>
      <xdr:colOff>684000</xdr:colOff>
      <xdr:row>49</xdr:row>
      <xdr:rowOff>37051</xdr:rowOff>
    </xdr:to>
    <xdr:sp macro="" textlink="">
      <xdr:nvSpPr>
        <xdr:cNvPr id="245974" name="フリーフォーム: 図形 245973">
          <a:extLst>
            <a:ext uri="{FF2B5EF4-FFF2-40B4-BE49-F238E27FC236}">
              <a16:creationId xmlns:a16="http://schemas.microsoft.com/office/drawing/2014/main" id="{FE9D86F4-ACBB-476D-B47A-1668A510D632}"/>
            </a:ext>
          </a:extLst>
        </xdr:cNvPr>
        <xdr:cNvSpPr>
          <a:spLocks noChangeAspect="1"/>
        </xdr:cNvSpPr>
      </xdr:nvSpPr>
      <xdr:spPr>
        <a:xfrm>
          <a:off x="386028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48</xdr:row>
      <xdr:rowOff>64500</xdr:rowOff>
    </xdr:from>
    <xdr:to>
      <xdr:col>57</xdr:col>
      <xdr:colOff>502200</xdr:colOff>
      <xdr:row>49</xdr:row>
      <xdr:rowOff>37051</xdr:rowOff>
    </xdr:to>
    <xdr:sp macro="" textlink="">
      <xdr:nvSpPr>
        <xdr:cNvPr id="245975" name="フリーフォーム: 図形 245974">
          <a:extLst>
            <a:ext uri="{FF2B5EF4-FFF2-40B4-BE49-F238E27FC236}">
              <a16:creationId xmlns:a16="http://schemas.microsoft.com/office/drawing/2014/main" id="{FEBC2FE8-5121-4A54-B465-748B44091298}"/>
            </a:ext>
          </a:extLst>
        </xdr:cNvPr>
        <xdr:cNvSpPr>
          <a:spLocks noChangeAspect="1"/>
        </xdr:cNvSpPr>
      </xdr:nvSpPr>
      <xdr:spPr>
        <a:xfrm>
          <a:off x="391247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43</xdr:row>
      <xdr:rowOff>75750</xdr:rowOff>
    </xdr:from>
    <xdr:to>
      <xdr:col>56</xdr:col>
      <xdr:colOff>432003</xdr:colOff>
      <xdr:row>48</xdr:row>
      <xdr:rowOff>136501</xdr:rowOff>
    </xdr:to>
    <xdr:sp macro="" textlink="">
      <xdr:nvSpPr>
        <xdr:cNvPr id="245976" name="フリーフォーム: 図形 245975">
          <a:extLst>
            <a:ext uri="{FF2B5EF4-FFF2-40B4-BE49-F238E27FC236}">
              <a16:creationId xmlns:a16="http://schemas.microsoft.com/office/drawing/2014/main" id="{8B94E725-0417-48E7-8D39-7AC7BFEBD052}"/>
            </a:ext>
          </a:extLst>
        </xdr:cNvPr>
        <xdr:cNvSpPr>
          <a:spLocks noChangeAspect="1"/>
        </xdr:cNvSpPr>
      </xdr:nvSpPr>
      <xdr:spPr>
        <a:xfrm>
          <a:off x="385488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37</xdr:row>
      <xdr:rowOff>114450</xdr:rowOff>
    </xdr:from>
    <xdr:to>
      <xdr:col>56</xdr:col>
      <xdr:colOff>576000</xdr:colOff>
      <xdr:row>43</xdr:row>
      <xdr:rowOff>21751</xdr:rowOff>
    </xdr:to>
    <xdr:sp macro="" textlink="">
      <xdr:nvSpPr>
        <xdr:cNvPr id="245977" name="フリーフォーム: 図形 245976">
          <a:extLst>
            <a:ext uri="{FF2B5EF4-FFF2-40B4-BE49-F238E27FC236}">
              <a16:creationId xmlns:a16="http://schemas.microsoft.com/office/drawing/2014/main" id="{6E3876DB-1A75-44D1-9FA9-607BE9CBC38D}"/>
            </a:ext>
          </a:extLst>
        </xdr:cNvPr>
        <xdr:cNvSpPr>
          <a:spLocks noChangeAspect="1"/>
        </xdr:cNvSpPr>
      </xdr:nvSpPr>
      <xdr:spPr>
        <a:xfrm>
          <a:off x="387287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42</xdr:row>
      <xdr:rowOff>139200</xdr:rowOff>
    </xdr:from>
    <xdr:to>
      <xdr:col>57</xdr:col>
      <xdr:colOff>160202</xdr:colOff>
      <xdr:row>43</xdr:row>
      <xdr:rowOff>111751</xdr:rowOff>
    </xdr:to>
    <xdr:sp macro="" textlink="">
      <xdr:nvSpPr>
        <xdr:cNvPr id="245978" name="フリーフォーム: 図形 245977">
          <a:extLst>
            <a:ext uri="{FF2B5EF4-FFF2-40B4-BE49-F238E27FC236}">
              <a16:creationId xmlns:a16="http://schemas.microsoft.com/office/drawing/2014/main" id="{CA9A6D85-E296-4E57-96CF-6F459335B92F}"/>
            </a:ext>
          </a:extLst>
        </xdr:cNvPr>
        <xdr:cNvSpPr>
          <a:spLocks noChangeAspect="1"/>
        </xdr:cNvSpPr>
      </xdr:nvSpPr>
      <xdr:spPr>
        <a:xfrm>
          <a:off x="388008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42</xdr:row>
      <xdr:rowOff>139200</xdr:rowOff>
    </xdr:from>
    <xdr:to>
      <xdr:col>57</xdr:col>
      <xdr:colOff>664202</xdr:colOff>
      <xdr:row>43</xdr:row>
      <xdr:rowOff>111751</xdr:rowOff>
    </xdr:to>
    <xdr:sp macro="" textlink="">
      <xdr:nvSpPr>
        <xdr:cNvPr id="245979" name="フリーフォーム: 図形 245978">
          <a:extLst>
            <a:ext uri="{FF2B5EF4-FFF2-40B4-BE49-F238E27FC236}">
              <a16:creationId xmlns:a16="http://schemas.microsoft.com/office/drawing/2014/main" id="{52656B19-0302-41D6-BB61-498A7224E45C}"/>
            </a:ext>
          </a:extLst>
        </xdr:cNvPr>
        <xdr:cNvSpPr>
          <a:spLocks noChangeAspect="1"/>
        </xdr:cNvSpPr>
      </xdr:nvSpPr>
      <xdr:spPr>
        <a:xfrm>
          <a:off x="393048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38</xdr:row>
      <xdr:rowOff>51000</xdr:rowOff>
    </xdr:from>
    <xdr:to>
      <xdr:col>57</xdr:col>
      <xdr:colOff>178201</xdr:colOff>
      <xdr:row>43</xdr:row>
      <xdr:rowOff>3751</xdr:rowOff>
    </xdr:to>
    <xdr:sp macro="" textlink="">
      <xdr:nvSpPr>
        <xdr:cNvPr id="245980" name="フリーフォーム: 図形 245979">
          <a:extLst>
            <a:ext uri="{FF2B5EF4-FFF2-40B4-BE49-F238E27FC236}">
              <a16:creationId xmlns:a16="http://schemas.microsoft.com/office/drawing/2014/main" id="{A54B964A-2678-43EF-B05A-56713D79FA0E}"/>
            </a:ext>
          </a:extLst>
        </xdr:cNvPr>
        <xdr:cNvSpPr>
          <a:spLocks noChangeAspect="1"/>
        </xdr:cNvSpPr>
      </xdr:nvSpPr>
      <xdr:spPr>
        <a:xfrm>
          <a:off x="389988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37</xdr:row>
      <xdr:rowOff>114450</xdr:rowOff>
    </xdr:from>
    <xdr:to>
      <xdr:col>57</xdr:col>
      <xdr:colOff>430201</xdr:colOff>
      <xdr:row>42</xdr:row>
      <xdr:rowOff>157201</xdr:rowOff>
    </xdr:to>
    <xdr:sp macro="" textlink="">
      <xdr:nvSpPr>
        <xdr:cNvPr id="245981" name="フリーフォーム: 図形 245980">
          <a:extLst>
            <a:ext uri="{FF2B5EF4-FFF2-40B4-BE49-F238E27FC236}">
              <a16:creationId xmlns:a16="http://schemas.microsoft.com/office/drawing/2014/main" id="{AE5ECEA6-5717-4194-82D8-9FF49BDC9513}"/>
            </a:ext>
          </a:extLst>
        </xdr:cNvPr>
        <xdr:cNvSpPr>
          <a:spLocks noChangeAspect="1"/>
        </xdr:cNvSpPr>
      </xdr:nvSpPr>
      <xdr:spPr>
        <a:xfrm>
          <a:off x="392688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38</xdr:row>
      <xdr:rowOff>69000</xdr:rowOff>
    </xdr:from>
    <xdr:to>
      <xdr:col>58</xdr:col>
      <xdr:colOff>68400</xdr:colOff>
      <xdr:row>43</xdr:row>
      <xdr:rowOff>3751</xdr:rowOff>
    </xdr:to>
    <xdr:sp macro="" textlink="">
      <xdr:nvSpPr>
        <xdr:cNvPr id="245982" name="フリーフォーム: 図形 245981">
          <a:extLst>
            <a:ext uri="{FF2B5EF4-FFF2-40B4-BE49-F238E27FC236}">
              <a16:creationId xmlns:a16="http://schemas.microsoft.com/office/drawing/2014/main" id="{9B1CA164-CF7E-4A16-B4EA-2F11B249E335}"/>
            </a:ext>
          </a:extLst>
        </xdr:cNvPr>
        <xdr:cNvSpPr>
          <a:spLocks noChangeAspect="1"/>
        </xdr:cNvSpPr>
      </xdr:nvSpPr>
      <xdr:spPr>
        <a:xfrm>
          <a:off x="393228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43</xdr:row>
      <xdr:rowOff>75750</xdr:rowOff>
    </xdr:from>
    <xdr:to>
      <xdr:col>57</xdr:col>
      <xdr:colOff>466202</xdr:colOff>
      <xdr:row>47</xdr:row>
      <xdr:rowOff>163951</xdr:rowOff>
    </xdr:to>
    <xdr:sp macro="" textlink="">
      <xdr:nvSpPr>
        <xdr:cNvPr id="245983" name="フリーフォーム: 図形 245982">
          <a:extLst>
            <a:ext uri="{FF2B5EF4-FFF2-40B4-BE49-F238E27FC236}">
              <a16:creationId xmlns:a16="http://schemas.microsoft.com/office/drawing/2014/main" id="{DB510D95-6D0E-4FA1-AA2F-90819BA09F87}"/>
            </a:ext>
          </a:extLst>
        </xdr:cNvPr>
        <xdr:cNvSpPr>
          <a:spLocks noChangeAspect="1"/>
        </xdr:cNvSpPr>
      </xdr:nvSpPr>
      <xdr:spPr>
        <a:xfrm>
          <a:off x="392867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43</xdr:row>
      <xdr:rowOff>93750</xdr:rowOff>
    </xdr:from>
    <xdr:to>
      <xdr:col>57</xdr:col>
      <xdr:colOff>196200</xdr:colOff>
      <xdr:row>48</xdr:row>
      <xdr:rowOff>118501</xdr:rowOff>
    </xdr:to>
    <xdr:sp macro="" textlink="">
      <xdr:nvSpPr>
        <xdr:cNvPr id="245984" name="フリーフォーム: 図形 245983">
          <a:extLst>
            <a:ext uri="{FF2B5EF4-FFF2-40B4-BE49-F238E27FC236}">
              <a16:creationId xmlns:a16="http://schemas.microsoft.com/office/drawing/2014/main" id="{E7B49BAA-7B60-4CF0-A92A-51E8283FAED7}"/>
            </a:ext>
          </a:extLst>
        </xdr:cNvPr>
        <xdr:cNvSpPr>
          <a:spLocks noChangeAspect="1"/>
        </xdr:cNvSpPr>
      </xdr:nvSpPr>
      <xdr:spPr>
        <a:xfrm>
          <a:off x="390528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43</xdr:row>
      <xdr:rowOff>75750</xdr:rowOff>
    </xdr:from>
    <xdr:to>
      <xdr:col>57</xdr:col>
      <xdr:colOff>160202</xdr:colOff>
      <xdr:row>48</xdr:row>
      <xdr:rowOff>10501</xdr:rowOff>
    </xdr:to>
    <xdr:sp macro="" textlink="">
      <xdr:nvSpPr>
        <xdr:cNvPr id="245985" name="フリーフォーム: 図形 245984">
          <a:extLst>
            <a:ext uri="{FF2B5EF4-FFF2-40B4-BE49-F238E27FC236}">
              <a16:creationId xmlns:a16="http://schemas.microsoft.com/office/drawing/2014/main" id="{248EB080-F5C9-4D87-9F28-469991C2C6C1}"/>
            </a:ext>
          </a:extLst>
        </xdr:cNvPr>
        <xdr:cNvSpPr>
          <a:spLocks noChangeAspect="1"/>
        </xdr:cNvSpPr>
      </xdr:nvSpPr>
      <xdr:spPr>
        <a:xfrm>
          <a:off x="387287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37</xdr:row>
      <xdr:rowOff>42450</xdr:rowOff>
    </xdr:from>
    <xdr:to>
      <xdr:col>60</xdr:col>
      <xdr:colOff>93601</xdr:colOff>
      <xdr:row>38</xdr:row>
      <xdr:rowOff>15001</xdr:rowOff>
    </xdr:to>
    <xdr:sp macro="" textlink="">
      <xdr:nvSpPr>
        <xdr:cNvPr id="245986" name="フリーフォーム: 図形 245985">
          <a:extLst>
            <a:ext uri="{FF2B5EF4-FFF2-40B4-BE49-F238E27FC236}">
              <a16:creationId xmlns:a16="http://schemas.microsoft.com/office/drawing/2014/main" id="{B08BAD88-8E79-4EA1-8D29-5B7834468DE4}"/>
            </a:ext>
          </a:extLst>
        </xdr:cNvPr>
        <xdr:cNvSpPr>
          <a:spLocks noChangeAspect="1"/>
        </xdr:cNvSpPr>
      </xdr:nvSpPr>
      <xdr:spPr>
        <a:xfrm>
          <a:off x="407736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37</xdr:row>
      <xdr:rowOff>42450</xdr:rowOff>
    </xdr:from>
    <xdr:to>
      <xdr:col>60</xdr:col>
      <xdr:colOff>633600</xdr:colOff>
      <xdr:row>38</xdr:row>
      <xdr:rowOff>15001</xdr:rowOff>
    </xdr:to>
    <xdr:sp macro="" textlink="">
      <xdr:nvSpPr>
        <xdr:cNvPr id="245987" name="フリーフォーム: 図形 245986">
          <a:extLst>
            <a:ext uri="{FF2B5EF4-FFF2-40B4-BE49-F238E27FC236}">
              <a16:creationId xmlns:a16="http://schemas.microsoft.com/office/drawing/2014/main" id="{CAAFC415-F5D3-4AF0-B301-CBD5C31A6C0D}"/>
            </a:ext>
          </a:extLst>
        </xdr:cNvPr>
        <xdr:cNvSpPr>
          <a:spLocks noChangeAspect="1"/>
        </xdr:cNvSpPr>
      </xdr:nvSpPr>
      <xdr:spPr>
        <a:xfrm>
          <a:off x="413135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37</xdr:row>
      <xdr:rowOff>114450</xdr:rowOff>
    </xdr:from>
    <xdr:to>
      <xdr:col>61</xdr:col>
      <xdr:colOff>19801</xdr:colOff>
      <xdr:row>43</xdr:row>
      <xdr:rowOff>21751</xdr:rowOff>
    </xdr:to>
    <xdr:sp macro="" textlink="">
      <xdr:nvSpPr>
        <xdr:cNvPr id="245988" name="フリーフォーム: 図形 245987">
          <a:extLst>
            <a:ext uri="{FF2B5EF4-FFF2-40B4-BE49-F238E27FC236}">
              <a16:creationId xmlns:a16="http://schemas.microsoft.com/office/drawing/2014/main" id="{28B62E75-48E3-4FE3-A3B0-5FC1806F9835}"/>
            </a:ext>
          </a:extLst>
        </xdr:cNvPr>
        <xdr:cNvSpPr>
          <a:spLocks noChangeAspect="1"/>
        </xdr:cNvSpPr>
      </xdr:nvSpPr>
      <xdr:spPr>
        <a:xfrm>
          <a:off x="415655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43</xdr:row>
      <xdr:rowOff>75750</xdr:rowOff>
    </xdr:from>
    <xdr:to>
      <xdr:col>60</xdr:col>
      <xdr:colOff>525600</xdr:colOff>
      <xdr:row>48</xdr:row>
      <xdr:rowOff>136501</xdr:rowOff>
    </xdr:to>
    <xdr:sp macro="" textlink="">
      <xdr:nvSpPr>
        <xdr:cNvPr id="245989" name="フリーフォーム: 図形 245988">
          <a:extLst>
            <a:ext uri="{FF2B5EF4-FFF2-40B4-BE49-F238E27FC236}">
              <a16:creationId xmlns:a16="http://schemas.microsoft.com/office/drawing/2014/main" id="{D9DD837A-C7FB-499B-94F4-9F633D21B6B7}"/>
            </a:ext>
          </a:extLst>
        </xdr:cNvPr>
        <xdr:cNvSpPr>
          <a:spLocks noChangeAspect="1"/>
        </xdr:cNvSpPr>
      </xdr:nvSpPr>
      <xdr:spPr>
        <a:xfrm>
          <a:off x="413856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48</xdr:row>
      <xdr:rowOff>64500</xdr:rowOff>
    </xdr:from>
    <xdr:to>
      <xdr:col>59</xdr:col>
      <xdr:colOff>455400</xdr:colOff>
      <xdr:row>49</xdr:row>
      <xdr:rowOff>37051</xdr:rowOff>
    </xdr:to>
    <xdr:sp macro="" textlink="">
      <xdr:nvSpPr>
        <xdr:cNvPr id="245990" name="フリーフォーム: 図形 245989">
          <a:extLst>
            <a:ext uri="{FF2B5EF4-FFF2-40B4-BE49-F238E27FC236}">
              <a16:creationId xmlns:a16="http://schemas.microsoft.com/office/drawing/2014/main" id="{54739266-7D75-416C-80B6-AFEAEB090340}"/>
            </a:ext>
          </a:extLst>
        </xdr:cNvPr>
        <xdr:cNvSpPr>
          <a:spLocks noChangeAspect="1"/>
        </xdr:cNvSpPr>
      </xdr:nvSpPr>
      <xdr:spPr>
        <a:xfrm>
          <a:off x="404316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48</xdr:row>
      <xdr:rowOff>64500</xdr:rowOff>
    </xdr:from>
    <xdr:to>
      <xdr:col>60</xdr:col>
      <xdr:colOff>273600</xdr:colOff>
      <xdr:row>49</xdr:row>
      <xdr:rowOff>37051</xdr:rowOff>
    </xdr:to>
    <xdr:sp macro="" textlink="">
      <xdr:nvSpPr>
        <xdr:cNvPr id="245991" name="フリーフォーム: 図形 245990">
          <a:extLst>
            <a:ext uri="{FF2B5EF4-FFF2-40B4-BE49-F238E27FC236}">
              <a16:creationId xmlns:a16="http://schemas.microsoft.com/office/drawing/2014/main" id="{0FD54677-85C7-4738-B573-B4088258D73C}"/>
            </a:ext>
          </a:extLst>
        </xdr:cNvPr>
        <xdr:cNvSpPr>
          <a:spLocks noChangeAspect="1"/>
        </xdr:cNvSpPr>
      </xdr:nvSpPr>
      <xdr:spPr>
        <a:xfrm>
          <a:off x="409535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43</xdr:row>
      <xdr:rowOff>75750</xdr:rowOff>
    </xdr:from>
    <xdr:to>
      <xdr:col>59</xdr:col>
      <xdr:colOff>203403</xdr:colOff>
      <xdr:row>48</xdr:row>
      <xdr:rowOff>136501</xdr:rowOff>
    </xdr:to>
    <xdr:sp macro="" textlink="">
      <xdr:nvSpPr>
        <xdr:cNvPr id="245992" name="フリーフォーム: 図形 245991">
          <a:extLst>
            <a:ext uri="{FF2B5EF4-FFF2-40B4-BE49-F238E27FC236}">
              <a16:creationId xmlns:a16="http://schemas.microsoft.com/office/drawing/2014/main" id="{F80731BB-501C-4965-AEAE-4C2971C64E49}"/>
            </a:ext>
          </a:extLst>
        </xdr:cNvPr>
        <xdr:cNvSpPr>
          <a:spLocks noChangeAspect="1"/>
        </xdr:cNvSpPr>
      </xdr:nvSpPr>
      <xdr:spPr>
        <a:xfrm>
          <a:off x="403776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37</xdr:row>
      <xdr:rowOff>114450</xdr:rowOff>
    </xdr:from>
    <xdr:to>
      <xdr:col>59</xdr:col>
      <xdr:colOff>347400</xdr:colOff>
      <xdr:row>43</xdr:row>
      <xdr:rowOff>21751</xdr:rowOff>
    </xdr:to>
    <xdr:sp macro="" textlink="">
      <xdr:nvSpPr>
        <xdr:cNvPr id="245993" name="フリーフォーム: 図形 245992">
          <a:extLst>
            <a:ext uri="{FF2B5EF4-FFF2-40B4-BE49-F238E27FC236}">
              <a16:creationId xmlns:a16="http://schemas.microsoft.com/office/drawing/2014/main" id="{26FA5287-79E3-4148-B218-5AF0BF3CFA79}"/>
            </a:ext>
          </a:extLst>
        </xdr:cNvPr>
        <xdr:cNvSpPr>
          <a:spLocks noChangeAspect="1"/>
        </xdr:cNvSpPr>
      </xdr:nvSpPr>
      <xdr:spPr>
        <a:xfrm>
          <a:off x="405575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42</xdr:row>
      <xdr:rowOff>139200</xdr:rowOff>
    </xdr:from>
    <xdr:to>
      <xdr:col>59</xdr:col>
      <xdr:colOff>617402</xdr:colOff>
      <xdr:row>43</xdr:row>
      <xdr:rowOff>111751</xdr:rowOff>
    </xdr:to>
    <xdr:sp macro="" textlink="">
      <xdr:nvSpPr>
        <xdr:cNvPr id="245994" name="フリーフォーム: 図形 245993">
          <a:extLst>
            <a:ext uri="{FF2B5EF4-FFF2-40B4-BE49-F238E27FC236}">
              <a16:creationId xmlns:a16="http://schemas.microsoft.com/office/drawing/2014/main" id="{D8209085-627C-4560-B5E8-C3721EBAF4D5}"/>
            </a:ext>
          </a:extLst>
        </xdr:cNvPr>
        <xdr:cNvSpPr>
          <a:spLocks noChangeAspect="1"/>
        </xdr:cNvSpPr>
      </xdr:nvSpPr>
      <xdr:spPr>
        <a:xfrm>
          <a:off x="406296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42</xdr:row>
      <xdr:rowOff>139200</xdr:rowOff>
    </xdr:from>
    <xdr:to>
      <xdr:col>60</xdr:col>
      <xdr:colOff>435602</xdr:colOff>
      <xdr:row>43</xdr:row>
      <xdr:rowOff>111751</xdr:rowOff>
    </xdr:to>
    <xdr:sp macro="" textlink="">
      <xdr:nvSpPr>
        <xdr:cNvPr id="245995" name="フリーフォーム: 図形 245994">
          <a:extLst>
            <a:ext uri="{FF2B5EF4-FFF2-40B4-BE49-F238E27FC236}">
              <a16:creationId xmlns:a16="http://schemas.microsoft.com/office/drawing/2014/main" id="{7ACF3153-43C7-4804-B9A7-29735B72E93D}"/>
            </a:ext>
          </a:extLst>
        </xdr:cNvPr>
        <xdr:cNvSpPr>
          <a:spLocks noChangeAspect="1"/>
        </xdr:cNvSpPr>
      </xdr:nvSpPr>
      <xdr:spPr>
        <a:xfrm>
          <a:off x="411336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38</xdr:row>
      <xdr:rowOff>51000</xdr:rowOff>
    </xdr:from>
    <xdr:to>
      <xdr:col>59</xdr:col>
      <xdr:colOff>635401</xdr:colOff>
      <xdr:row>43</xdr:row>
      <xdr:rowOff>3751</xdr:rowOff>
    </xdr:to>
    <xdr:sp macro="" textlink="">
      <xdr:nvSpPr>
        <xdr:cNvPr id="245996" name="フリーフォーム: 図形 245995">
          <a:extLst>
            <a:ext uri="{FF2B5EF4-FFF2-40B4-BE49-F238E27FC236}">
              <a16:creationId xmlns:a16="http://schemas.microsoft.com/office/drawing/2014/main" id="{79A49C0D-286A-4039-AF16-7B47B307778E}"/>
            </a:ext>
          </a:extLst>
        </xdr:cNvPr>
        <xdr:cNvSpPr>
          <a:spLocks noChangeAspect="1"/>
        </xdr:cNvSpPr>
      </xdr:nvSpPr>
      <xdr:spPr>
        <a:xfrm>
          <a:off x="408276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37</xdr:row>
      <xdr:rowOff>114450</xdr:rowOff>
    </xdr:from>
    <xdr:to>
      <xdr:col>60</xdr:col>
      <xdr:colOff>201601</xdr:colOff>
      <xdr:row>42</xdr:row>
      <xdr:rowOff>157201</xdr:rowOff>
    </xdr:to>
    <xdr:sp macro="" textlink="">
      <xdr:nvSpPr>
        <xdr:cNvPr id="245997" name="フリーフォーム: 図形 245996">
          <a:extLst>
            <a:ext uri="{FF2B5EF4-FFF2-40B4-BE49-F238E27FC236}">
              <a16:creationId xmlns:a16="http://schemas.microsoft.com/office/drawing/2014/main" id="{C571BDF7-3182-4075-8C27-CDE276292E46}"/>
            </a:ext>
          </a:extLst>
        </xdr:cNvPr>
        <xdr:cNvSpPr>
          <a:spLocks noChangeAspect="1"/>
        </xdr:cNvSpPr>
      </xdr:nvSpPr>
      <xdr:spPr>
        <a:xfrm>
          <a:off x="410976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38</xdr:row>
      <xdr:rowOff>69000</xdr:rowOff>
    </xdr:from>
    <xdr:to>
      <xdr:col>60</xdr:col>
      <xdr:colOff>525600</xdr:colOff>
      <xdr:row>43</xdr:row>
      <xdr:rowOff>3751</xdr:rowOff>
    </xdr:to>
    <xdr:sp macro="" textlink="">
      <xdr:nvSpPr>
        <xdr:cNvPr id="245998" name="フリーフォーム: 図形 245997">
          <a:extLst>
            <a:ext uri="{FF2B5EF4-FFF2-40B4-BE49-F238E27FC236}">
              <a16:creationId xmlns:a16="http://schemas.microsoft.com/office/drawing/2014/main" id="{6D7D8701-B633-412A-8D01-02BD01ED50D8}"/>
            </a:ext>
          </a:extLst>
        </xdr:cNvPr>
        <xdr:cNvSpPr>
          <a:spLocks noChangeAspect="1"/>
        </xdr:cNvSpPr>
      </xdr:nvSpPr>
      <xdr:spPr>
        <a:xfrm>
          <a:off x="411516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43</xdr:row>
      <xdr:rowOff>75750</xdr:rowOff>
    </xdr:from>
    <xdr:to>
      <xdr:col>60</xdr:col>
      <xdr:colOff>237602</xdr:colOff>
      <xdr:row>47</xdr:row>
      <xdr:rowOff>163951</xdr:rowOff>
    </xdr:to>
    <xdr:sp macro="" textlink="">
      <xdr:nvSpPr>
        <xdr:cNvPr id="245999" name="フリーフォーム: 図形 245998">
          <a:extLst>
            <a:ext uri="{FF2B5EF4-FFF2-40B4-BE49-F238E27FC236}">
              <a16:creationId xmlns:a16="http://schemas.microsoft.com/office/drawing/2014/main" id="{6CE7A3EF-4C87-4F84-ADF6-D9DF095B8EA2}"/>
            </a:ext>
          </a:extLst>
        </xdr:cNvPr>
        <xdr:cNvSpPr>
          <a:spLocks noChangeAspect="1"/>
        </xdr:cNvSpPr>
      </xdr:nvSpPr>
      <xdr:spPr>
        <a:xfrm>
          <a:off x="411155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43</xdr:row>
      <xdr:rowOff>93750</xdr:rowOff>
    </xdr:from>
    <xdr:to>
      <xdr:col>59</xdr:col>
      <xdr:colOff>653400</xdr:colOff>
      <xdr:row>48</xdr:row>
      <xdr:rowOff>118501</xdr:rowOff>
    </xdr:to>
    <xdr:sp macro="" textlink="">
      <xdr:nvSpPr>
        <xdr:cNvPr id="246000" name="フリーフォーム: 図形 245999">
          <a:extLst>
            <a:ext uri="{FF2B5EF4-FFF2-40B4-BE49-F238E27FC236}">
              <a16:creationId xmlns:a16="http://schemas.microsoft.com/office/drawing/2014/main" id="{E4824BB6-196F-493F-924C-5733BD416347}"/>
            </a:ext>
          </a:extLst>
        </xdr:cNvPr>
        <xdr:cNvSpPr>
          <a:spLocks noChangeAspect="1"/>
        </xdr:cNvSpPr>
      </xdr:nvSpPr>
      <xdr:spPr>
        <a:xfrm>
          <a:off x="408816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43</xdr:row>
      <xdr:rowOff>75750</xdr:rowOff>
    </xdr:from>
    <xdr:to>
      <xdr:col>59</xdr:col>
      <xdr:colOff>617402</xdr:colOff>
      <xdr:row>48</xdr:row>
      <xdr:rowOff>10501</xdr:rowOff>
    </xdr:to>
    <xdr:sp macro="" textlink="">
      <xdr:nvSpPr>
        <xdr:cNvPr id="246001" name="フリーフォーム: 図形 246000">
          <a:extLst>
            <a:ext uri="{FF2B5EF4-FFF2-40B4-BE49-F238E27FC236}">
              <a16:creationId xmlns:a16="http://schemas.microsoft.com/office/drawing/2014/main" id="{160CC7AE-2D3E-49D7-9301-5B22F22B1686}"/>
            </a:ext>
          </a:extLst>
        </xdr:cNvPr>
        <xdr:cNvSpPr>
          <a:spLocks noChangeAspect="1"/>
        </xdr:cNvSpPr>
      </xdr:nvSpPr>
      <xdr:spPr>
        <a:xfrm>
          <a:off x="405575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37</xdr:row>
      <xdr:rowOff>42450</xdr:rowOff>
    </xdr:from>
    <xdr:to>
      <xdr:col>62</xdr:col>
      <xdr:colOff>550801</xdr:colOff>
      <xdr:row>38</xdr:row>
      <xdr:rowOff>15001</xdr:rowOff>
    </xdr:to>
    <xdr:sp macro="" textlink="">
      <xdr:nvSpPr>
        <xdr:cNvPr id="246002" name="フリーフォーム: 図形 246001">
          <a:extLst>
            <a:ext uri="{FF2B5EF4-FFF2-40B4-BE49-F238E27FC236}">
              <a16:creationId xmlns:a16="http://schemas.microsoft.com/office/drawing/2014/main" id="{05ACA44D-25F9-4C4E-A523-AC61AFB5BE58}"/>
            </a:ext>
          </a:extLst>
        </xdr:cNvPr>
        <xdr:cNvSpPr>
          <a:spLocks noChangeAspect="1"/>
        </xdr:cNvSpPr>
      </xdr:nvSpPr>
      <xdr:spPr>
        <a:xfrm>
          <a:off x="426024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37</xdr:row>
      <xdr:rowOff>42450</xdr:rowOff>
    </xdr:from>
    <xdr:to>
      <xdr:col>63</xdr:col>
      <xdr:colOff>405000</xdr:colOff>
      <xdr:row>38</xdr:row>
      <xdr:rowOff>15001</xdr:rowOff>
    </xdr:to>
    <xdr:sp macro="" textlink="">
      <xdr:nvSpPr>
        <xdr:cNvPr id="246003" name="フリーフォーム: 図形 246002">
          <a:extLst>
            <a:ext uri="{FF2B5EF4-FFF2-40B4-BE49-F238E27FC236}">
              <a16:creationId xmlns:a16="http://schemas.microsoft.com/office/drawing/2014/main" id="{5DFE65B0-3CD0-404A-934F-109A6CBC7F8E}"/>
            </a:ext>
          </a:extLst>
        </xdr:cNvPr>
        <xdr:cNvSpPr>
          <a:spLocks noChangeAspect="1"/>
        </xdr:cNvSpPr>
      </xdr:nvSpPr>
      <xdr:spPr>
        <a:xfrm>
          <a:off x="431423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37</xdr:row>
      <xdr:rowOff>114450</xdr:rowOff>
    </xdr:from>
    <xdr:to>
      <xdr:col>63</xdr:col>
      <xdr:colOff>477001</xdr:colOff>
      <xdr:row>43</xdr:row>
      <xdr:rowOff>21751</xdr:rowOff>
    </xdr:to>
    <xdr:sp macro="" textlink="">
      <xdr:nvSpPr>
        <xdr:cNvPr id="246004" name="フリーフォーム: 図形 246003">
          <a:extLst>
            <a:ext uri="{FF2B5EF4-FFF2-40B4-BE49-F238E27FC236}">
              <a16:creationId xmlns:a16="http://schemas.microsoft.com/office/drawing/2014/main" id="{30C5F99A-5C4E-48EF-85A1-6E3F86F511DA}"/>
            </a:ext>
          </a:extLst>
        </xdr:cNvPr>
        <xdr:cNvSpPr>
          <a:spLocks noChangeAspect="1"/>
        </xdr:cNvSpPr>
      </xdr:nvSpPr>
      <xdr:spPr>
        <a:xfrm>
          <a:off x="433943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43</xdr:row>
      <xdr:rowOff>75750</xdr:rowOff>
    </xdr:from>
    <xdr:to>
      <xdr:col>63</xdr:col>
      <xdr:colOff>297000</xdr:colOff>
      <xdr:row>48</xdr:row>
      <xdr:rowOff>136501</xdr:rowOff>
    </xdr:to>
    <xdr:sp macro="" textlink="">
      <xdr:nvSpPr>
        <xdr:cNvPr id="246005" name="フリーフォーム: 図形 246004">
          <a:extLst>
            <a:ext uri="{FF2B5EF4-FFF2-40B4-BE49-F238E27FC236}">
              <a16:creationId xmlns:a16="http://schemas.microsoft.com/office/drawing/2014/main" id="{72D31B8A-ED6C-4E5B-AAE9-5550A94F1DE7}"/>
            </a:ext>
          </a:extLst>
        </xdr:cNvPr>
        <xdr:cNvSpPr>
          <a:spLocks noChangeAspect="1"/>
        </xdr:cNvSpPr>
      </xdr:nvSpPr>
      <xdr:spPr>
        <a:xfrm>
          <a:off x="432144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48</xdr:row>
      <xdr:rowOff>64500</xdr:rowOff>
    </xdr:from>
    <xdr:to>
      <xdr:col>62</xdr:col>
      <xdr:colOff>226800</xdr:colOff>
      <xdr:row>49</xdr:row>
      <xdr:rowOff>37051</xdr:rowOff>
    </xdr:to>
    <xdr:sp macro="" textlink="">
      <xdr:nvSpPr>
        <xdr:cNvPr id="246006" name="フリーフォーム: 図形 246005">
          <a:extLst>
            <a:ext uri="{FF2B5EF4-FFF2-40B4-BE49-F238E27FC236}">
              <a16:creationId xmlns:a16="http://schemas.microsoft.com/office/drawing/2014/main" id="{2A07CACB-CE07-4A9D-929A-6172F6E2D852}"/>
            </a:ext>
          </a:extLst>
        </xdr:cNvPr>
        <xdr:cNvSpPr>
          <a:spLocks noChangeAspect="1"/>
        </xdr:cNvSpPr>
      </xdr:nvSpPr>
      <xdr:spPr>
        <a:xfrm>
          <a:off x="422604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48</xdr:row>
      <xdr:rowOff>64500</xdr:rowOff>
    </xdr:from>
    <xdr:to>
      <xdr:col>63</xdr:col>
      <xdr:colOff>45000</xdr:colOff>
      <xdr:row>49</xdr:row>
      <xdr:rowOff>37051</xdr:rowOff>
    </xdr:to>
    <xdr:sp macro="" textlink="">
      <xdr:nvSpPr>
        <xdr:cNvPr id="246007" name="フリーフォーム: 図形 246006">
          <a:extLst>
            <a:ext uri="{FF2B5EF4-FFF2-40B4-BE49-F238E27FC236}">
              <a16:creationId xmlns:a16="http://schemas.microsoft.com/office/drawing/2014/main" id="{F9D919A2-5B4F-4620-B2C5-AE82B9FF9BBC}"/>
            </a:ext>
          </a:extLst>
        </xdr:cNvPr>
        <xdr:cNvSpPr>
          <a:spLocks noChangeAspect="1"/>
        </xdr:cNvSpPr>
      </xdr:nvSpPr>
      <xdr:spPr>
        <a:xfrm>
          <a:off x="427823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43</xdr:row>
      <xdr:rowOff>75750</xdr:rowOff>
    </xdr:from>
    <xdr:to>
      <xdr:col>61</xdr:col>
      <xdr:colOff>660603</xdr:colOff>
      <xdr:row>48</xdr:row>
      <xdr:rowOff>136501</xdr:rowOff>
    </xdr:to>
    <xdr:sp macro="" textlink="">
      <xdr:nvSpPr>
        <xdr:cNvPr id="246008" name="フリーフォーム: 図形 246007">
          <a:extLst>
            <a:ext uri="{FF2B5EF4-FFF2-40B4-BE49-F238E27FC236}">
              <a16:creationId xmlns:a16="http://schemas.microsoft.com/office/drawing/2014/main" id="{E36BB9BB-0C6E-4BA4-BE27-53ABE18507F1}"/>
            </a:ext>
          </a:extLst>
        </xdr:cNvPr>
        <xdr:cNvSpPr>
          <a:spLocks noChangeAspect="1"/>
        </xdr:cNvSpPr>
      </xdr:nvSpPr>
      <xdr:spPr>
        <a:xfrm>
          <a:off x="422064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37</xdr:row>
      <xdr:rowOff>114450</xdr:rowOff>
    </xdr:from>
    <xdr:to>
      <xdr:col>62</xdr:col>
      <xdr:colOff>118800</xdr:colOff>
      <xdr:row>43</xdr:row>
      <xdr:rowOff>21751</xdr:rowOff>
    </xdr:to>
    <xdr:sp macro="" textlink="">
      <xdr:nvSpPr>
        <xdr:cNvPr id="246009" name="フリーフォーム: 図形 246008">
          <a:extLst>
            <a:ext uri="{FF2B5EF4-FFF2-40B4-BE49-F238E27FC236}">
              <a16:creationId xmlns:a16="http://schemas.microsoft.com/office/drawing/2014/main" id="{CF1EDA0E-7763-400D-A6E0-04CA9BD2307A}"/>
            </a:ext>
          </a:extLst>
        </xdr:cNvPr>
        <xdr:cNvSpPr>
          <a:spLocks noChangeAspect="1"/>
        </xdr:cNvSpPr>
      </xdr:nvSpPr>
      <xdr:spPr>
        <a:xfrm>
          <a:off x="423863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42</xdr:row>
      <xdr:rowOff>139200</xdr:rowOff>
    </xdr:from>
    <xdr:to>
      <xdr:col>62</xdr:col>
      <xdr:colOff>388802</xdr:colOff>
      <xdr:row>43</xdr:row>
      <xdr:rowOff>111751</xdr:rowOff>
    </xdr:to>
    <xdr:sp macro="" textlink="">
      <xdr:nvSpPr>
        <xdr:cNvPr id="246010" name="フリーフォーム: 図形 246009">
          <a:extLst>
            <a:ext uri="{FF2B5EF4-FFF2-40B4-BE49-F238E27FC236}">
              <a16:creationId xmlns:a16="http://schemas.microsoft.com/office/drawing/2014/main" id="{1BE5A99C-BAB2-45B3-920D-F943C57BE1A7}"/>
            </a:ext>
          </a:extLst>
        </xdr:cNvPr>
        <xdr:cNvSpPr>
          <a:spLocks noChangeAspect="1"/>
        </xdr:cNvSpPr>
      </xdr:nvSpPr>
      <xdr:spPr>
        <a:xfrm>
          <a:off x="424584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42</xdr:row>
      <xdr:rowOff>139200</xdr:rowOff>
    </xdr:from>
    <xdr:to>
      <xdr:col>63</xdr:col>
      <xdr:colOff>207002</xdr:colOff>
      <xdr:row>43</xdr:row>
      <xdr:rowOff>111751</xdr:rowOff>
    </xdr:to>
    <xdr:sp macro="" textlink="">
      <xdr:nvSpPr>
        <xdr:cNvPr id="246011" name="フリーフォーム: 図形 246010">
          <a:extLst>
            <a:ext uri="{FF2B5EF4-FFF2-40B4-BE49-F238E27FC236}">
              <a16:creationId xmlns:a16="http://schemas.microsoft.com/office/drawing/2014/main" id="{0B480086-7ECE-470C-8F79-13CDC25EFDF2}"/>
            </a:ext>
          </a:extLst>
        </xdr:cNvPr>
        <xdr:cNvSpPr>
          <a:spLocks noChangeAspect="1"/>
        </xdr:cNvSpPr>
      </xdr:nvSpPr>
      <xdr:spPr>
        <a:xfrm>
          <a:off x="429624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38</xdr:row>
      <xdr:rowOff>51000</xdr:rowOff>
    </xdr:from>
    <xdr:to>
      <xdr:col>62</xdr:col>
      <xdr:colOff>406801</xdr:colOff>
      <xdr:row>43</xdr:row>
      <xdr:rowOff>3751</xdr:rowOff>
    </xdr:to>
    <xdr:sp macro="" textlink="">
      <xdr:nvSpPr>
        <xdr:cNvPr id="246012" name="フリーフォーム: 図形 246011">
          <a:extLst>
            <a:ext uri="{FF2B5EF4-FFF2-40B4-BE49-F238E27FC236}">
              <a16:creationId xmlns:a16="http://schemas.microsoft.com/office/drawing/2014/main" id="{A93BD071-1FFD-429D-840A-7971BE27101A}"/>
            </a:ext>
          </a:extLst>
        </xdr:cNvPr>
        <xdr:cNvSpPr>
          <a:spLocks noChangeAspect="1"/>
        </xdr:cNvSpPr>
      </xdr:nvSpPr>
      <xdr:spPr>
        <a:xfrm>
          <a:off x="426564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37</xdr:row>
      <xdr:rowOff>114450</xdr:rowOff>
    </xdr:from>
    <xdr:to>
      <xdr:col>62</xdr:col>
      <xdr:colOff>658801</xdr:colOff>
      <xdr:row>42</xdr:row>
      <xdr:rowOff>157201</xdr:rowOff>
    </xdr:to>
    <xdr:sp macro="" textlink="">
      <xdr:nvSpPr>
        <xdr:cNvPr id="246013" name="フリーフォーム: 図形 246012">
          <a:extLst>
            <a:ext uri="{FF2B5EF4-FFF2-40B4-BE49-F238E27FC236}">
              <a16:creationId xmlns:a16="http://schemas.microsoft.com/office/drawing/2014/main" id="{FC734EF0-F9BF-486D-B168-6EB057E69BE9}"/>
            </a:ext>
          </a:extLst>
        </xdr:cNvPr>
        <xdr:cNvSpPr>
          <a:spLocks noChangeAspect="1"/>
        </xdr:cNvSpPr>
      </xdr:nvSpPr>
      <xdr:spPr>
        <a:xfrm>
          <a:off x="429264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38</xdr:row>
      <xdr:rowOff>69000</xdr:rowOff>
    </xdr:from>
    <xdr:to>
      <xdr:col>63</xdr:col>
      <xdr:colOff>297000</xdr:colOff>
      <xdr:row>43</xdr:row>
      <xdr:rowOff>3751</xdr:rowOff>
    </xdr:to>
    <xdr:sp macro="" textlink="">
      <xdr:nvSpPr>
        <xdr:cNvPr id="246014" name="フリーフォーム: 図形 246013">
          <a:extLst>
            <a:ext uri="{FF2B5EF4-FFF2-40B4-BE49-F238E27FC236}">
              <a16:creationId xmlns:a16="http://schemas.microsoft.com/office/drawing/2014/main" id="{37C7D5D7-4990-4AEE-B7AD-A3628ACFF1F2}"/>
            </a:ext>
          </a:extLst>
        </xdr:cNvPr>
        <xdr:cNvSpPr>
          <a:spLocks noChangeAspect="1"/>
        </xdr:cNvSpPr>
      </xdr:nvSpPr>
      <xdr:spPr>
        <a:xfrm>
          <a:off x="429804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43</xdr:row>
      <xdr:rowOff>75750</xdr:rowOff>
    </xdr:from>
    <xdr:to>
      <xdr:col>63</xdr:col>
      <xdr:colOff>9002</xdr:colOff>
      <xdr:row>47</xdr:row>
      <xdr:rowOff>163951</xdr:rowOff>
    </xdr:to>
    <xdr:sp macro="" textlink="">
      <xdr:nvSpPr>
        <xdr:cNvPr id="246015" name="フリーフォーム: 図形 246014">
          <a:extLst>
            <a:ext uri="{FF2B5EF4-FFF2-40B4-BE49-F238E27FC236}">
              <a16:creationId xmlns:a16="http://schemas.microsoft.com/office/drawing/2014/main" id="{F5BEAEA9-ED15-48D3-9C07-85238895A10E}"/>
            </a:ext>
          </a:extLst>
        </xdr:cNvPr>
        <xdr:cNvSpPr>
          <a:spLocks noChangeAspect="1"/>
        </xdr:cNvSpPr>
      </xdr:nvSpPr>
      <xdr:spPr>
        <a:xfrm>
          <a:off x="429443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43</xdr:row>
      <xdr:rowOff>93750</xdr:rowOff>
    </xdr:from>
    <xdr:to>
      <xdr:col>62</xdr:col>
      <xdr:colOff>424800</xdr:colOff>
      <xdr:row>48</xdr:row>
      <xdr:rowOff>118501</xdr:rowOff>
    </xdr:to>
    <xdr:sp macro="" textlink="">
      <xdr:nvSpPr>
        <xdr:cNvPr id="246016" name="フリーフォーム: 図形 246015">
          <a:extLst>
            <a:ext uri="{FF2B5EF4-FFF2-40B4-BE49-F238E27FC236}">
              <a16:creationId xmlns:a16="http://schemas.microsoft.com/office/drawing/2014/main" id="{EB1F64C2-20B1-462F-9EF4-F212E046F4DB}"/>
            </a:ext>
          </a:extLst>
        </xdr:cNvPr>
        <xdr:cNvSpPr>
          <a:spLocks noChangeAspect="1"/>
        </xdr:cNvSpPr>
      </xdr:nvSpPr>
      <xdr:spPr>
        <a:xfrm>
          <a:off x="427104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43</xdr:row>
      <xdr:rowOff>75750</xdr:rowOff>
    </xdr:from>
    <xdr:to>
      <xdr:col>62</xdr:col>
      <xdr:colOff>388802</xdr:colOff>
      <xdr:row>48</xdr:row>
      <xdr:rowOff>10501</xdr:rowOff>
    </xdr:to>
    <xdr:sp macro="" textlink="">
      <xdr:nvSpPr>
        <xdr:cNvPr id="246017" name="フリーフォーム: 図形 246016">
          <a:extLst>
            <a:ext uri="{FF2B5EF4-FFF2-40B4-BE49-F238E27FC236}">
              <a16:creationId xmlns:a16="http://schemas.microsoft.com/office/drawing/2014/main" id="{2C98A59F-25C2-4B01-8F55-258C5C32BEF7}"/>
            </a:ext>
          </a:extLst>
        </xdr:cNvPr>
        <xdr:cNvSpPr>
          <a:spLocks noChangeAspect="1"/>
        </xdr:cNvSpPr>
      </xdr:nvSpPr>
      <xdr:spPr>
        <a:xfrm>
          <a:off x="423863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37</xdr:row>
      <xdr:rowOff>42450</xdr:rowOff>
    </xdr:from>
    <xdr:to>
      <xdr:col>65</xdr:col>
      <xdr:colOff>322201</xdr:colOff>
      <xdr:row>38</xdr:row>
      <xdr:rowOff>15001</xdr:rowOff>
    </xdr:to>
    <xdr:sp macro="" textlink="">
      <xdr:nvSpPr>
        <xdr:cNvPr id="246018" name="フリーフォーム: 図形 246017">
          <a:extLst>
            <a:ext uri="{FF2B5EF4-FFF2-40B4-BE49-F238E27FC236}">
              <a16:creationId xmlns:a16="http://schemas.microsoft.com/office/drawing/2014/main" id="{32C8D5F9-47A9-4BC4-B75E-CC43C525B978}"/>
            </a:ext>
          </a:extLst>
        </xdr:cNvPr>
        <xdr:cNvSpPr>
          <a:spLocks noChangeAspect="1"/>
        </xdr:cNvSpPr>
      </xdr:nvSpPr>
      <xdr:spPr>
        <a:xfrm>
          <a:off x="444312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37</xdr:row>
      <xdr:rowOff>42450</xdr:rowOff>
    </xdr:from>
    <xdr:to>
      <xdr:col>66</xdr:col>
      <xdr:colOff>176400</xdr:colOff>
      <xdr:row>38</xdr:row>
      <xdr:rowOff>15001</xdr:rowOff>
    </xdr:to>
    <xdr:sp macro="" textlink="">
      <xdr:nvSpPr>
        <xdr:cNvPr id="246019" name="フリーフォーム: 図形 246018">
          <a:extLst>
            <a:ext uri="{FF2B5EF4-FFF2-40B4-BE49-F238E27FC236}">
              <a16:creationId xmlns:a16="http://schemas.microsoft.com/office/drawing/2014/main" id="{9E1F4B0C-4D29-48AE-95D4-E73C68B9D064}"/>
            </a:ext>
          </a:extLst>
        </xdr:cNvPr>
        <xdr:cNvSpPr>
          <a:spLocks noChangeAspect="1"/>
        </xdr:cNvSpPr>
      </xdr:nvSpPr>
      <xdr:spPr>
        <a:xfrm>
          <a:off x="449711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37</xdr:row>
      <xdr:rowOff>114450</xdr:rowOff>
    </xdr:from>
    <xdr:to>
      <xdr:col>66</xdr:col>
      <xdr:colOff>248401</xdr:colOff>
      <xdr:row>43</xdr:row>
      <xdr:rowOff>21751</xdr:rowOff>
    </xdr:to>
    <xdr:sp macro="" textlink="">
      <xdr:nvSpPr>
        <xdr:cNvPr id="246020" name="フリーフォーム: 図形 246019">
          <a:extLst>
            <a:ext uri="{FF2B5EF4-FFF2-40B4-BE49-F238E27FC236}">
              <a16:creationId xmlns:a16="http://schemas.microsoft.com/office/drawing/2014/main" id="{38394069-D278-4F51-B84F-AC1435C1EF0D}"/>
            </a:ext>
          </a:extLst>
        </xdr:cNvPr>
        <xdr:cNvSpPr>
          <a:spLocks noChangeAspect="1"/>
        </xdr:cNvSpPr>
      </xdr:nvSpPr>
      <xdr:spPr>
        <a:xfrm>
          <a:off x="452231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43</xdr:row>
      <xdr:rowOff>75750</xdr:rowOff>
    </xdr:from>
    <xdr:to>
      <xdr:col>66</xdr:col>
      <xdr:colOff>68400</xdr:colOff>
      <xdr:row>48</xdr:row>
      <xdr:rowOff>136501</xdr:rowOff>
    </xdr:to>
    <xdr:sp macro="" textlink="">
      <xdr:nvSpPr>
        <xdr:cNvPr id="246021" name="フリーフォーム: 図形 246020">
          <a:extLst>
            <a:ext uri="{FF2B5EF4-FFF2-40B4-BE49-F238E27FC236}">
              <a16:creationId xmlns:a16="http://schemas.microsoft.com/office/drawing/2014/main" id="{68582569-E3F8-4402-A530-C00A84E6203D}"/>
            </a:ext>
          </a:extLst>
        </xdr:cNvPr>
        <xdr:cNvSpPr>
          <a:spLocks noChangeAspect="1"/>
        </xdr:cNvSpPr>
      </xdr:nvSpPr>
      <xdr:spPr>
        <a:xfrm>
          <a:off x="450432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48</xdr:row>
      <xdr:rowOff>64500</xdr:rowOff>
    </xdr:from>
    <xdr:to>
      <xdr:col>64</xdr:col>
      <xdr:colOff>684000</xdr:colOff>
      <xdr:row>49</xdr:row>
      <xdr:rowOff>37051</xdr:rowOff>
    </xdr:to>
    <xdr:sp macro="" textlink="">
      <xdr:nvSpPr>
        <xdr:cNvPr id="246022" name="フリーフォーム: 図形 246021">
          <a:extLst>
            <a:ext uri="{FF2B5EF4-FFF2-40B4-BE49-F238E27FC236}">
              <a16:creationId xmlns:a16="http://schemas.microsoft.com/office/drawing/2014/main" id="{EC06E017-8B52-4B19-A6BE-A6620BA30F40}"/>
            </a:ext>
          </a:extLst>
        </xdr:cNvPr>
        <xdr:cNvSpPr>
          <a:spLocks noChangeAspect="1"/>
        </xdr:cNvSpPr>
      </xdr:nvSpPr>
      <xdr:spPr>
        <a:xfrm>
          <a:off x="440892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48</xdr:row>
      <xdr:rowOff>64500</xdr:rowOff>
    </xdr:from>
    <xdr:to>
      <xdr:col>65</xdr:col>
      <xdr:colOff>502200</xdr:colOff>
      <xdr:row>49</xdr:row>
      <xdr:rowOff>37051</xdr:rowOff>
    </xdr:to>
    <xdr:sp macro="" textlink="">
      <xdr:nvSpPr>
        <xdr:cNvPr id="246023" name="フリーフォーム: 図形 246022">
          <a:extLst>
            <a:ext uri="{FF2B5EF4-FFF2-40B4-BE49-F238E27FC236}">
              <a16:creationId xmlns:a16="http://schemas.microsoft.com/office/drawing/2014/main" id="{2A019885-EB88-4C66-9BD8-67DDFA36A0C2}"/>
            </a:ext>
          </a:extLst>
        </xdr:cNvPr>
        <xdr:cNvSpPr>
          <a:spLocks noChangeAspect="1"/>
        </xdr:cNvSpPr>
      </xdr:nvSpPr>
      <xdr:spPr>
        <a:xfrm>
          <a:off x="446111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43</xdr:row>
      <xdr:rowOff>75750</xdr:rowOff>
    </xdr:from>
    <xdr:to>
      <xdr:col>64</xdr:col>
      <xdr:colOff>432003</xdr:colOff>
      <xdr:row>48</xdr:row>
      <xdr:rowOff>136501</xdr:rowOff>
    </xdr:to>
    <xdr:sp macro="" textlink="">
      <xdr:nvSpPr>
        <xdr:cNvPr id="246024" name="フリーフォーム: 図形 246023">
          <a:extLst>
            <a:ext uri="{FF2B5EF4-FFF2-40B4-BE49-F238E27FC236}">
              <a16:creationId xmlns:a16="http://schemas.microsoft.com/office/drawing/2014/main" id="{D7B2DAD3-829E-42DD-9A8B-6043760D4A1E}"/>
            </a:ext>
          </a:extLst>
        </xdr:cNvPr>
        <xdr:cNvSpPr>
          <a:spLocks noChangeAspect="1"/>
        </xdr:cNvSpPr>
      </xdr:nvSpPr>
      <xdr:spPr>
        <a:xfrm>
          <a:off x="440352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37</xdr:row>
      <xdr:rowOff>114450</xdr:rowOff>
    </xdr:from>
    <xdr:to>
      <xdr:col>64</xdr:col>
      <xdr:colOff>576000</xdr:colOff>
      <xdr:row>43</xdr:row>
      <xdr:rowOff>21751</xdr:rowOff>
    </xdr:to>
    <xdr:sp macro="" textlink="">
      <xdr:nvSpPr>
        <xdr:cNvPr id="246025" name="フリーフォーム: 図形 246024">
          <a:extLst>
            <a:ext uri="{FF2B5EF4-FFF2-40B4-BE49-F238E27FC236}">
              <a16:creationId xmlns:a16="http://schemas.microsoft.com/office/drawing/2014/main" id="{B67795CB-1D6E-4C45-A46A-2C90994CFD0B}"/>
            </a:ext>
          </a:extLst>
        </xdr:cNvPr>
        <xdr:cNvSpPr>
          <a:spLocks noChangeAspect="1"/>
        </xdr:cNvSpPr>
      </xdr:nvSpPr>
      <xdr:spPr>
        <a:xfrm>
          <a:off x="442151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42</xdr:row>
      <xdr:rowOff>139200</xdr:rowOff>
    </xdr:from>
    <xdr:to>
      <xdr:col>65</xdr:col>
      <xdr:colOff>160202</xdr:colOff>
      <xdr:row>43</xdr:row>
      <xdr:rowOff>111751</xdr:rowOff>
    </xdr:to>
    <xdr:sp macro="" textlink="">
      <xdr:nvSpPr>
        <xdr:cNvPr id="246026" name="フリーフォーム: 図形 246025">
          <a:extLst>
            <a:ext uri="{FF2B5EF4-FFF2-40B4-BE49-F238E27FC236}">
              <a16:creationId xmlns:a16="http://schemas.microsoft.com/office/drawing/2014/main" id="{440CC241-1837-46BD-88F1-C6C6D16CDFCE}"/>
            </a:ext>
          </a:extLst>
        </xdr:cNvPr>
        <xdr:cNvSpPr>
          <a:spLocks noChangeAspect="1"/>
        </xdr:cNvSpPr>
      </xdr:nvSpPr>
      <xdr:spPr>
        <a:xfrm>
          <a:off x="442872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42</xdr:row>
      <xdr:rowOff>139200</xdr:rowOff>
    </xdr:from>
    <xdr:to>
      <xdr:col>65</xdr:col>
      <xdr:colOff>664202</xdr:colOff>
      <xdr:row>43</xdr:row>
      <xdr:rowOff>111751</xdr:rowOff>
    </xdr:to>
    <xdr:sp macro="" textlink="">
      <xdr:nvSpPr>
        <xdr:cNvPr id="246027" name="フリーフォーム: 図形 246026">
          <a:extLst>
            <a:ext uri="{FF2B5EF4-FFF2-40B4-BE49-F238E27FC236}">
              <a16:creationId xmlns:a16="http://schemas.microsoft.com/office/drawing/2014/main" id="{81E9627C-ADC3-481E-BC78-F606141197EB}"/>
            </a:ext>
          </a:extLst>
        </xdr:cNvPr>
        <xdr:cNvSpPr>
          <a:spLocks noChangeAspect="1"/>
        </xdr:cNvSpPr>
      </xdr:nvSpPr>
      <xdr:spPr>
        <a:xfrm>
          <a:off x="447912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38</xdr:row>
      <xdr:rowOff>51000</xdr:rowOff>
    </xdr:from>
    <xdr:to>
      <xdr:col>65</xdr:col>
      <xdr:colOff>178201</xdr:colOff>
      <xdr:row>43</xdr:row>
      <xdr:rowOff>3751</xdr:rowOff>
    </xdr:to>
    <xdr:sp macro="" textlink="">
      <xdr:nvSpPr>
        <xdr:cNvPr id="246028" name="フリーフォーム: 図形 246027">
          <a:extLst>
            <a:ext uri="{FF2B5EF4-FFF2-40B4-BE49-F238E27FC236}">
              <a16:creationId xmlns:a16="http://schemas.microsoft.com/office/drawing/2014/main" id="{A3D2039D-0EF3-4D83-9EF7-80C0132CC2FA}"/>
            </a:ext>
          </a:extLst>
        </xdr:cNvPr>
        <xdr:cNvSpPr>
          <a:spLocks noChangeAspect="1"/>
        </xdr:cNvSpPr>
      </xdr:nvSpPr>
      <xdr:spPr>
        <a:xfrm>
          <a:off x="444852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37</xdr:row>
      <xdr:rowOff>114450</xdr:rowOff>
    </xdr:from>
    <xdr:to>
      <xdr:col>65</xdr:col>
      <xdr:colOff>430201</xdr:colOff>
      <xdr:row>42</xdr:row>
      <xdr:rowOff>157201</xdr:rowOff>
    </xdr:to>
    <xdr:sp macro="" textlink="">
      <xdr:nvSpPr>
        <xdr:cNvPr id="246029" name="フリーフォーム: 図形 246028">
          <a:extLst>
            <a:ext uri="{FF2B5EF4-FFF2-40B4-BE49-F238E27FC236}">
              <a16:creationId xmlns:a16="http://schemas.microsoft.com/office/drawing/2014/main" id="{F9196E92-57C2-4A99-A374-384A583E756E}"/>
            </a:ext>
          </a:extLst>
        </xdr:cNvPr>
        <xdr:cNvSpPr>
          <a:spLocks noChangeAspect="1"/>
        </xdr:cNvSpPr>
      </xdr:nvSpPr>
      <xdr:spPr>
        <a:xfrm>
          <a:off x="447552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38</xdr:row>
      <xdr:rowOff>69000</xdr:rowOff>
    </xdr:from>
    <xdr:to>
      <xdr:col>66</xdr:col>
      <xdr:colOff>68400</xdr:colOff>
      <xdr:row>43</xdr:row>
      <xdr:rowOff>3751</xdr:rowOff>
    </xdr:to>
    <xdr:sp macro="" textlink="">
      <xdr:nvSpPr>
        <xdr:cNvPr id="246030" name="フリーフォーム: 図形 246029">
          <a:extLst>
            <a:ext uri="{FF2B5EF4-FFF2-40B4-BE49-F238E27FC236}">
              <a16:creationId xmlns:a16="http://schemas.microsoft.com/office/drawing/2014/main" id="{2CDAE5B9-4CFF-4FD1-B47D-1BD43747D8C4}"/>
            </a:ext>
          </a:extLst>
        </xdr:cNvPr>
        <xdr:cNvSpPr>
          <a:spLocks noChangeAspect="1"/>
        </xdr:cNvSpPr>
      </xdr:nvSpPr>
      <xdr:spPr>
        <a:xfrm>
          <a:off x="448092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43</xdr:row>
      <xdr:rowOff>75750</xdr:rowOff>
    </xdr:from>
    <xdr:to>
      <xdr:col>65</xdr:col>
      <xdr:colOff>466202</xdr:colOff>
      <xdr:row>47</xdr:row>
      <xdr:rowOff>163951</xdr:rowOff>
    </xdr:to>
    <xdr:sp macro="" textlink="">
      <xdr:nvSpPr>
        <xdr:cNvPr id="246031" name="フリーフォーム: 図形 246030">
          <a:extLst>
            <a:ext uri="{FF2B5EF4-FFF2-40B4-BE49-F238E27FC236}">
              <a16:creationId xmlns:a16="http://schemas.microsoft.com/office/drawing/2014/main" id="{2373D632-DFBB-41CB-8593-C53094AE7CC8}"/>
            </a:ext>
          </a:extLst>
        </xdr:cNvPr>
        <xdr:cNvSpPr>
          <a:spLocks noChangeAspect="1"/>
        </xdr:cNvSpPr>
      </xdr:nvSpPr>
      <xdr:spPr>
        <a:xfrm>
          <a:off x="447731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43</xdr:row>
      <xdr:rowOff>93750</xdr:rowOff>
    </xdr:from>
    <xdr:to>
      <xdr:col>65</xdr:col>
      <xdr:colOff>196200</xdr:colOff>
      <xdr:row>48</xdr:row>
      <xdr:rowOff>118501</xdr:rowOff>
    </xdr:to>
    <xdr:sp macro="" textlink="">
      <xdr:nvSpPr>
        <xdr:cNvPr id="246032" name="フリーフォーム: 図形 246031">
          <a:extLst>
            <a:ext uri="{FF2B5EF4-FFF2-40B4-BE49-F238E27FC236}">
              <a16:creationId xmlns:a16="http://schemas.microsoft.com/office/drawing/2014/main" id="{1901D91E-CB3B-4EBB-9CB5-855611C516BB}"/>
            </a:ext>
          </a:extLst>
        </xdr:cNvPr>
        <xdr:cNvSpPr>
          <a:spLocks noChangeAspect="1"/>
        </xdr:cNvSpPr>
      </xdr:nvSpPr>
      <xdr:spPr>
        <a:xfrm>
          <a:off x="445392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43</xdr:row>
      <xdr:rowOff>75750</xdr:rowOff>
    </xdr:from>
    <xdr:to>
      <xdr:col>65</xdr:col>
      <xdr:colOff>160202</xdr:colOff>
      <xdr:row>48</xdr:row>
      <xdr:rowOff>10501</xdr:rowOff>
    </xdr:to>
    <xdr:sp macro="" textlink="">
      <xdr:nvSpPr>
        <xdr:cNvPr id="246033" name="フリーフォーム: 図形 246032">
          <a:extLst>
            <a:ext uri="{FF2B5EF4-FFF2-40B4-BE49-F238E27FC236}">
              <a16:creationId xmlns:a16="http://schemas.microsoft.com/office/drawing/2014/main" id="{FF09031D-8DF3-4FDE-A384-46D45EA19233}"/>
            </a:ext>
          </a:extLst>
        </xdr:cNvPr>
        <xdr:cNvSpPr>
          <a:spLocks noChangeAspect="1"/>
        </xdr:cNvSpPr>
      </xdr:nvSpPr>
      <xdr:spPr>
        <a:xfrm>
          <a:off x="442151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37</xdr:row>
      <xdr:rowOff>42450</xdr:rowOff>
    </xdr:from>
    <xdr:to>
      <xdr:col>68</xdr:col>
      <xdr:colOff>93601</xdr:colOff>
      <xdr:row>38</xdr:row>
      <xdr:rowOff>15001</xdr:rowOff>
    </xdr:to>
    <xdr:sp macro="" textlink="">
      <xdr:nvSpPr>
        <xdr:cNvPr id="246034" name="フリーフォーム: 図形 246033">
          <a:extLst>
            <a:ext uri="{FF2B5EF4-FFF2-40B4-BE49-F238E27FC236}">
              <a16:creationId xmlns:a16="http://schemas.microsoft.com/office/drawing/2014/main" id="{0939EC0A-6F14-4D42-9BE9-9F8642C1A00E}"/>
            </a:ext>
          </a:extLst>
        </xdr:cNvPr>
        <xdr:cNvSpPr>
          <a:spLocks noChangeAspect="1"/>
        </xdr:cNvSpPr>
      </xdr:nvSpPr>
      <xdr:spPr>
        <a:xfrm>
          <a:off x="462600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37</xdr:row>
      <xdr:rowOff>42450</xdr:rowOff>
    </xdr:from>
    <xdr:to>
      <xdr:col>68</xdr:col>
      <xdr:colOff>633600</xdr:colOff>
      <xdr:row>38</xdr:row>
      <xdr:rowOff>15001</xdr:rowOff>
    </xdr:to>
    <xdr:sp macro="" textlink="">
      <xdr:nvSpPr>
        <xdr:cNvPr id="246035" name="フリーフォーム: 図形 246034">
          <a:extLst>
            <a:ext uri="{FF2B5EF4-FFF2-40B4-BE49-F238E27FC236}">
              <a16:creationId xmlns:a16="http://schemas.microsoft.com/office/drawing/2014/main" id="{378A5F4B-5494-4410-BC7C-7ED0BDCEF7DD}"/>
            </a:ext>
          </a:extLst>
        </xdr:cNvPr>
        <xdr:cNvSpPr>
          <a:spLocks noChangeAspect="1"/>
        </xdr:cNvSpPr>
      </xdr:nvSpPr>
      <xdr:spPr>
        <a:xfrm>
          <a:off x="467999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37</xdr:row>
      <xdr:rowOff>114450</xdr:rowOff>
    </xdr:from>
    <xdr:to>
      <xdr:col>69</xdr:col>
      <xdr:colOff>19801</xdr:colOff>
      <xdr:row>43</xdr:row>
      <xdr:rowOff>21751</xdr:rowOff>
    </xdr:to>
    <xdr:sp macro="" textlink="">
      <xdr:nvSpPr>
        <xdr:cNvPr id="246036" name="フリーフォーム: 図形 246035">
          <a:extLst>
            <a:ext uri="{FF2B5EF4-FFF2-40B4-BE49-F238E27FC236}">
              <a16:creationId xmlns:a16="http://schemas.microsoft.com/office/drawing/2014/main" id="{B92469DE-1E72-4CA6-BCE2-E659CA076B42}"/>
            </a:ext>
          </a:extLst>
        </xdr:cNvPr>
        <xdr:cNvSpPr>
          <a:spLocks noChangeAspect="1"/>
        </xdr:cNvSpPr>
      </xdr:nvSpPr>
      <xdr:spPr>
        <a:xfrm>
          <a:off x="470519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43</xdr:row>
      <xdr:rowOff>75750</xdr:rowOff>
    </xdr:from>
    <xdr:to>
      <xdr:col>68</xdr:col>
      <xdr:colOff>525600</xdr:colOff>
      <xdr:row>48</xdr:row>
      <xdr:rowOff>136501</xdr:rowOff>
    </xdr:to>
    <xdr:sp macro="" textlink="">
      <xdr:nvSpPr>
        <xdr:cNvPr id="246037" name="フリーフォーム: 図形 246036">
          <a:extLst>
            <a:ext uri="{FF2B5EF4-FFF2-40B4-BE49-F238E27FC236}">
              <a16:creationId xmlns:a16="http://schemas.microsoft.com/office/drawing/2014/main" id="{1802859F-E8CC-43A4-8055-DE082B82A420}"/>
            </a:ext>
          </a:extLst>
        </xdr:cNvPr>
        <xdr:cNvSpPr>
          <a:spLocks noChangeAspect="1"/>
        </xdr:cNvSpPr>
      </xdr:nvSpPr>
      <xdr:spPr>
        <a:xfrm>
          <a:off x="468720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48</xdr:row>
      <xdr:rowOff>64500</xdr:rowOff>
    </xdr:from>
    <xdr:to>
      <xdr:col>67</xdr:col>
      <xdr:colOff>455400</xdr:colOff>
      <xdr:row>49</xdr:row>
      <xdr:rowOff>37051</xdr:rowOff>
    </xdr:to>
    <xdr:sp macro="" textlink="">
      <xdr:nvSpPr>
        <xdr:cNvPr id="246038" name="フリーフォーム: 図形 246037">
          <a:extLst>
            <a:ext uri="{FF2B5EF4-FFF2-40B4-BE49-F238E27FC236}">
              <a16:creationId xmlns:a16="http://schemas.microsoft.com/office/drawing/2014/main" id="{45619326-C0B3-4FE3-9BD7-7755E10847CE}"/>
            </a:ext>
          </a:extLst>
        </xdr:cNvPr>
        <xdr:cNvSpPr>
          <a:spLocks noChangeAspect="1"/>
        </xdr:cNvSpPr>
      </xdr:nvSpPr>
      <xdr:spPr>
        <a:xfrm>
          <a:off x="459180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48</xdr:row>
      <xdr:rowOff>64500</xdr:rowOff>
    </xdr:from>
    <xdr:to>
      <xdr:col>68</xdr:col>
      <xdr:colOff>273600</xdr:colOff>
      <xdr:row>49</xdr:row>
      <xdr:rowOff>37051</xdr:rowOff>
    </xdr:to>
    <xdr:sp macro="" textlink="">
      <xdr:nvSpPr>
        <xdr:cNvPr id="246039" name="フリーフォーム: 図形 246038">
          <a:extLst>
            <a:ext uri="{FF2B5EF4-FFF2-40B4-BE49-F238E27FC236}">
              <a16:creationId xmlns:a16="http://schemas.microsoft.com/office/drawing/2014/main" id="{8C6ECAC0-8090-4DB0-A3F4-DD2B37D043E8}"/>
            </a:ext>
          </a:extLst>
        </xdr:cNvPr>
        <xdr:cNvSpPr>
          <a:spLocks noChangeAspect="1"/>
        </xdr:cNvSpPr>
      </xdr:nvSpPr>
      <xdr:spPr>
        <a:xfrm>
          <a:off x="464399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43</xdr:row>
      <xdr:rowOff>75750</xdr:rowOff>
    </xdr:from>
    <xdr:to>
      <xdr:col>67</xdr:col>
      <xdr:colOff>203403</xdr:colOff>
      <xdr:row>48</xdr:row>
      <xdr:rowOff>136501</xdr:rowOff>
    </xdr:to>
    <xdr:sp macro="" textlink="">
      <xdr:nvSpPr>
        <xdr:cNvPr id="246040" name="フリーフォーム: 図形 246039">
          <a:extLst>
            <a:ext uri="{FF2B5EF4-FFF2-40B4-BE49-F238E27FC236}">
              <a16:creationId xmlns:a16="http://schemas.microsoft.com/office/drawing/2014/main" id="{0B52852C-3194-4AE6-BA8A-CB7E20CD5D4C}"/>
            </a:ext>
          </a:extLst>
        </xdr:cNvPr>
        <xdr:cNvSpPr>
          <a:spLocks noChangeAspect="1"/>
        </xdr:cNvSpPr>
      </xdr:nvSpPr>
      <xdr:spPr>
        <a:xfrm>
          <a:off x="458640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37</xdr:row>
      <xdr:rowOff>114450</xdr:rowOff>
    </xdr:from>
    <xdr:to>
      <xdr:col>67</xdr:col>
      <xdr:colOff>347400</xdr:colOff>
      <xdr:row>43</xdr:row>
      <xdr:rowOff>21751</xdr:rowOff>
    </xdr:to>
    <xdr:sp macro="" textlink="">
      <xdr:nvSpPr>
        <xdr:cNvPr id="246041" name="フリーフォーム: 図形 246040">
          <a:extLst>
            <a:ext uri="{FF2B5EF4-FFF2-40B4-BE49-F238E27FC236}">
              <a16:creationId xmlns:a16="http://schemas.microsoft.com/office/drawing/2014/main" id="{F1458BBF-9556-463C-AE3B-7D4FF8BF21B2}"/>
            </a:ext>
          </a:extLst>
        </xdr:cNvPr>
        <xdr:cNvSpPr>
          <a:spLocks noChangeAspect="1"/>
        </xdr:cNvSpPr>
      </xdr:nvSpPr>
      <xdr:spPr>
        <a:xfrm>
          <a:off x="460439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42</xdr:row>
      <xdr:rowOff>139200</xdr:rowOff>
    </xdr:from>
    <xdr:to>
      <xdr:col>67</xdr:col>
      <xdr:colOff>617402</xdr:colOff>
      <xdr:row>43</xdr:row>
      <xdr:rowOff>111751</xdr:rowOff>
    </xdr:to>
    <xdr:sp macro="" textlink="">
      <xdr:nvSpPr>
        <xdr:cNvPr id="246042" name="フリーフォーム: 図形 246041">
          <a:extLst>
            <a:ext uri="{FF2B5EF4-FFF2-40B4-BE49-F238E27FC236}">
              <a16:creationId xmlns:a16="http://schemas.microsoft.com/office/drawing/2014/main" id="{B63E2FC1-F072-46E3-87D4-FD3FA8A2A589}"/>
            </a:ext>
          </a:extLst>
        </xdr:cNvPr>
        <xdr:cNvSpPr>
          <a:spLocks noChangeAspect="1"/>
        </xdr:cNvSpPr>
      </xdr:nvSpPr>
      <xdr:spPr>
        <a:xfrm>
          <a:off x="461160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42</xdr:row>
      <xdr:rowOff>139200</xdr:rowOff>
    </xdr:from>
    <xdr:to>
      <xdr:col>68</xdr:col>
      <xdr:colOff>435602</xdr:colOff>
      <xdr:row>43</xdr:row>
      <xdr:rowOff>111751</xdr:rowOff>
    </xdr:to>
    <xdr:sp macro="" textlink="">
      <xdr:nvSpPr>
        <xdr:cNvPr id="246043" name="フリーフォーム: 図形 246042">
          <a:extLst>
            <a:ext uri="{FF2B5EF4-FFF2-40B4-BE49-F238E27FC236}">
              <a16:creationId xmlns:a16="http://schemas.microsoft.com/office/drawing/2014/main" id="{0D68E7F8-0484-4A79-A42A-9EDA8B8DB25C}"/>
            </a:ext>
          </a:extLst>
        </xdr:cNvPr>
        <xdr:cNvSpPr>
          <a:spLocks noChangeAspect="1"/>
        </xdr:cNvSpPr>
      </xdr:nvSpPr>
      <xdr:spPr>
        <a:xfrm>
          <a:off x="466200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38</xdr:row>
      <xdr:rowOff>51000</xdr:rowOff>
    </xdr:from>
    <xdr:to>
      <xdr:col>67</xdr:col>
      <xdr:colOff>635401</xdr:colOff>
      <xdr:row>43</xdr:row>
      <xdr:rowOff>3751</xdr:rowOff>
    </xdr:to>
    <xdr:sp macro="" textlink="">
      <xdr:nvSpPr>
        <xdr:cNvPr id="246044" name="フリーフォーム: 図形 246043">
          <a:extLst>
            <a:ext uri="{FF2B5EF4-FFF2-40B4-BE49-F238E27FC236}">
              <a16:creationId xmlns:a16="http://schemas.microsoft.com/office/drawing/2014/main" id="{593C8E1A-3476-47BF-AD62-F6DE5F3B89C5}"/>
            </a:ext>
          </a:extLst>
        </xdr:cNvPr>
        <xdr:cNvSpPr>
          <a:spLocks noChangeAspect="1"/>
        </xdr:cNvSpPr>
      </xdr:nvSpPr>
      <xdr:spPr>
        <a:xfrm>
          <a:off x="463140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37</xdr:row>
      <xdr:rowOff>114450</xdr:rowOff>
    </xdr:from>
    <xdr:to>
      <xdr:col>68</xdr:col>
      <xdr:colOff>201601</xdr:colOff>
      <xdr:row>42</xdr:row>
      <xdr:rowOff>157201</xdr:rowOff>
    </xdr:to>
    <xdr:sp macro="" textlink="">
      <xdr:nvSpPr>
        <xdr:cNvPr id="246045" name="フリーフォーム: 図形 246044">
          <a:extLst>
            <a:ext uri="{FF2B5EF4-FFF2-40B4-BE49-F238E27FC236}">
              <a16:creationId xmlns:a16="http://schemas.microsoft.com/office/drawing/2014/main" id="{CEDC06F9-D214-4F59-AADA-3AE4C36F778F}"/>
            </a:ext>
          </a:extLst>
        </xdr:cNvPr>
        <xdr:cNvSpPr>
          <a:spLocks noChangeAspect="1"/>
        </xdr:cNvSpPr>
      </xdr:nvSpPr>
      <xdr:spPr>
        <a:xfrm>
          <a:off x="465840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38</xdr:row>
      <xdr:rowOff>69000</xdr:rowOff>
    </xdr:from>
    <xdr:to>
      <xdr:col>68</xdr:col>
      <xdr:colOff>525600</xdr:colOff>
      <xdr:row>43</xdr:row>
      <xdr:rowOff>3751</xdr:rowOff>
    </xdr:to>
    <xdr:sp macro="" textlink="">
      <xdr:nvSpPr>
        <xdr:cNvPr id="246046" name="フリーフォーム: 図形 246045">
          <a:extLst>
            <a:ext uri="{FF2B5EF4-FFF2-40B4-BE49-F238E27FC236}">
              <a16:creationId xmlns:a16="http://schemas.microsoft.com/office/drawing/2014/main" id="{5B759B1D-12B5-4597-9777-3FE5D256287B}"/>
            </a:ext>
          </a:extLst>
        </xdr:cNvPr>
        <xdr:cNvSpPr>
          <a:spLocks noChangeAspect="1"/>
        </xdr:cNvSpPr>
      </xdr:nvSpPr>
      <xdr:spPr>
        <a:xfrm>
          <a:off x="466380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43</xdr:row>
      <xdr:rowOff>75750</xdr:rowOff>
    </xdr:from>
    <xdr:to>
      <xdr:col>68</xdr:col>
      <xdr:colOff>237602</xdr:colOff>
      <xdr:row>47</xdr:row>
      <xdr:rowOff>163951</xdr:rowOff>
    </xdr:to>
    <xdr:sp macro="" textlink="">
      <xdr:nvSpPr>
        <xdr:cNvPr id="246047" name="フリーフォーム: 図形 246046">
          <a:extLst>
            <a:ext uri="{FF2B5EF4-FFF2-40B4-BE49-F238E27FC236}">
              <a16:creationId xmlns:a16="http://schemas.microsoft.com/office/drawing/2014/main" id="{610BB4FA-3695-4652-B5E7-AAE99E7FF09A}"/>
            </a:ext>
          </a:extLst>
        </xdr:cNvPr>
        <xdr:cNvSpPr>
          <a:spLocks noChangeAspect="1"/>
        </xdr:cNvSpPr>
      </xdr:nvSpPr>
      <xdr:spPr>
        <a:xfrm>
          <a:off x="466019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43</xdr:row>
      <xdr:rowOff>93750</xdr:rowOff>
    </xdr:from>
    <xdr:to>
      <xdr:col>67</xdr:col>
      <xdr:colOff>653400</xdr:colOff>
      <xdr:row>48</xdr:row>
      <xdr:rowOff>118501</xdr:rowOff>
    </xdr:to>
    <xdr:sp macro="" textlink="">
      <xdr:nvSpPr>
        <xdr:cNvPr id="246048" name="フリーフォーム: 図形 246047">
          <a:extLst>
            <a:ext uri="{FF2B5EF4-FFF2-40B4-BE49-F238E27FC236}">
              <a16:creationId xmlns:a16="http://schemas.microsoft.com/office/drawing/2014/main" id="{DDDF4872-A9F9-45B2-9D7A-C50CAC9143EF}"/>
            </a:ext>
          </a:extLst>
        </xdr:cNvPr>
        <xdr:cNvSpPr>
          <a:spLocks noChangeAspect="1"/>
        </xdr:cNvSpPr>
      </xdr:nvSpPr>
      <xdr:spPr>
        <a:xfrm>
          <a:off x="463680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43</xdr:row>
      <xdr:rowOff>75750</xdr:rowOff>
    </xdr:from>
    <xdr:to>
      <xdr:col>67</xdr:col>
      <xdr:colOff>617402</xdr:colOff>
      <xdr:row>48</xdr:row>
      <xdr:rowOff>10501</xdr:rowOff>
    </xdr:to>
    <xdr:sp macro="" textlink="">
      <xdr:nvSpPr>
        <xdr:cNvPr id="246049" name="フリーフォーム: 図形 246048">
          <a:extLst>
            <a:ext uri="{FF2B5EF4-FFF2-40B4-BE49-F238E27FC236}">
              <a16:creationId xmlns:a16="http://schemas.microsoft.com/office/drawing/2014/main" id="{1C01F4B6-94D0-41AC-AF5B-3545441CCAED}"/>
            </a:ext>
          </a:extLst>
        </xdr:cNvPr>
        <xdr:cNvSpPr>
          <a:spLocks noChangeAspect="1"/>
        </xdr:cNvSpPr>
      </xdr:nvSpPr>
      <xdr:spPr>
        <a:xfrm>
          <a:off x="460439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37</xdr:row>
      <xdr:rowOff>42450</xdr:rowOff>
    </xdr:from>
    <xdr:to>
      <xdr:col>70</xdr:col>
      <xdr:colOff>550801</xdr:colOff>
      <xdr:row>38</xdr:row>
      <xdr:rowOff>15001</xdr:rowOff>
    </xdr:to>
    <xdr:sp macro="" textlink="">
      <xdr:nvSpPr>
        <xdr:cNvPr id="246050" name="フリーフォーム: 図形 246049">
          <a:extLst>
            <a:ext uri="{FF2B5EF4-FFF2-40B4-BE49-F238E27FC236}">
              <a16:creationId xmlns:a16="http://schemas.microsoft.com/office/drawing/2014/main" id="{82A2237B-4352-41FB-A1AB-79D5A303BD9D}"/>
            </a:ext>
          </a:extLst>
        </xdr:cNvPr>
        <xdr:cNvSpPr>
          <a:spLocks noChangeAspect="1"/>
        </xdr:cNvSpPr>
      </xdr:nvSpPr>
      <xdr:spPr>
        <a:xfrm>
          <a:off x="480888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37</xdr:row>
      <xdr:rowOff>42450</xdr:rowOff>
    </xdr:from>
    <xdr:to>
      <xdr:col>71</xdr:col>
      <xdr:colOff>405000</xdr:colOff>
      <xdr:row>38</xdr:row>
      <xdr:rowOff>15001</xdr:rowOff>
    </xdr:to>
    <xdr:sp macro="" textlink="">
      <xdr:nvSpPr>
        <xdr:cNvPr id="246051" name="フリーフォーム: 図形 246050">
          <a:extLst>
            <a:ext uri="{FF2B5EF4-FFF2-40B4-BE49-F238E27FC236}">
              <a16:creationId xmlns:a16="http://schemas.microsoft.com/office/drawing/2014/main" id="{5089B0D5-450D-4B0F-AD0D-EBA041D8E31F}"/>
            </a:ext>
          </a:extLst>
        </xdr:cNvPr>
        <xdr:cNvSpPr>
          <a:spLocks noChangeAspect="1"/>
        </xdr:cNvSpPr>
      </xdr:nvSpPr>
      <xdr:spPr>
        <a:xfrm>
          <a:off x="486287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37</xdr:row>
      <xdr:rowOff>114450</xdr:rowOff>
    </xdr:from>
    <xdr:to>
      <xdr:col>71</xdr:col>
      <xdr:colOff>477001</xdr:colOff>
      <xdr:row>43</xdr:row>
      <xdr:rowOff>21751</xdr:rowOff>
    </xdr:to>
    <xdr:sp macro="" textlink="">
      <xdr:nvSpPr>
        <xdr:cNvPr id="246052" name="フリーフォーム: 図形 246051">
          <a:extLst>
            <a:ext uri="{FF2B5EF4-FFF2-40B4-BE49-F238E27FC236}">
              <a16:creationId xmlns:a16="http://schemas.microsoft.com/office/drawing/2014/main" id="{AD4AE51B-97F5-46FA-8460-C0AAFE898C14}"/>
            </a:ext>
          </a:extLst>
        </xdr:cNvPr>
        <xdr:cNvSpPr>
          <a:spLocks noChangeAspect="1"/>
        </xdr:cNvSpPr>
      </xdr:nvSpPr>
      <xdr:spPr>
        <a:xfrm>
          <a:off x="488807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43</xdr:row>
      <xdr:rowOff>75750</xdr:rowOff>
    </xdr:from>
    <xdr:to>
      <xdr:col>71</xdr:col>
      <xdr:colOff>297000</xdr:colOff>
      <xdr:row>48</xdr:row>
      <xdr:rowOff>136501</xdr:rowOff>
    </xdr:to>
    <xdr:sp macro="" textlink="">
      <xdr:nvSpPr>
        <xdr:cNvPr id="246053" name="フリーフォーム: 図形 246052">
          <a:extLst>
            <a:ext uri="{FF2B5EF4-FFF2-40B4-BE49-F238E27FC236}">
              <a16:creationId xmlns:a16="http://schemas.microsoft.com/office/drawing/2014/main" id="{E3E5C133-8C6C-41A5-9D24-723F2B9C3C94}"/>
            </a:ext>
          </a:extLst>
        </xdr:cNvPr>
        <xdr:cNvSpPr>
          <a:spLocks noChangeAspect="1"/>
        </xdr:cNvSpPr>
      </xdr:nvSpPr>
      <xdr:spPr>
        <a:xfrm>
          <a:off x="487008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48</xdr:row>
      <xdr:rowOff>64500</xdr:rowOff>
    </xdr:from>
    <xdr:to>
      <xdr:col>70</xdr:col>
      <xdr:colOff>226800</xdr:colOff>
      <xdr:row>49</xdr:row>
      <xdr:rowOff>37051</xdr:rowOff>
    </xdr:to>
    <xdr:sp macro="" textlink="">
      <xdr:nvSpPr>
        <xdr:cNvPr id="246054" name="フリーフォーム: 図形 246053">
          <a:extLst>
            <a:ext uri="{FF2B5EF4-FFF2-40B4-BE49-F238E27FC236}">
              <a16:creationId xmlns:a16="http://schemas.microsoft.com/office/drawing/2014/main" id="{2F6C7718-FC58-4595-BA6D-F508D3EA30F1}"/>
            </a:ext>
          </a:extLst>
        </xdr:cNvPr>
        <xdr:cNvSpPr>
          <a:spLocks noChangeAspect="1"/>
        </xdr:cNvSpPr>
      </xdr:nvSpPr>
      <xdr:spPr>
        <a:xfrm>
          <a:off x="477468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48</xdr:row>
      <xdr:rowOff>64500</xdr:rowOff>
    </xdr:from>
    <xdr:to>
      <xdr:col>71</xdr:col>
      <xdr:colOff>45000</xdr:colOff>
      <xdr:row>49</xdr:row>
      <xdr:rowOff>37051</xdr:rowOff>
    </xdr:to>
    <xdr:sp macro="" textlink="">
      <xdr:nvSpPr>
        <xdr:cNvPr id="246055" name="フリーフォーム: 図形 246054">
          <a:extLst>
            <a:ext uri="{FF2B5EF4-FFF2-40B4-BE49-F238E27FC236}">
              <a16:creationId xmlns:a16="http://schemas.microsoft.com/office/drawing/2014/main" id="{20E61DF8-37D3-4F3C-A302-0FDF8C774DDA}"/>
            </a:ext>
          </a:extLst>
        </xdr:cNvPr>
        <xdr:cNvSpPr>
          <a:spLocks noChangeAspect="1"/>
        </xdr:cNvSpPr>
      </xdr:nvSpPr>
      <xdr:spPr>
        <a:xfrm>
          <a:off x="482687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43</xdr:row>
      <xdr:rowOff>75750</xdr:rowOff>
    </xdr:from>
    <xdr:to>
      <xdr:col>69</xdr:col>
      <xdr:colOff>660603</xdr:colOff>
      <xdr:row>48</xdr:row>
      <xdr:rowOff>136501</xdr:rowOff>
    </xdr:to>
    <xdr:sp macro="" textlink="">
      <xdr:nvSpPr>
        <xdr:cNvPr id="246056" name="フリーフォーム: 図形 246055">
          <a:extLst>
            <a:ext uri="{FF2B5EF4-FFF2-40B4-BE49-F238E27FC236}">
              <a16:creationId xmlns:a16="http://schemas.microsoft.com/office/drawing/2014/main" id="{68BEB3E6-A851-4731-983E-03341D394992}"/>
            </a:ext>
          </a:extLst>
        </xdr:cNvPr>
        <xdr:cNvSpPr>
          <a:spLocks noChangeAspect="1"/>
        </xdr:cNvSpPr>
      </xdr:nvSpPr>
      <xdr:spPr>
        <a:xfrm>
          <a:off x="476928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37</xdr:row>
      <xdr:rowOff>114450</xdr:rowOff>
    </xdr:from>
    <xdr:to>
      <xdr:col>70</xdr:col>
      <xdr:colOff>118800</xdr:colOff>
      <xdr:row>43</xdr:row>
      <xdr:rowOff>21751</xdr:rowOff>
    </xdr:to>
    <xdr:sp macro="" textlink="">
      <xdr:nvSpPr>
        <xdr:cNvPr id="246057" name="フリーフォーム: 図形 246056">
          <a:extLst>
            <a:ext uri="{FF2B5EF4-FFF2-40B4-BE49-F238E27FC236}">
              <a16:creationId xmlns:a16="http://schemas.microsoft.com/office/drawing/2014/main" id="{2BD705B6-2495-4BBF-9A7B-AC2E950793E1}"/>
            </a:ext>
          </a:extLst>
        </xdr:cNvPr>
        <xdr:cNvSpPr>
          <a:spLocks noChangeAspect="1"/>
        </xdr:cNvSpPr>
      </xdr:nvSpPr>
      <xdr:spPr>
        <a:xfrm>
          <a:off x="478727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42</xdr:row>
      <xdr:rowOff>139200</xdr:rowOff>
    </xdr:from>
    <xdr:to>
      <xdr:col>70</xdr:col>
      <xdr:colOff>388802</xdr:colOff>
      <xdr:row>43</xdr:row>
      <xdr:rowOff>111751</xdr:rowOff>
    </xdr:to>
    <xdr:sp macro="" textlink="">
      <xdr:nvSpPr>
        <xdr:cNvPr id="246058" name="フリーフォーム: 図形 246057">
          <a:extLst>
            <a:ext uri="{FF2B5EF4-FFF2-40B4-BE49-F238E27FC236}">
              <a16:creationId xmlns:a16="http://schemas.microsoft.com/office/drawing/2014/main" id="{01AEFF55-AD08-4ABD-9AAA-AC89C4C3D5E6}"/>
            </a:ext>
          </a:extLst>
        </xdr:cNvPr>
        <xdr:cNvSpPr>
          <a:spLocks noChangeAspect="1"/>
        </xdr:cNvSpPr>
      </xdr:nvSpPr>
      <xdr:spPr>
        <a:xfrm>
          <a:off x="479448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42</xdr:row>
      <xdr:rowOff>139200</xdr:rowOff>
    </xdr:from>
    <xdr:to>
      <xdr:col>71</xdr:col>
      <xdr:colOff>207002</xdr:colOff>
      <xdr:row>43</xdr:row>
      <xdr:rowOff>111751</xdr:rowOff>
    </xdr:to>
    <xdr:sp macro="" textlink="">
      <xdr:nvSpPr>
        <xdr:cNvPr id="246059" name="フリーフォーム: 図形 246058">
          <a:extLst>
            <a:ext uri="{FF2B5EF4-FFF2-40B4-BE49-F238E27FC236}">
              <a16:creationId xmlns:a16="http://schemas.microsoft.com/office/drawing/2014/main" id="{A5D70353-7AEC-49CA-A9A5-61E8AD71A844}"/>
            </a:ext>
          </a:extLst>
        </xdr:cNvPr>
        <xdr:cNvSpPr>
          <a:spLocks noChangeAspect="1"/>
        </xdr:cNvSpPr>
      </xdr:nvSpPr>
      <xdr:spPr>
        <a:xfrm>
          <a:off x="484488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38</xdr:row>
      <xdr:rowOff>51000</xdr:rowOff>
    </xdr:from>
    <xdr:to>
      <xdr:col>70</xdr:col>
      <xdr:colOff>406801</xdr:colOff>
      <xdr:row>43</xdr:row>
      <xdr:rowOff>3751</xdr:rowOff>
    </xdr:to>
    <xdr:sp macro="" textlink="">
      <xdr:nvSpPr>
        <xdr:cNvPr id="246060" name="フリーフォーム: 図形 246059">
          <a:extLst>
            <a:ext uri="{FF2B5EF4-FFF2-40B4-BE49-F238E27FC236}">
              <a16:creationId xmlns:a16="http://schemas.microsoft.com/office/drawing/2014/main" id="{3345B893-09C1-4B0E-B776-6F35EFED39C0}"/>
            </a:ext>
          </a:extLst>
        </xdr:cNvPr>
        <xdr:cNvSpPr>
          <a:spLocks noChangeAspect="1"/>
        </xdr:cNvSpPr>
      </xdr:nvSpPr>
      <xdr:spPr>
        <a:xfrm>
          <a:off x="481428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37</xdr:row>
      <xdr:rowOff>114450</xdr:rowOff>
    </xdr:from>
    <xdr:to>
      <xdr:col>70</xdr:col>
      <xdr:colOff>658801</xdr:colOff>
      <xdr:row>42</xdr:row>
      <xdr:rowOff>157201</xdr:rowOff>
    </xdr:to>
    <xdr:sp macro="" textlink="">
      <xdr:nvSpPr>
        <xdr:cNvPr id="246061" name="フリーフォーム: 図形 246060">
          <a:extLst>
            <a:ext uri="{FF2B5EF4-FFF2-40B4-BE49-F238E27FC236}">
              <a16:creationId xmlns:a16="http://schemas.microsoft.com/office/drawing/2014/main" id="{A7038259-D76D-4787-8F1C-1004394EBBA9}"/>
            </a:ext>
          </a:extLst>
        </xdr:cNvPr>
        <xdr:cNvSpPr>
          <a:spLocks noChangeAspect="1"/>
        </xdr:cNvSpPr>
      </xdr:nvSpPr>
      <xdr:spPr>
        <a:xfrm>
          <a:off x="484128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38</xdr:row>
      <xdr:rowOff>69000</xdr:rowOff>
    </xdr:from>
    <xdr:to>
      <xdr:col>71</xdr:col>
      <xdr:colOff>297000</xdr:colOff>
      <xdr:row>43</xdr:row>
      <xdr:rowOff>3751</xdr:rowOff>
    </xdr:to>
    <xdr:sp macro="" textlink="">
      <xdr:nvSpPr>
        <xdr:cNvPr id="246062" name="フリーフォーム: 図形 246061">
          <a:extLst>
            <a:ext uri="{FF2B5EF4-FFF2-40B4-BE49-F238E27FC236}">
              <a16:creationId xmlns:a16="http://schemas.microsoft.com/office/drawing/2014/main" id="{B4E9F973-68C1-442E-887D-3D108DF924B1}"/>
            </a:ext>
          </a:extLst>
        </xdr:cNvPr>
        <xdr:cNvSpPr>
          <a:spLocks noChangeAspect="1"/>
        </xdr:cNvSpPr>
      </xdr:nvSpPr>
      <xdr:spPr>
        <a:xfrm>
          <a:off x="484668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43</xdr:row>
      <xdr:rowOff>75750</xdr:rowOff>
    </xdr:from>
    <xdr:to>
      <xdr:col>71</xdr:col>
      <xdr:colOff>9002</xdr:colOff>
      <xdr:row>47</xdr:row>
      <xdr:rowOff>163951</xdr:rowOff>
    </xdr:to>
    <xdr:sp macro="" textlink="">
      <xdr:nvSpPr>
        <xdr:cNvPr id="246063" name="フリーフォーム: 図形 246062">
          <a:extLst>
            <a:ext uri="{FF2B5EF4-FFF2-40B4-BE49-F238E27FC236}">
              <a16:creationId xmlns:a16="http://schemas.microsoft.com/office/drawing/2014/main" id="{EDA3041C-CFDA-4AAA-8360-069F32C2912B}"/>
            </a:ext>
          </a:extLst>
        </xdr:cNvPr>
        <xdr:cNvSpPr>
          <a:spLocks noChangeAspect="1"/>
        </xdr:cNvSpPr>
      </xdr:nvSpPr>
      <xdr:spPr>
        <a:xfrm>
          <a:off x="484307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43</xdr:row>
      <xdr:rowOff>93750</xdr:rowOff>
    </xdr:from>
    <xdr:to>
      <xdr:col>70</xdr:col>
      <xdr:colOff>424800</xdr:colOff>
      <xdr:row>48</xdr:row>
      <xdr:rowOff>118501</xdr:rowOff>
    </xdr:to>
    <xdr:sp macro="" textlink="">
      <xdr:nvSpPr>
        <xdr:cNvPr id="246064" name="フリーフォーム: 図形 246063">
          <a:extLst>
            <a:ext uri="{FF2B5EF4-FFF2-40B4-BE49-F238E27FC236}">
              <a16:creationId xmlns:a16="http://schemas.microsoft.com/office/drawing/2014/main" id="{FD1A41B2-7C1D-4D7A-846F-0579A18E3324}"/>
            </a:ext>
          </a:extLst>
        </xdr:cNvPr>
        <xdr:cNvSpPr>
          <a:spLocks noChangeAspect="1"/>
        </xdr:cNvSpPr>
      </xdr:nvSpPr>
      <xdr:spPr>
        <a:xfrm>
          <a:off x="481968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43</xdr:row>
      <xdr:rowOff>75750</xdr:rowOff>
    </xdr:from>
    <xdr:to>
      <xdr:col>70</xdr:col>
      <xdr:colOff>388802</xdr:colOff>
      <xdr:row>48</xdr:row>
      <xdr:rowOff>10501</xdr:rowOff>
    </xdr:to>
    <xdr:sp macro="" textlink="">
      <xdr:nvSpPr>
        <xdr:cNvPr id="246065" name="フリーフォーム: 図形 246064">
          <a:extLst>
            <a:ext uri="{FF2B5EF4-FFF2-40B4-BE49-F238E27FC236}">
              <a16:creationId xmlns:a16="http://schemas.microsoft.com/office/drawing/2014/main" id="{A3A4F893-490B-4969-8414-68C15AF1A154}"/>
            </a:ext>
          </a:extLst>
        </xdr:cNvPr>
        <xdr:cNvSpPr>
          <a:spLocks noChangeAspect="1"/>
        </xdr:cNvSpPr>
      </xdr:nvSpPr>
      <xdr:spPr>
        <a:xfrm>
          <a:off x="478727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37</xdr:row>
      <xdr:rowOff>42450</xdr:rowOff>
    </xdr:from>
    <xdr:to>
      <xdr:col>73</xdr:col>
      <xdr:colOff>322201</xdr:colOff>
      <xdr:row>38</xdr:row>
      <xdr:rowOff>15001</xdr:rowOff>
    </xdr:to>
    <xdr:sp macro="" textlink="">
      <xdr:nvSpPr>
        <xdr:cNvPr id="246066" name="フリーフォーム: 図形 246065">
          <a:extLst>
            <a:ext uri="{FF2B5EF4-FFF2-40B4-BE49-F238E27FC236}">
              <a16:creationId xmlns:a16="http://schemas.microsoft.com/office/drawing/2014/main" id="{4BF06FC2-3159-4D17-8098-BC34AD65DD98}"/>
            </a:ext>
          </a:extLst>
        </xdr:cNvPr>
        <xdr:cNvSpPr>
          <a:spLocks noChangeAspect="1"/>
        </xdr:cNvSpPr>
      </xdr:nvSpPr>
      <xdr:spPr>
        <a:xfrm>
          <a:off x="49917601" y="66528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37</xdr:row>
      <xdr:rowOff>42450</xdr:rowOff>
    </xdr:from>
    <xdr:to>
      <xdr:col>74</xdr:col>
      <xdr:colOff>176400</xdr:colOff>
      <xdr:row>38</xdr:row>
      <xdr:rowOff>15001</xdr:rowOff>
    </xdr:to>
    <xdr:sp macro="" textlink="">
      <xdr:nvSpPr>
        <xdr:cNvPr id="246067" name="フリーフォーム: 図形 246066">
          <a:extLst>
            <a:ext uri="{FF2B5EF4-FFF2-40B4-BE49-F238E27FC236}">
              <a16:creationId xmlns:a16="http://schemas.microsoft.com/office/drawing/2014/main" id="{25ACE157-AD99-471B-A54F-41BB08B4CD3D}"/>
            </a:ext>
          </a:extLst>
        </xdr:cNvPr>
        <xdr:cNvSpPr>
          <a:spLocks noChangeAspect="1"/>
        </xdr:cNvSpPr>
      </xdr:nvSpPr>
      <xdr:spPr>
        <a:xfrm>
          <a:off x="50457599" y="66528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37</xdr:row>
      <xdr:rowOff>114450</xdr:rowOff>
    </xdr:from>
    <xdr:to>
      <xdr:col>74</xdr:col>
      <xdr:colOff>248401</xdr:colOff>
      <xdr:row>43</xdr:row>
      <xdr:rowOff>21751</xdr:rowOff>
    </xdr:to>
    <xdr:sp macro="" textlink="">
      <xdr:nvSpPr>
        <xdr:cNvPr id="246068" name="フリーフォーム: 図形 246067">
          <a:extLst>
            <a:ext uri="{FF2B5EF4-FFF2-40B4-BE49-F238E27FC236}">
              <a16:creationId xmlns:a16="http://schemas.microsoft.com/office/drawing/2014/main" id="{C54C7967-FA79-49AB-8B29-083C71AD6848}"/>
            </a:ext>
          </a:extLst>
        </xdr:cNvPr>
        <xdr:cNvSpPr>
          <a:spLocks noChangeAspect="1"/>
        </xdr:cNvSpPr>
      </xdr:nvSpPr>
      <xdr:spPr>
        <a:xfrm>
          <a:off x="50709599" y="67248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43</xdr:row>
      <xdr:rowOff>75750</xdr:rowOff>
    </xdr:from>
    <xdr:to>
      <xdr:col>74</xdr:col>
      <xdr:colOff>68400</xdr:colOff>
      <xdr:row>48</xdr:row>
      <xdr:rowOff>136501</xdr:rowOff>
    </xdr:to>
    <xdr:sp macro="" textlink="">
      <xdr:nvSpPr>
        <xdr:cNvPr id="246069" name="フリーフォーム: 図形 246068">
          <a:extLst>
            <a:ext uri="{FF2B5EF4-FFF2-40B4-BE49-F238E27FC236}">
              <a16:creationId xmlns:a16="http://schemas.microsoft.com/office/drawing/2014/main" id="{4272589A-52C1-46FE-87E8-C91F9F9125C7}"/>
            </a:ext>
          </a:extLst>
        </xdr:cNvPr>
        <xdr:cNvSpPr>
          <a:spLocks noChangeAspect="1"/>
        </xdr:cNvSpPr>
      </xdr:nvSpPr>
      <xdr:spPr>
        <a:xfrm>
          <a:off x="50529601" y="77148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48</xdr:row>
      <xdr:rowOff>64500</xdr:rowOff>
    </xdr:from>
    <xdr:to>
      <xdr:col>72</xdr:col>
      <xdr:colOff>684000</xdr:colOff>
      <xdr:row>49</xdr:row>
      <xdr:rowOff>37051</xdr:rowOff>
    </xdr:to>
    <xdr:sp macro="" textlink="">
      <xdr:nvSpPr>
        <xdr:cNvPr id="246070" name="フリーフォーム: 図形 246069">
          <a:extLst>
            <a:ext uri="{FF2B5EF4-FFF2-40B4-BE49-F238E27FC236}">
              <a16:creationId xmlns:a16="http://schemas.microsoft.com/office/drawing/2014/main" id="{441B0E03-3410-4E3C-9E1F-A65383FE5E63}"/>
            </a:ext>
          </a:extLst>
        </xdr:cNvPr>
        <xdr:cNvSpPr>
          <a:spLocks noChangeAspect="1"/>
        </xdr:cNvSpPr>
      </xdr:nvSpPr>
      <xdr:spPr>
        <a:xfrm>
          <a:off x="495756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48</xdr:row>
      <xdr:rowOff>64500</xdr:rowOff>
    </xdr:from>
    <xdr:to>
      <xdr:col>73</xdr:col>
      <xdr:colOff>502200</xdr:colOff>
      <xdr:row>49</xdr:row>
      <xdr:rowOff>37051</xdr:rowOff>
    </xdr:to>
    <xdr:sp macro="" textlink="">
      <xdr:nvSpPr>
        <xdr:cNvPr id="246071" name="フリーフォーム: 図形 246070">
          <a:extLst>
            <a:ext uri="{FF2B5EF4-FFF2-40B4-BE49-F238E27FC236}">
              <a16:creationId xmlns:a16="http://schemas.microsoft.com/office/drawing/2014/main" id="{F82A90A1-63D6-4ECB-8958-0D4B49BC8C6F}"/>
            </a:ext>
          </a:extLst>
        </xdr:cNvPr>
        <xdr:cNvSpPr>
          <a:spLocks noChangeAspect="1"/>
        </xdr:cNvSpPr>
      </xdr:nvSpPr>
      <xdr:spPr>
        <a:xfrm>
          <a:off x="50097599" y="8560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43</xdr:row>
      <xdr:rowOff>75750</xdr:rowOff>
    </xdr:from>
    <xdr:to>
      <xdr:col>72</xdr:col>
      <xdr:colOff>432003</xdr:colOff>
      <xdr:row>48</xdr:row>
      <xdr:rowOff>136501</xdr:rowOff>
    </xdr:to>
    <xdr:sp macro="" textlink="">
      <xdr:nvSpPr>
        <xdr:cNvPr id="246072" name="フリーフォーム: 図形 246071">
          <a:extLst>
            <a:ext uri="{FF2B5EF4-FFF2-40B4-BE49-F238E27FC236}">
              <a16:creationId xmlns:a16="http://schemas.microsoft.com/office/drawing/2014/main" id="{2160F269-987B-4F9D-8594-0C7D0FA1FB53}"/>
            </a:ext>
          </a:extLst>
        </xdr:cNvPr>
        <xdr:cNvSpPr>
          <a:spLocks noChangeAspect="1"/>
        </xdr:cNvSpPr>
      </xdr:nvSpPr>
      <xdr:spPr>
        <a:xfrm>
          <a:off x="495216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37</xdr:row>
      <xdr:rowOff>114450</xdr:rowOff>
    </xdr:from>
    <xdr:to>
      <xdr:col>72</xdr:col>
      <xdr:colOff>576000</xdr:colOff>
      <xdr:row>43</xdr:row>
      <xdr:rowOff>21751</xdr:rowOff>
    </xdr:to>
    <xdr:sp macro="" textlink="">
      <xdr:nvSpPr>
        <xdr:cNvPr id="246073" name="フリーフォーム: 図形 246072">
          <a:extLst>
            <a:ext uri="{FF2B5EF4-FFF2-40B4-BE49-F238E27FC236}">
              <a16:creationId xmlns:a16="http://schemas.microsoft.com/office/drawing/2014/main" id="{4F1E056E-B13E-421C-9698-C38A1B839633}"/>
            </a:ext>
          </a:extLst>
        </xdr:cNvPr>
        <xdr:cNvSpPr>
          <a:spLocks noChangeAspect="1"/>
        </xdr:cNvSpPr>
      </xdr:nvSpPr>
      <xdr:spPr>
        <a:xfrm>
          <a:off x="497015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42</xdr:row>
      <xdr:rowOff>139200</xdr:rowOff>
    </xdr:from>
    <xdr:to>
      <xdr:col>73</xdr:col>
      <xdr:colOff>160202</xdr:colOff>
      <xdr:row>43</xdr:row>
      <xdr:rowOff>111751</xdr:rowOff>
    </xdr:to>
    <xdr:sp macro="" textlink="">
      <xdr:nvSpPr>
        <xdr:cNvPr id="246074" name="フリーフォーム: 図形 246073">
          <a:extLst>
            <a:ext uri="{FF2B5EF4-FFF2-40B4-BE49-F238E27FC236}">
              <a16:creationId xmlns:a16="http://schemas.microsoft.com/office/drawing/2014/main" id="{643A3529-E346-412B-A72E-9573999E2D91}"/>
            </a:ext>
          </a:extLst>
        </xdr:cNvPr>
        <xdr:cNvSpPr>
          <a:spLocks noChangeAspect="1"/>
        </xdr:cNvSpPr>
      </xdr:nvSpPr>
      <xdr:spPr>
        <a:xfrm>
          <a:off x="497736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42</xdr:row>
      <xdr:rowOff>139200</xdr:rowOff>
    </xdr:from>
    <xdr:to>
      <xdr:col>73</xdr:col>
      <xdr:colOff>664202</xdr:colOff>
      <xdr:row>43</xdr:row>
      <xdr:rowOff>111751</xdr:rowOff>
    </xdr:to>
    <xdr:sp macro="" textlink="">
      <xdr:nvSpPr>
        <xdr:cNvPr id="246075" name="フリーフォーム: 図形 246074">
          <a:extLst>
            <a:ext uri="{FF2B5EF4-FFF2-40B4-BE49-F238E27FC236}">
              <a16:creationId xmlns:a16="http://schemas.microsoft.com/office/drawing/2014/main" id="{172AF765-CB05-415B-AB6D-D80C44FBA5AC}"/>
            </a:ext>
          </a:extLst>
        </xdr:cNvPr>
        <xdr:cNvSpPr>
          <a:spLocks noChangeAspect="1"/>
        </xdr:cNvSpPr>
      </xdr:nvSpPr>
      <xdr:spPr>
        <a:xfrm>
          <a:off x="50277601" y="76068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38</xdr:row>
      <xdr:rowOff>51000</xdr:rowOff>
    </xdr:from>
    <xdr:to>
      <xdr:col>73</xdr:col>
      <xdr:colOff>178201</xdr:colOff>
      <xdr:row>43</xdr:row>
      <xdr:rowOff>3751</xdr:rowOff>
    </xdr:to>
    <xdr:sp macro="" textlink="">
      <xdr:nvSpPr>
        <xdr:cNvPr id="246076" name="フリーフォーム: 図形 246075">
          <a:extLst>
            <a:ext uri="{FF2B5EF4-FFF2-40B4-BE49-F238E27FC236}">
              <a16:creationId xmlns:a16="http://schemas.microsoft.com/office/drawing/2014/main" id="{4C55644A-0D91-4323-923B-52A371C76242}"/>
            </a:ext>
          </a:extLst>
        </xdr:cNvPr>
        <xdr:cNvSpPr>
          <a:spLocks noChangeAspect="1"/>
        </xdr:cNvSpPr>
      </xdr:nvSpPr>
      <xdr:spPr>
        <a:xfrm>
          <a:off x="49971601" y="68328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37</xdr:row>
      <xdr:rowOff>114450</xdr:rowOff>
    </xdr:from>
    <xdr:to>
      <xdr:col>73</xdr:col>
      <xdr:colOff>430201</xdr:colOff>
      <xdr:row>42</xdr:row>
      <xdr:rowOff>157201</xdr:rowOff>
    </xdr:to>
    <xdr:sp macro="" textlink="">
      <xdr:nvSpPr>
        <xdr:cNvPr id="246077" name="フリーフォーム: 図形 246076">
          <a:extLst>
            <a:ext uri="{FF2B5EF4-FFF2-40B4-BE49-F238E27FC236}">
              <a16:creationId xmlns:a16="http://schemas.microsoft.com/office/drawing/2014/main" id="{335D7369-8CB9-4447-BE40-0D19118689A6}"/>
            </a:ext>
          </a:extLst>
        </xdr:cNvPr>
        <xdr:cNvSpPr>
          <a:spLocks noChangeAspect="1"/>
        </xdr:cNvSpPr>
      </xdr:nvSpPr>
      <xdr:spPr>
        <a:xfrm>
          <a:off x="50241600" y="67248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38</xdr:row>
      <xdr:rowOff>69000</xdr:rowOff>
    </xdr:from>
    <xdr:to>
      <xdr:col>74</xdr:col>
      <xdr:colOff>68400</xdr:colOff>
      <xdr:row>43</xdr:row>
      <xdr:rowOff>3751</xdr:rowOff>
    </xdr:to>
    <xdr:sp macro="" textlink="">
      <xdr:nvSpPr>
        <xdr:cNvPr id="246078" name="フリーフォーム: 図形 246077">
          <a:extLst>
            <a:ext uri="{FF2B5EF4-FFF2-40B4-BE49-F238E27FC236}">
              <a16:creationId xmlns:a16="http://schemas.microsoft.com/office/drawing/2014/main" id="{6F2D1155-BCD7-4F59-811C-B1F2592AB614}"/>
            </a:ext>
          </a:extLst>
        </xdr:cNvPr>
        <xdr:cNvSpPr>
          <a:spLocks noChangeAspect="1"/>
        </xdr:cNvSpPr>
      </xdr:nvSpPr>
      <xdr:spPr>
        <a:xfrm>
          <a:off x="50295600" y="68508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43</xdr:row>
      <xdr:rowOff>75750</xdr:rowOff>
    </xdr:from>
    <xdr:to>
      <xdr:col>73</xdr:col>
      <xdr:colOff>466202</xdr:colOff>
      <xdr:row>47</xdr:row>
      <xdr:rowOff>163951</xdr:rowOff>
    </xdr:to>
    <xdr:sp macro="" textlink="">
      <xdr:nvSpPr>
        <xdr:cNvPr id="246079" name="フリーフォーム: 図形 246078">
          <a:extLst>
            <a:ext uri="{FF2B5EF4-FFF2-40B4-BE49-F238E27FC236}">
              <a16:creationId xmlns:a16="http://schemas.microsoft.com/office/drawing/2014/main" id="{1854F355-EE67-4EB9-A4E6-2B750657AB24}"/>
            </a:ext>
          </a:extLst>
        </xdr:cNvPr>
        <xdr:cNvSpPr>
          <a:spLocks noChangeAspect="1"/>
        </xdr:cNvSpPr>
      </xdr:nvSpPr>
      <xdr:spPr>
        <a:xfrm>
          <a:off x="50259599" y="77148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43</xdr:row>
      <xdr:rowOff>93750</xdr:rowOff>
    </xdr:from>
    <xdr:to>
      <xdr:col>73</xdr:col>
      <xdr:colOff>196200</xdr:colOff>
      <xdr:row>48</xdr:row>
      <xdr:rowOff>118501</xdr:rowOff>
    </xdr:to>
    <xdr:sp macro="" textlink="">
      <xdr:nvSpPr>
        <xdr:cNvPr id="246080" name="フリーフォーム: 図形 246079">
          <a:extLst>
            <a:ext uri="{FF2B5EF4-FFF2-40B4-BE49-F238E27FC236}">
              <a16:creationId xmlns:a16="http://schemas.microsoft.com/office/drawing/2014/main" id="{B533CA6E-CC72-4E63-B621-A70247755E1A}"/>
            </a:ext>
          </a:extLst>
        </xdr:cNvPr>
        <xdr:cNvSpPr>
          <a:spLocks noChangeAspect="1"/>
        </xdr:cNvSpPr>
      </xdr:nvSpPr>
      <xdr:spPr>
        <a:xfrm>
          <a:off x="50025601" y="77328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43</xdr:row>
      <xdr:rowOff>75750</xdr:rowOff>
    </xdr:from>
    <xdr:to>
      <xdr:col>73</xdr:col>
      <xdr:colOff>160202</xdr:colOff>
      <xdr:row>48</xdr:row>
      <xdr:rowOff>10501</xdr:rowOff>
    </xdr:to>
    <xdr:sp macro="" textlink="">
      <xdr:nvSpPr>
        <xdr:cNvPr id="246081" name="フリーフォーム: 図形 246080">
          <a:extLst>
            <a:ext uri="{FF2B5EF4-FFF2-40B4-BE49-F238E27FC236}">
              <a16:creationId xmlns:a16="http://schemas.microsoft.com/office/drawing/2014/main" id="{7BE5A7DA-FE18-40EB-9BB8-D295E1D38459}"/>
            </a:ext>
          </a:extLst>
        </xdr:cNvPr>
        <xdr:cNvSpPr>
          <a:spLocks noChangeAspect="1"/>
        </xdr:cNvSpPr>
      </xdr:nvSpPr>
      <xdr:spPr>
        <a:xfrm>
          <a:off x="497015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37</xdr:row>
      <xdr:rowOff>42450</xdr:rowOff>
    </xdr:from>
    <xdr:to>
      <xdr:col>76</xdr:col>
      <xdr:colOff>93601</xdr:colOff>
      <xdr:row>38</xdr:row>
      <xdr:rowOff>15001</xdr:rowOff>
    </xdr:to>
    <xdr:sp macro="" textlink="">
      <xdr:nvSpPr>
        <xdr:cNvPr id="246082" name="フリーフォーム: 図形 246081">
          <a:extLst>
            <a:ext uri="{FF2B5EF4-FFF2-40B4-BE49-F238E27FC236}">
              <a16:creationId xmlns:a16="http://schemas.microsoft.com/office/drawing/2014/main" id="{324645FA-9DC9-41DB-B654-059F582CCDB6}"/>
            </a:ext>
          </a:extLst>
        </xdr:cNvPr>
        <xdr:cNvSpPr>
          <a:spLocks noChangeAspect="1"/>
        </xdr:cNvSpPr>
      </xdr:nvSpPr>
      <xdr:spPr>
        <a:xfrm>
          <a:off x="51746401" y="6652800"/>
          <a:ext cx="468000" cy="144001"/>
        </a:xfrm>
        <a:custGeom>
          <a:avLst/>
          <a:gdLst/>
          <a:ahLst/>
          <a:cxnLst/>
          <a:rect l="0" t="0" r="0" b="0"/>
          <a:pathLst>
            <a:path w="468000" h="144001">
              <a:moveTo>
                <a:pt x="71999" y="0"/>
              </a:moveTo>
              <a:lnTo>
                <a:pt x="432002"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37</xdr:row>
      <xdr:rowOff>42450</xdr:rowOff>
    </xdr:from>
    <xdr:to>
      <xdr:col>76</xdr:col>
      <xdr:colOff>633600</xdr:colOff>
      <xdr:row>38</xdr:row>
      <xdr:rowOff>15001</xdr:rowOff>
    </xdr:to>
    <xdr:sp macro="" textlink="">
      <xdr:nvSpPr>
        <xdr:cNvPr id="246083" name="フリーフォーム: 図形 246082">
          <a:extLst>
            <a:ext uri="{FF2B5EF4-FFF2-40B4-BE49-F238E27FC236}">
              <a16:creationId xmlns:a16="http://schemas.microsoft.com/office/drawing/2014/main" id="{E9914A85-4ACB-473A-B1F4-FB4A3F7A2D7D}"/>
            </a:ext>
          </a:extLst>
        </xdr:cNvPr>
        <xdr:cNvSpPr>
          <a:spLocks noChangeAspect="1"/>
        </xdr:cNvSpPr>
      </xdr:nvSpPr>
      <xdr:spPr>
        <a:xfrm>
          <a:off x="52286402" y="66528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37</xdr:row>
      <xdr:rowOff>114450</xdr:rowOff>
    </xdr:from>
    <xdr:to>
      <xdr:col>77</xdr:col>
      <xdr:colOff>19801</xdr:colOff>
      <xdr:row>43</xdr:row>
      <xdr:rowOff>21751</xdr:rowOff>
    </xdr:to>
    <xdr:sp macro="" textlink="">
      <xdr:nvSpPr>
        <xdr:cNvPr id="246084" name="フリーフォーム: 図形 246083">
          <a:extLst>
            <a:ext uri="{FF2B5EF4-FFF2-40B4-BE49-F238E27FC236}">
              <a16:creationId xmlns:a16="http://schemas.microsoft.com/office/drawing/2014/main" id="{10DEE1EA-A5B8-4479-BD51-16F532919C9D}"/>
            </a:ext>
          </a:extLst>
        </xdr:cNvPr>
        <xdr:cNvSpPr>
          <a:spLocks noChangeAspect="1"/>
        </xdr:cNvSpPr>
      </xdr:nvSpPr>
      <xdr:spPr>
        <a:xfrm>
          <a:off x="52538399" y="67248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43</xdr:row>
      <xdr:rowOff>75750</xdr:rowOff>
    </xdr:from>
    <xdr:to>
      <xdr:col>76</xdr:col>
      <xdr:colOff>525600</xdr:colOff>
      <xdr:row>48</xdr:row>
      <xdr:rowOff>136501</xdr:rowOff>
    </xdr:to>
    <xdr:sp macro="" textlink="">
      <xdr:nvSpPr>
        <xdr:cNvPr id="246085" name="フリーフォーム: 図形 246084">
          <a:extLst>
            <a:ext uri="{FF2B5EF4-FFF2-40B4-BE49-F238E27FC236}">
              <a16:creationId xmlns:a16="http://schemas.microsoft.com/office/drawing/2014/main" id="{C3F6395F-111F-4F7E-90AC-E7FE9025B0A8}"/>
            </a:ext>
          </a:extLst>
        </xdr:cNvPr>
        <xdr:cNvSpPr>
          <a:spLocks noChangeAspect="1"/>
        </xdr:cNvSpPr>
      </xdr:nvSpPr>
      <xdr:spPr>
        <a:xfrm>
          <a:off x="52358398" y="77148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48</xdr:row>
      <xdr:rowOff>64500</xdr:rowOff>
    </xdr:from>
    <xdr:to>
      <xdr:col>75</xdr:col>
      <xdr:colOff>455400</xdr:colOff>
      <xdr:row>49</xdr:row>
      <xdr:rowOff>37051</xdr:rowOff>
    </xdr:to>
    <xdr:sp macro="" textlink="">
      <xdr:nvSpPr>
        <xdr:cNvPr id="246086" name="フリーフォーム: 図形 246085">
          <a:extLst>
            <a:ext uri="{FF2B5EF4-FFF2-40B4-BE49-F238E27FC236}">
              <a16:creationId xmlns:a16="http://schemas.microsoft.com/office/drawing/2014/main" id="{0D46F7ED-1E77-496F-90FC-B17D07B49EC5}"/>
            </a:ext>
          </a:extLst>
        </xdr:cNvPr>
        <xdr:cNvSpPr>
          <a:spLocks noChangeAspect="1"/>
        </xdr:cNvSpPr>
      </xdr:nvSpPr>
      <xdr:spPr>
        <a:xfrm>
          <a:off x="51404400" y="8560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48</xdr:row>
      <xdr:rowOff>64500</xdr:rowOff>
    </xdr:from>
    <xdr:to>
      <xdr:col>76</xdr:col>
      <xdr:colOff>273603</xdr:colOff>
      <xdr:row>49</xdr:row>
      <xdr:rowOff>37051</xdr:rowOff>
    </xdr:to>
    <xdr:sp macro="" textlink="">
      <xdr:nvSpPr>
        <xdr:cNvPr id="246087" name="フリーフォーム: 図形 246086">
          <a:extLst>
            <a:ext uri="{FF2B5EF4-FFF2-40B4-BE49-F238E27FC236}">
              <a16:creationId xmlns:a16="http://schemas.microsoft.com/office/drawing/2014/main" id="{F6CD0617-5833-4654-83EE-6541AB0A4DA2}"/>
            </a:ext>
          </a:extLst>
        </xdr:cNvPr>
        <xdr:cNvSpPr>
          <a:spLocks noChangeAspect="1"/>
        </xdr:cNvSpPr>
      </xdr:nvSpPr>
      <xdr:spPr>
        <a:xfrm>
          <a:off x="51926399" y="85608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43</xdr:row>
      <xdr:rowOff>75750</xdr:rowOff>
    </xdr:from>
    <xdr:to>
      <xdr:col>75</xdr:col>
      <xdr:colOff>203403</xdr:colOff>
      <xdr:row>48</xdr:row>
      <xdr:rowOff>136501</xdr:rowOff>
    </xdr:to>
    <xdr:sp macro="" textlink="">
      <xdr:nvSpPr>
        <xdr:cNvPr id="246088" name="フリーフォーム: 図形 246087">
          <a:extLst>
            <a:ext uri="{FF2B5EF4-FFF2-40B4-BE49-F238E27FC236}">
              <a16:creationId xmlns:a16="http://schemas.microsoft.com/office/drawing/2014/main" id="{92D79CC3-029F-4D23-AA8C-3749C3E3ED76}"/>
            </a:ext>
          </a:extLst>
        </xdr:cNvPr>
        <xdr:cNvSpPr>
          <a:spLocks noChangeAspect="1"/>
        </xdr:cNvSpPr>
      </xdr:nvSpPr>
      <xdr:spPr>
        <a:xfrm>
          <a:off x="51350401" y="77148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37</xdr:row>
      <xdr:rowOff>114450</xdr:rowOff>
    </xdr:from>
    <xdr:to>
      <xdr:col>75</xdr:col>
      <xdr:colOff>347400</xdr:colOff>
      <xdr:row>43</xdr:row>
      <xdr:rowOff>21751</xdr:rowOff>
    </xdr:to>
    <xdr:sp macro="" textlink="">
      <xdr:nvSpPr>
        <xdr:cNvPr id="246089" name="フリーフォーム: 図形 246088">
          <a:extLst>
            <a:ext uri="{FF2B5EF4-FFF2-40B4-BE49-F238E27FC236}">
              <a16:creationId xmlns:a16="http://schemas.microsoft.com/office/drawing/2014/main" id="{52C0C2C7-0CCC-4AE4-925E-8CE4CAD91741}"/>
            </a:ext>
          </a:extLst>
        </xdr:cNvPr>
        <xdr:cNvSpPr>
          <a:spLocks noChangeAspect="1"/>
        </xdr:cNvSpPr>
      </xdr:nvSpPr>
      <xdr:spPr>
        <a:xfrm>
          <a:off x="51530399" y="67248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42</xdr:row>
      <xdr:rowOff>139200</xdr:rowOff>
    </xdr:from>
    <xdr:to>
      <xdr:col>75</xdr:col>
      <xdr:colOff>617402</xdr:colOff>
      <xdr:row>43</xdr:row>
      <xdr:rowOff>111751</xdr:rowOff>
    </xdr:to>
    <xdr:sp macro="" textlink="">
      <xdr:nvSpPr>
        <xdr:cNvPr id="246090" name="フリーフォーム: 図形 246089">
          <a:extLst>
            <a:ext uri="{FF2B5EF4-FFF2-40B4-BE49-F238E27FC236}">
              <a16:creationId xmlns:a16="http://schemas.microsoft.com/office/drawing/2014/main" id="{DD86A729-DC9E-4662-BDB7-207645C8189F}"/>
            </a:ext>
          </a:extLst>
        </xdr:cNvPr>
        <xdr:cNvSpPr>
          <a:spLocks noChangeAspect="1"/>
        </xdr:cNvSpPr>
      </xdr:nvSpPr>
      <xdr:spPr>
        <a:xfrm>
          <a:off x="51602401" y="76068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42</xdr:row>
      <xdr:rowOff>139200</xdr:rowOff>
    </xdr:from>
    <xdr:to>
      <xdr:col>76</xdr:col>
      <xdr:colOff>435602</xdr:colOff>
      <xdr:row>43</xdr:row>
      <xdr:rowOff>111751</xdr:rowOff>
    </xdr:to>
    <xdr:sp macro="" textlink="">
      <xdr:nvSpPr>
        <xdr:cNvPr id="246091" name="フリーフォーム: 図形 246090">
          <a:extLst>
            <a:ext uri="{FF2B5EF4-FFF2-40B4-BE49-F238E27FC236}">
              <a16:creationId xmlns:a16="http://schemas.microsoft.com/office/drawing/2014/main" id="{B33FE502-257C-4BCB-95EC-4B6220EF146C}"/>
            </a:ext>
          </a:extLst>
        </xdr:cNvPr>
        <xdr:cNvSpPr>
          <a:spLocks noChangeAspect="1"/>
        </xdr:cNvSpPr>
      </xdr:nvSpPr>
      <xdr:spPr>
        <a:xfrm>
          <a:off x="52106401" y="76068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38</xdr:row>
      <xdr:rowOff>51000</xdr:rowOff>
    </xdr:from>
    <xdr:to>
      <xdr:col>75</xdr:col>
      <xdr:colOff>635404</xdr:colOff>
      <xdr:row>43</xdr:row>
      <xdr:rowOff>3751</xdr:rowOff>
    </xdr:to>
    <xdr:sp macro="" textlink="">
      <xdr:nvSpPr>
        <xdr:cNvPr id="246092" name="フリーフォーム: 図形 246091">
          <a:extLst>
            <a:ext uri="{FF2B5EF4-FFF2-40B4-BE49-F238E27FC236}">
              <a16:creationId xmlns:a16="http://schemas.microsoft.com/office/drawing/2014/main" id="{8A4C0A46-EF3E-4A21-9F1D-870AD5F28C0F}"/>
            </a:ext>
          </a:extLst>
        </xdr:cNvPr>
        <xdr:cNvSpPr>
          <a:spLocks noChangeAspect="1"/>
        </xdr:cNvSpPr>
      </xdr:nvSpPr>
      <xdr:spPr>
        <a:xfrm>
          <a:off x="51800401" y="6832800"/>
          <a:ext cx="270003" cy="810001"/>
        </a:xfrm>
        <a:custGeom>
          <a:avLst/>
          <a:gdLst/>
          <a:ahLst/>
          <a:cxnLst/>
          <a:rect l="0" t="0" r="0" b="0"/>
          <a:pathLst>
            <a:path w="270003" h="810001">
              <a:moveTo>
                <a:pt x="0" y="180000"/>
              </a:moveTo>
              <a:lnTo>
                <a:pt x="17999" y="0"/>
              </a:lnTo>
              <a:lnTo>
                <a:pt x="108000" y="108000"/>
              </a:lnTo>
              <a:lnTo>
                <a:pt x="215999" y="468000"/>
              </a:lnTo>
              <a:lnTo>
                <a:pt x="270002"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37</xdr:row>
      <xdr:rowOff>114450</xdr:rowOff>
    </xdr:from>
    <xdr:to>
      <xdr:col>76</xdr:col>
      <xdr:colOff>201601</xdr:colOff>
      <xdr:row>42</xdr:row>
      <xdr:rowOff>157201</xdr:rowOff>
    </xdr:to>
    <xdr:sp macro="" textlink="">
      <xdr:nvSpPr>
        <xdr:cNvPr id="246093" name="フリーフォーム: 図形 246092">
          <a:extLst>
            <a:ext uri="{FF2B5EF4-FFF2-40B4-BE49-F238E27FC236}">
              <a16:creationId xmlns:a16="http://schemas.microsoft.com/office/drawing/2014/main" id="{D977B678-99CF-4C3E-990A-ACE3190D20DB}"/>
            </a:ext>
          </a:extLst>
        </xdr:cNvPr>
        <xdr:cNvSpPr>
          <a:spLocks noChangeAspect="1"/>
        </xdr:cNvSpPr>
      </xdr:nvSpPr>
      <xdr:spPr>
        <a:xfrm>
          <a:off x="52070403" y="67248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38</xdr:row>
      <xdr:rowOff>69000</xdr:rowOff>
    </xdr:from>
    <xdr:to>
      <xdr:col>76</xdr:col>
      <xdr:colOff>525600</xdr:colOff>
      <xdr:row>43</xdr:row>
      <xdr:rowOff>3751</xdr:rowOff>
    </xdr:to>
    <xdr:sp macro="" textlink="">
      <xdr:nvSpPr>
        <xdr:cNvPr id="246094" name="フリーフォーム: 図形 246093">
          <a:extLst>
            <a:ext uri="{FF2B5EF4-FFF2-40B4-BE49-F238E27FC236}">
              <a16:creationId xmlns:a16="http://schemas.microsoft.com/office/drawing/2014/main" id="{5D2E2E8F-5539-491D-BE4C-FF3717F92142}"/>
            </a:ext>
          </a:extLst>
        </xdr:cNvPr>
        <xdr:cNvSpPr>
          <a:spLocks noChangeAspect="1"/>
        </xdr:cNvSpPr>
      </xdr:nvSpPr>
      <xdr:spPr>
        <a:xfrm>
          <a:off x="52124403" y="68508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43</xdr:row>
      <xdr:rowOff>75750</xdr:rowOff>
    </xdr:from>
    <xdr:to>
      <xdr:col>76</xdr:col>
      <xdr:colOff>237599</xdr:colOff>
      <xdr:row>47</xdr:row>
      <xdr:rowOff>163951</xdr:rowOff>
    </xdr:to>
    <xdr:sp macro="" textlink="">
      <xdr:nvSpPr>
        <xdr:cNvPr id="246095" name="フリーフォーム: 図形 246094">
          <a:extLst>
            <a:ext uri="{FF2B5EF4-FFF2-40B4-BE49-F238E27FC236}">
              <a16:creationId xmlns:a16="http://schemas.microsoft.com/office/drawing/2014/main" id="{67FEB952-20E0-4AE3-8031-A442C52C7B5E}"/>
            </a:ext>
          </a:extLst>
        </xdr:cNvPr>
        <xdr:cNvSpPr>
          <a:spLocks noChangeAspect="1"/>
        </xdr:cNvSpPr>
      </xdr:nvSpPr>
      <xdr:spPr>
        <a:xfrm>
          <a:off x="52088399" y="77148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43</xdr:row>
      <xdr:rowOff>93750</xdr:rowOff>
    </xdr:from>
    <xdr:to>
      <xdr:col>75</xdr:col>
      <xdr:colOff>653400</xdr:colOff>
      <xdr:row>48</xdr:row>
      <xdr:rowOff>118501</xdr:rowOff>
    </xdr:to>
    <xdr:sp macro="" textlink="">
      <xdr:nvSpPr>
        <xdr:cNvPr id="246096" name="フリーフォーム: 図形 246095">
          <a:extLst>
            <a:ext uri="{FF2B5EF4-FFF2-40B4-BE49-F238E27FC236}">
              <a16:creationId xmlns:a16="http://schemas.microsoft.com/office/drawing/2014/main" id="{D95784BB-8741-4C16-B395-DEFE9EEFE0DD}"/>
            </a:ext>
          </a:extLst>
        </xdr:cNvPr>
        <xdr:cNvSpPr>
          <a:spLocks noChangeAspect="1"/>
        </xdr:cNvSpPr>
      </xdr:nvSpPr>
      <xdr:spPr>
        <a:xfrm>
          <a:off x="51854401" y="7732800"/>
          <a:ext cx="233999" cy="882001"/>
        </a:xfrm>
        <a:custGeom>
          <a:avLst/>
          <a:gdLst/>
          <a:ahLst/>
          <a:cxnLst/>
          <a:rect l="0" t="0" r="0" b="0"/>
          <a:pathLst>
            <a:path w="233999" h="882001">
              <a:moveTo>
                <a:pt x="107999" y="216000"/>
              </a:moveTo>
              <a:lnTo>
                <a:pt x="216002"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43</xdr:row>
      <xdr:rowOff>75750</xdr:rowOff>
    </xdr:from>
    <xdr:to>
      <xdr:col>75</xdr:col>
      <xdr:colOff>617402</xdr:colOff>
      <xdr:row>48</xdr:row>
      <xdr:rowOff>10501</xdr:rowOff>
    </xdr:to>
    <xdr:sp macro="" textlink="">
      <xdr:nvSpPr>
        <xdr:cNvPr id="246097" name="フリーフォーム: 図形 246096">
          <a:extLst>
            <a:ext uri="{FF2B5EF4-FFF2-40B4-BE49-F238E27FC236}">
              <a16:creationId xmlns:a16="http://schemas.microsoft.com/office/drawing/2014/main" id="{2DA320B4-440D-45C0-A738-588975193B4B}"/>
            </a:ext>
          </a:extLst>
        </xdr:cNvPr>
        <xdr:cNvSpPr>
          <a:spLocks noChangeAspect="1"/>
        </xdr:cNvSpPr>
      </xdr:nvSpPr>
      <xdr:spPr>
        <a:xfrm>
          <a:off x="51530399" y="77148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37</xdr:row>
      <xdr:rowOff>42450</xdr:rowOff>
    </xdr:from>
    <xdr:to>
      <xdr:col>78</xdr:col>
      <xdr:colOff>550801</xdr:colOff>
      <xdr:row>38</xdr:row>
      <xdr:rowOff>15001</xdr:rowOff>
    </xdr:to>
    <xdr:sp macro="" textlink="">
      <xdr:nvSpPr>
        <xdr:cNvPr id="246098" name="フリーフォーム: 図形 246097">
          <a:extLst>
            <a:ext uri="{FF2B5EF4-FFF2-40B4-BE49-F238E27FC236}">
              <a16:creationId xmlns:a16="http://schemas.microsoft.com/office/drawing/2014/main" id="{36061A75-8FF3-4708-8DC4-85256FBFF430}"/>
            </a:ext>
          </a:extLst>
        </xdr:cNvPr>
        <xdr:cNvSpPr>
          <a:spLocks noChangeAspect="1"/>
        </xdr:cNvSpPr>
      </xdr:nvSpPr>
      <xdr:spPr>
        <a:xfrm>
          <a:off x="53575198" y="66528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37</xdr:row>
      <xdr:rowOff>42450</xdr:rowOff>
    </xdr:from>
    <xdr:to>
      <xdr:col>79</xdr:col>
      <xdr:colOff>405000</xdr:colOff>
      <xdr:row>38</xdr:row>
      <xdr:rowOff>15001</xdr:rowOff>
    </xdr:to>
    <xdr:sp macro="" textlink="">
      <xdr:nvSpPr>
        <xdr:cNvPr id="246099" name="フリーフォーム: 図形 246098">
          <a:extLst>
            <a:ext uri="{FF2B5EF4-FFF2-40B4-BE49-F238E27FC236}">
              <a16:creationId xmlns:a16="http://schemas.microsoft.com/office/drawing/2014/main" id="{2D653791-A1A3-4528-9D71-6723265A40AB}"/>
            </a:ext>
          </a:extLst>
        </xdr:cNvPr>
        <xdr:cNvSpPr>
          <a:spLocks noChangeAspect="1"/>
        </xdr:cNvSpPr>
      </xdr:nvSpPr>
      <xdr:spPr>
        <a:xfrm>
          <a:off x="54115202" y="66528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37</xdr:row>
      <xdr:rowOff>114450</xdr:rowOff>
    </xdr:from>
    <xdr:to>
      <xdr:col>79</xdr:col>
      <xdr:colOff>477001</xdr:colOff>
      <xdr:row>43</xdr:row>
      <xdr:rowOff>21751</xdr:rowOff>
    </xdr:to>
    <xdr:sp macro="" textlink="">
      <xdr:nvSpPr>
        <xdr:cNvPr id="246100" name="フリーフォーム: 図形 246099">
          <a:extLst>
            <a:ext uri="{FF2B5EF4-FFF2-40B4-BE49-F238E27FC236}">
              <a16:creationId xmlns:a16="http://schemas.microsoft.com/office/drawing/2014/main" id="{601C79D6-8116-4EEA-91DC-C2023C0947D2}"/>
            </a:ext>
          </a:extLst>
        </xdr:cNvPr>
        <xdr:cNvSpPr>
          <a:spLocks noChangeAspect="1"/>
        </xdr:cNvSpPr>
      </xdr:nvSpPr>
      <xdr:spPr>
        <a:xfrm>
          <a:off x="54367199" y="67248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43</xdr:row>
      <xdr:rowOff>75750</xdr:rowOff>
    </xdr:from>
    <xdr:to>
      <xdr:col>79</xdr:col>
      <xdr:colOff>297000</xdr:colOff>
      <xdr:row>48</xdr:row>
      <xdr:rowOff>136501</xdr:rowOff>
    </xdr:to>
    <xdr:sp macro="" textlink="">
      <xdr:nvSpPr>
        <xdr:cNvPr id="246101" name="フリーフォーム: 図形 246100">
          <a:extLst>
            <a:ext uri="{FF2B5EF4-FFF2-40B4-BE49-F238E27FC236}">
              <a16:creationId xmlns:a16="http://schemas.microsoft.com/office/drawing/2014/main" id="{34435E4D-9033-4207-AC45-FC444C705AE2}"/>
            </a:ext>
          </a:extLst>
        </xdr:cNvPr>
        <xdr:cNvSpPr>
          <a:spLocks noChangeAspect="1"/>
        </xdr:cNvSpPr>
      </xdr:nvSpPr>
      <xdr:spPr>
        <a:xfrm>
          <a:off x="54187198" y="77148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48</xdr:row>
      <xdr:rowOff>64500</xdr:rowOff>
    </xdr:from>
    <xdr:to>
      <xdr:col>78</xdr:col>
      <xdr:colOff>226803</xdr:colOff>
      <xdr:row>49</xdr:row>
      <xdr:rowOff>37051</xdr:rowOff>
    </xdr:to>
    <xdr:sp macro="" textlink="">
      <xdr:nvSpPr>
        <xdr:cNvPr id="246102" name="フリーフォーム: 図形 246101">
          <a:extLst>
            <a:ext uri="{FF2B5EF4-FFF2-40B4-BE49-F238E27FC236}">
              <a16:creationId xmlns:a16="http://schemas.microsoft.com/office/drawing/2014/main" id="{42F56EFF-EAEC-4222-9717-242355F9FCD9}"/>
            </a:ext>
          </a:extLst>
        </xdr:cNvPr>
        <xdr:cNvSpPr>
          <a:spLocks noChangeAspect="1"/>
        </xdr:cNvSpPr>
      </xdr:nvSpPr>
      <xdr:spPr>
        <a:xfrm>
          <a:off x="53233197" y="85608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48</xdr:row>
      <xdr:rowOff>64500</xdr:rowOff>
    </xdr:from>
    <xdr:to>
      <xdr:col>79</xdr:col>
      <xdr:colOff>45003</xdr:colOff>
      <xdr:row>49</xdr:row>
      <xdr:rowOff>37051</xdr:rowOff>
    </xdr:to>
    <xdr:sp macro="" textlink="">
      <xdr:nvSpPr>
        <xdr:cNvPr id="246103" name="フリーフォーム: 図形 246102">
          <a:extLst>
            <a:ext uri="{FF2B5EF4-FFF2-40B4-BE49-F238E27FC236}">
              <a16:creationId xmlns:a16="http://schemas.microsoft.com/office/drawing/2014/main" id="{B2229C37-C76B-4561-91B2-6F0F3F58D499}"/>
            </a:ext>
          </a:extLst>
        </xdr:cNvPr>
        <xdr:cNvSpPr>
          <a:spLocks noChangeAspect="1"/>
        </xdr:cNvSpPr>
      </xdr:nvSpPr>
      <xdr:spPr>
        <a:xfrm>
          <a:off x="53755199" y="85608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43</xdr:row>
      <xdr:rowOff>75750</xdr:rowOff>
    </xdr:from>
    <xdr:to>
      <xdr:col>77</xdr:col>
      <xdr:colOff>660599</xdr:colOff>
      <xdr:row>48</xdr:row>
      <xdr:rowOff>136501</xdr:rowOff>
    </xdr:to>
    <xdr:sp macro="" textlink="">
      <xdr:nvSpPr>
        <xdr:cNvPr id="246104" name="フリーフォーム: 図形 246103">
          <a:extLst>
            <a:ext uri="{FF2B5EF4-FFF2-40B4-BE49-F238E27FC236}">
              <a16:creationId xmlns:a16="http://schemas.microsoft.com/office/drawing/2014/main" id="{69CEFFD9-E1BA-4F36-9DA3-6C13759EB932}"/>
            </a:ext>
          </a:extLst>
        </xdr:cNvPr>
        <xdr:cNvSpPr>
          <a:spLocks noChangeAspect="1"/>
        </xdr:cNvSpPr>
      </xdr:nvSpPr>
      <xdr:spPr>
        <a:xfrm>
          <a:off x="53179197" y="77148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37</xdr:row>
      <xdr:rowOff>114450</xdr:rowOff>
    </xdr:from>
    <xdr:to>
      <xdr:col>78</xdr:col>
      <xdr:colOff>118803</xdr:colOff>
      <xdr:row>43</xdr:row>
      <xdr:rowOff>21751</xdr:rowOff>
    </xdr:to>
    <xdr:sp macro="" textlink="">
      <xdr:nvSpPr>
        <xdr:cNvPr id="246105" name="フリーフォーム: 図形 246104">
          <a:extLst>
            <a:ext uri="{FF2B5EF4-FFF2-40B4-BE49-F238E27FC236}">
              <a16:creationId xmlns:a16="http://schemas.microsoft.com/office/drawing/2014/main" id="{95D21D80-B853-4A1D-894A-692BF08CA912}"/>
            </a:ext>
          </a:extLst>
        </xdr:cNvPr>
        <xdr:cNvSpPr>
          <a:spLocks noChangeAspect="1"/>
        </xdr:cNvSpPr>
      </xdr:nvSpPr>
      <xdr:spPr>
        <a:xfrm>
          <a:off x="53359199" y="67248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42</xdr:row>
      <xdr:rowOff>139200</xdr:rowOff>
    </xdr:from>
    <xdr:to>
      <xdr:col>78</xdr:col>
      <xdr:colOff>388802</xdr:colOff>
      <xdr:row>43</xdr:row>
      <xdr:rowOff>111751</xdr:rowOff>
    </xdr:to>
    <xdr:sp macro="" textlink="">
      <xdr:nvSpPr>
        <xdr:cNvPr id="246106" name="フリーフォーム: 図形 246105">
          <a:extLst>
            <a:ext uri="{FF2B5EF4-FFF2-40B4-BE49-F238E27FC236}">
              <a16:creationId xmlns:a16="http://schemas.microsoft.com/office/drawing/2014/main" id="{1D40DD7C-9B7D-436E-8030-23A8D228E7E5}"/>
            </a:ext>
          </a:extLst>
        </xdr:cNvPr>
        <xdr:cNvSpPr>
          <a:spLocks noChangeAspect="1"/>
        </xdr:cNvSpPr>
      </xdr:nvSpPr>
      <xdr:spPr>
        <a:xfrm>
          <a:off x="53431201" y="76068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42</xdr:row>
      <xdr:rowOff>139200</xdr:rowOff>
    </xdr:from>
    <xdr:to>
      <xdr:col>79</xdr:col>
      <xdr:colOff>207002</xdr:colOff>
      <xdr:row>43</xdr:row>
      <xdr:rowOff>111751</xdr:rowOff>
    </xdr:to>
    <xdr:sp macro="" textlink="">
      <xdr:nvSpPr>
        <xdr:cNvPr id="246107" name="フリーフォーム: 図形 246106">
          <a:extLst>
            <a:ext uri="{FF2B5EF4-FFF2-40B4-BE49-F238E27FC236}">
              <a16:creationId xmlns:a16="http://schemas.microsoft.com/office/drawing/2014/main" id="{01CAAA30-7E32-4C37-BCC9-49D85D12A004}"/>
            </a:ext>
          </a:extLst>
        </xdr:cNvPr>
        <xdr:cNvSpPr>
          <a:spLocks noChangeAspect="1"/>
        </xdr:cNvSpPr>
      </xdr:nvSpPr>
      <xdr:spPr>
        <a:xfrm>
          <a:off x="53935201" y="76068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38</xdr:row>
      <xdr:rowOff>51000</xdr:rowOff>
    </xdr:from>
    <xdr:to>
      <xdr:col>78</xdr:col>
      <xdr:colOff>406804</xdr:colOff>
      <xdr:row>43</xdr:row>
      <xdr:rowOff>3751</xdr:rowOff>
    </xdr:to>
    <xdr:sp macro="" textlink="">
      <xdr:nvSpPr>
        <xdr:cNvPr id="246108" name="フリーフォーム: 図形 246107">
          <a:extLst>
            <a:ext uri="{FF2B5EF4-FFF2-40B4-BE49-F238E27FC236}">
              <a16:creationId xmlns:a16="http://schemas.microsoft.com/office/drawing/2014/main" id="{0C5F2F4E-EC17-477A-9C8F-7FBE5CB94E4B}"/>
            </a:ext>
          </a:extLst>
        </xdr:cNvPr>
        <xdr:cNvSpPr>
          <a:spLocks noChangeAspect="1"/>
        </xdr:cNvSpPr>
      </xdr:nvSpPr>
      <xdr:spPr>
        <a:xfrm>
          <a:off x="53629198" y="68328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37</xdr:row>
      <xdr:rowOff>114450</xdr:rowOff>
    </xdr:from>
    <xdr:to>
      <xdr:col>78</xdr:col>
      <xdr:colOff>658801</xdr:colOff>
      <xdr:row>42</xdr:row>
      <xdr:rowOff>157201</xdr:rowOff>
    </xdr:to>
    <xdr:sp macro="" textlink="">
      <xdr:nvSpPr>
        <xdr:cNvPr id="246109" name="フリーフォーム: 図形 246108">
          <a:extLst>
            <a:ext uri="{FF2B5EF4-FFF2-40B4-BE49-F238E27FC236}">
              <a16:creationId xmlns:a16="http://schemas.microsoft.com/office/drawing/2014/main" id="{3379A39E-8ACB-4B48-B2DA-815F53CC1C59}"/>
            </a:ext>
          </a:extLst>
        </xdr:cNvPr>
        <xdr:cNvSpPr>
          <a:spLocks noChangeAspect="1"/>
        </xdr:cNvSpPr>
      </xdr:nvSpPr>
      <xdr:spPr>
        <a:xfrm>
          <a:off x="53899203" y="67248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38</xdr:row>
      <xdr:rowOff>69000</xdr:rowOff>
    </xdr:from>
    <xdr:to>
      <xdr:col>79</xdr:col>
      <xdr:colOff>297000</xdr:colOff>
      <xdr:row>43</xdr:row>
      <xdr:rowOff>3751</xdr:rowOff>
    </xdr:to>
    <xdr:sp macro="" textlink="">
      <xdr:nvSpPr>
        <xdr:cNvPr id="246110" name="フリーフォーム: 図形 246109">
          <a:extLst>
            <a:ext uri="{FF2B5EF4-FFF2-40B4-BE49-F238E27FC236}">
              <a16:creationId xmlns:a16="http://schemas.microsoft.com/office/drawing/2014/main" id="{FA444B5E-5717-4E3A-B53B-36C6536A20B6}"/>
            </a:ext>
          </a:extLst>
        </xdr:cNvPr>
        <xdr:cNvSpPr>
          <a:spLocks noChangeAspect="1"/>
        </xdr:cNvSpPr>
      </xdr:nvSpPr>
      <xdr:spPr>
        <a:xfrm>
          <a:off x="53953203" y="68508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43</xdr:row>
      <xdr:rowOff>75750</xdr:rowOff>
    </xdr:from>
    <xdr:to>
      <xdr:col>79</xdr:col>
      <xdr:colOff>8999</xdr:colOff>
      <xdr:row>47</xdr:row>
      <xdr:rowOff>163951</xdr:rowOff>
    </xdr:to>
    <xdr:sp macro="" textlink="">
      <xdr:nvSpPr>
        <xdr:cNvPr id="246111" name="フリーフォーム: 図形 246110">
          <a:extLst>
            <a:ext uri="{FF2B5EF4-FFF2-40B4-BE49-F238E27FC236}">
              <a16:creationId xmlns:a16="http://schemas.microsoft.com/office/drawing/2014/main" id="{E319024E-A48B-46B1-B9BD-0A8585E83095}"/>
            </a:ext>
          </a:extLst>
        </xdr:cNvPr>
        <xdr:cNvSpPr>
          <a:spLocks noChangeAspect="1"/>
        </xdr:cNvSpPr>
      </xdr:nvSpPr>
      <xdr:spPr>
        <a:xfrm>
          <a:off x="53917199" y="77148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43</xdr:row>
      <xdr:rowOff>93750</xdr:rowOff>
    </xdr:from>
    <xdr:to>
      <xdr:col>78</xdr:col>
      <xdr:colOff>424800</xdr:colOff>
      <xdr:row>48</xdr:row>
      <xdr:rowOff>118501</xdr:rowOff>
    </xdr:to>
    <xdr:sp macro="" textlink="">
      <xdr:nvSpPr>
        <xdr:cNvPr id="246112" name="フリーフォーム: 図形 246111">
          <a:extLst>
            <a:ext uri="{FF2B5EF4-FFF2-40B4-BE49-F238E27FC236}">
              <a16:creationId xmlns:a16="http://schemas.microsoft.com/office/drawing/2014/main" id="{B13789C8-BC8A-46DC-8BA6-C68AFB98C479}"/>
            </a:ext>
          </a:extLst>
        </xdr:cNvPr>
        <xdr:cNvSpPr>
          <a:spLocks noChangeAspect="1"/>
        </xdr:cNvSpPr>
      </xdr:nvSpPr>
      <xdr:spPr>
        <a:xfrm>
          <a:off x="53683198" y="77328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43</xdr:row>
      <xdr:rowOff>75750</xdr:rowOff>
    </xdr:from>
    <xdr:to>
      <xdr:col>78</xdr:col>
      <xdr:colOff>388802</xdr:colOff>
      <xdr:row>48</xdr:row>
      <xdr:rowOff>10501</xdr:rowOff>
    </xdr:to>
    <xdr:sp macro="" textlink="">
      <xdr:nvSpPr>
        <xdr:cNvPr id="246113" name="フリーフォーム: 図形 246112">
          <a:extLst>
            <a:ext uri="{FF2B5EF4-FFF2-40B4-BE49-F238E27FC236}">
              <a16:creationId xmlns:a16="http://schemas.microsoft.com/office/drawing/2014/main" id="{3A3DAF54-1E1D-4C8C-A3AA-BE6E69B8FF9F}"/>
            </a:ext>
          </a:extLst>
        </xdr:cNvPr>
        <xdr:cNvSpPr>
          <a:spLocks noChangeAspect="1"/>
        </xdr:cNvSpPr>
      </xdr:nvSpPr>
      <xdr:spPr>
        <a:xfrm>
          <a:off x="53359199" y="77148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37</xdr:row>
      <xdr:rowOff>42450</xdr:rowOff>
    </xdr:from>
    <xdr:to>
      <xdr:col>81</xdr:col>
      <xdr:colOff>322201</xdr:colOff>
      <xdr:row>38</xdr:row>
      <xdr:rowOff>15001</xdr:rowOff>
    </xdr:to>
    <xdr:sp macro="" textlink="">
      <xdr:nvSpPr>
        <xdr:cNvPr id="246114" name="フリーフォーム: 図形 246113">
          <a:extLst>
            <a:ext uri="{FF2B5EF4-FFF2-40B4-BE49-F238E27FC236}">
              <a16:creationId xmlns:a16="http://schemas.microsoft.com/office/drawing/2014/main" id="{841642C1-27CE-467B-9AA7-69D2AC46EB9A}"/>
            </a:ext>
          </a:extLst>
        </xdr:cNvPr>
        <xdr:cNvSpPr>
          <a:spLocks noChangeAspect="1"/>
        </xdr:cNvSpPr>
      </xdr:nvSpPr>
      <xdr:spPr>
        <a:xfrm>
          <a:off x="55403998" y="66528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37</xdr:row>
      <xdr:rowOff>42450</xdr:rowOff>
    </xdr:from>
    <xdr:to>
      <xdr:col>82</xdr:col>
      <xdr:colOff>176400</xdr:colOff>
      <xdr:row>38</xdr:row>
      <xdr:rowOff>15001</xdr:rowOff>
    </xdr:to>
    <xdr:sp macro="" textlink="">
      <xdr:nvSpPr>
        <xdr:cNvPr id="246115" name="フリーフォーム: 図形 246114">
          <a:extLst>
            <a:ext uri="{FF2B5EF4-FFF2-40B4-BE49-F238E27FC236}">
              <a16:creationId xmlns:a16="http://schemas.microsoft.com/office/drawing/2014/main" id="{F9FB14E7-FEC6-4ED7-9EEA-C3EEEF844293}"/>
            </a:ext>
          </a:extLst>
        </xdr:cNvPr>
        <xdr:cNvSpPr>
          <a:spLocks noChangeAspect="1"/>
        </xdr:cNvSpPr>
      </xdr:nvSpPr>
      <xdr:spPr>
        <a:xfrm>
          <a:off x="55944002" y="66528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37</xdr:row>
      <xdr:rowOff>114450</xdr:rowOff>
    </xdr:from>
    <xdr:to>
      <xdr:col>82</xdr:col>
      <xdr:colOff>248401</xdr:colOff>
      <xdr:row>43</xdr:row>
      <xdr:rowOff>21751</xdr:rowOff>
    </xdr:to>
    <xdr:sp macro="" textlink="">
      <xdr:nvSpPr>
        <xdr:cNvPr id="246116" name="フリーフォーム: 図形 246115">
          <a:extLst>
            <a:ext uri="{FF2B5EF4-FFF2-40B4-BE49-F238E27FC236}">
              <a16:creationId xmlns:a16="http://schemas.microsoft.com/office/drawing/2014/main" id="{AF1CF581-4BA0-4369-A027-94FE1ED4D3C1}"/>
            </a:ext>
          </a:extLst>
        </xdr:cNvPr>
        <xdr:cNvSpPr>
          <a:spLocks noChangeAspect="1"/>
        </xdr:cNvSpPr>
      </xdr:nvSpPr>
      <xdr:spPr>
        <a:xfrm>
          <a:off x="56195999" y="67248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43</xdr:row>
      <xdr:rowOff>75750</xdr:rowOff>
    </xdr:from>
    <xdr:to>
      <xdr:col>82</xdr:col>
      <xdr:colOff>68400</xdr:colOff>
      <xdr:row>48</xdr:row>
      <xdr:rowOff>136501</xdr:rowOff>
    </xdr:to>
    <xdr:sp macro="" textlink="">
      <xdr:nvSpPr>
        <xdr:cNvPr id="246117" name="フリーフォーム: 図形 246116">
          <a:extLst>
            <a:ext uri="{FF2B5EF4-FFF2-40B4-BE49-F238E27FC236}">
              <a16:creationId xmlns:a16="http://schemas.microsoft.com/office/drawing/2014/main" id="{F9281CFF-73E3-482E-A6BD-5B2CB92494EA}"/>
            </a:ext>
          </a:extLst>
        </xdr:cNvPr>
        <xdr:cNvSpPr>
          <a:spLocks noChangeAspect="1"/>
        </xdr:cNvSpPr>
      </xdr:nvSpPr>
      <xdr:spPr>
        <a:xfrm>
          <a:off x="56015998" y="77148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48</xdr:row>
      <xdr:rowOff>64500</xdr:rowOff>
    </xdr:from>
    <xdr:to>
      <xdr:col>80</xdr:col>
      <xdr:colOff>684003</xdr:colOff>
      <xdr:row>49</xdr:row>
      <xdr:rowOff>37051</xdr:rowOff>
    </xdr:to>
    <xdr:sp macro="" textlink="">
      <xdr:nvSpPr>
        <xdr:cNvPr id="246118" name="フリーフォーム: 図形 246117">
          <a:extLst>
            <a:ext uri="{FF2B5EF4-FFF2-40B4-BE49-F238E27FC236}">
              <a16:creationId xmlns:a16="http://schemas.microsoft.com/office/drawing/2014/main" id="{24EA73B7-C4D3-40A0-8E83-46619B26E064}"/>
            </a:ext>
          </a:extLst>
        </xdr:cNvPr>
        <xdr:cNvSpPr>
          <a:spLocks noChangeAspect="1"/>
        </xdr:cNvSpPr>
      </xdr:nvSpPr>
      <xdr:spPr>
        <a:xfrm>
          <a:off x="55061997" y="85608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48</xdr:row>
      <xdr:rowOff>64500</xdr:rowOff>
    </xdr:from>
    <xdr:to>
      <xdr:col>81</xdr:col>
      <xdr:colOff>502203</xdr:colOff>
      <xdr:row>49</xdr:row>
      <xdr:rowOff>37051</xdr:rowOff>
    </xdr:to>
    <xdr:sp macro="" textlink="">
      <xdr:nvSpPr>
        <xdr:cNvPr id="246119" name="フリーフォーム: 図形 246118">
          <a:extLst>
            <a:ext uri="{FF2B5EF4-FFF2-40B4-BE49-F238E27FC236}">
              <a16:creationId xmlns:a16="http://schemas.microsoft.com/office/drawing/2014/main" id="{FEA4B87D-380B-48EC-AF21-370E2FFE9ACB}"/>
            </a:ext>
          </a:extLst>
        </xdr:cNvPr>
        <xdr:cNvSpPr>
          <a:spLocks noChangeAspect="1"/>
        </xdr:cNvSpPr>
      </xdr:nvSpPr>
      <xdr:spPr>
        <a:xfrm>
          <a:off x="55583999" y="85608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43</xdr:row>
      <xdr:rowOff>75750</xdr:rowOff>
    </xdr:from>
    <xdr:to>
      <xdr:col>80</xdr:col>
      <xdr:colOff>431999</xdr:colOff>
      <xdr:row>48</xdr:row>
      <xdr:rowOff>136501</xdr:rowOff>
    </xdr:to>
    <xdr:sp macro="" textlink="">
      <xdr:nvSpPr>
        <xdr:cNvPr id="246120" name="フリーフォーム: 図形 246119">
          <a:extLst>
            <a:ext uri="{FF2B5EF4-FFF2-40B4-BE49-F238E27FC236}">
              <a16:creationId xmlns:a16="http://schemas.microsoft.com/office/drawing/2014/main" id="{20F5CDB3-E830-40B9-BD4E-88DFBF1383AB}"/>
            </a:ext>
          </a:extLst>
        </xdr:cNvPr>
        <xdr:cNvSpPr>
          <a:spLocks noChangeAspect="1"/>
        </xdr:cNvSpPr>
      </xdr:nvSpPr>
      <xdr:spPr>
        <a:xfrm>
          <a:off x="55007997" y="77148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37</xdr:row>
      <xdr:rowOff>114450</xdr:rowOff>
    </xdr:from>
    <xdr:to>
      <xdr:col>80</xdr:col>
      <xdr:colOff>576003</xdr:colOff>
      <xdr:row>43</xdr:row>
      <xdr:rowOff>21751</xdr:rowOff>
    </xdr:to>
    <xdr:sp macro="" textlink="">
      <xdr:nvSpPr>
        <xdr:cNvPr id="246121" name="フリーフォーム: 図形 246120">
          <a:extLst>
            <a:ext uri="{FF2B5EF4-FFF2-40B4-BE49-F238E27FC236}">
              <a16:creationId xmlns:a16="http://schemas.microsoft.com/office/drawing/2014/main" id="{B4B34E2C-FBC2-4767-9E45-9BCFAAAF255C}"/>
            </a:ext>
          </a:extLst>
        </xdr:cNvPr>
        <xdr:cNvSpPr>
          <a:spLocks noChangeAspect="1"/>
        </xdr:cNvSpPr>
      </xdr:nvSpPr>
      <xdr:spPr>
        <a:xfrm>
          <a:off x="55187999" y="67248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42</xdr:row>
      <xdr:rowOff>139200</xdr:rowOff>
    </xdr:from>
    <xdr:to>
      <xdr:col>81</xdr:col>
      <xdr:colOff>160202</xdr:colOff>
      <xdr:row>43</xdr:row>
      <xdr:rowOff>111751</xdr:rowOff>
    </xdr:to>
    <xdr:sp macro="" textlink="">
      <xdr:nvSpPr>
        <xdr:cNvPr id="246122" name="フリーフォーム: 図形 246121">
          <a:extLst>
            <a:ext uri="{FF2B5EF4-FFF2-40B4-BE49-F238E27FC236}">
              <a16:creationId xmlns:a16="http://schemas.microsoft.com/office/drawing/2014/main" id="{450805E6-93B2-4C7F-967C-F7A4FA31CA6B}"/>
            </a:ext>
          </a:extLst>
        </xdr:cNvPr>
        <xdr:cNvSpPr>
          <a:spLocks noChangeAspect="1"/>
        </xdr:cNvSpPr>
      </xdr:nvSpPr>
      <xdr:spPr>
        <a:xfrm>
          <a:off x="55260001" y="76068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42</xdr:row>
      <xdr:rowOff>139200</xdr:rowOff>
    </xdr:from>
    <xdr:to>
      <xdr:col>81</xdr:col>
      <xdr:colOff>664202</xdr:colOff>
      <xdr:row>43</xdr:row>
      <xdr:rowOff>111751</xdr:rowOff>
    </xdr:to>
    <xdr:sp macro="" textlink="">
      <xdr:nvSpPr>
        <xdr:cNvPr id="246123" name="フリーフォーム: 図形 246122">
          <a:extLst>
            <a:ext uri="{FF2B5EF4-FFF2-40B4-BE49-F238E27FC236}">
              <a16:creationId xmlns:a16="http://schemas.microsoft.com/office/drawing/2014/main" id="{CD784D4F-22FF-49CF-8DBF-E12713B253D9}"/>
            </a:ext>
          </a:extLst>
        </xdr:cNvPr>
        <xdr:cNvSpPr>
          <a:spLocks noChangeAspect="1"/>
        </xdr:cNvSpPr>
      </xdr:nvSpPr>
      <xdr:spPr>
        <a:xfrm>
          <a:off x="55764001" y="76068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38</xdr:row>
      <xdr:rowOff>51000</xdr:rowOff>
    </xdr:from>
    <xdr:to>
      <xdr:col>81</xdr:col>
      <xdr:colOff>178204</xdr:colOff>
      <xdr:row>43</xdr:row>
      <xdr:rowOff>3751</xdr:rowOff>
    </xdr:to>
    <xdr:sp macro="" textlink="">
      <xdr:nvSpPr>
        <xdr:cNvPr id="246124" name="フリーフォーム: 図形 246123">
          <a:extLst>
            <a:ext uri="{FF2B5EF4-FFF2-40B4-BE49-F238E27FC236}">
              <a16:creationId xmlns:a16="http://schemas.microsoft.com/office/drawing/2014/main" id="{4166D8C2-DCC6-4817-B862-E1CED0F4AAD3}"/>
            </a:ext>
          </a:extLst>
        </xdr:cNvPr>
        <xdr:cNvSpPr>
          <a:spLocks noChangeAspect="1"/>
        </xdr:cNvSpPr>
      </xdr:nvSpPr>
      <xdr:spPr>
        <a:xfrm>
          <a:off x="55457998" y="68328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37</xdr:row>
      <xdr:rowOff>114450</xdr:rowOff>
    </xdr:from>
    <xdr:to>
      <xdr:col>81</xdr:col>
      <xdr:colOff>430201</xdr:colOff>
      <xdr:row>42</xdr:row>
      <xdr:rowOff>157201</xdr:rowOff>
    </xdr:to>
    <xdr:sp macro="" textlink="">
      <xdr:nvSpPr>
        <xdr:cNvPr id="246125" name="フリーフォーム: 図形 246124">
          <a:extLst>
            <a:ext uri="{FF2B5EF4-FFF2-40B4-BE49-F238E27FC236}">
              <a16:creationId xmlns:a16="http://schemas.microsoft.com/office/drawing/2014/main" id="{75D8C5DE-0F7A-4F7A-B688-EA4DC58A8907}"/>
            </a:ext>
          </a:extLst>
        </xdr:cNvPr>
        <xdr:cNvSpPr>
          <a:spLocks noChangeAspect="1"/>
        </xdr:cNvSpPr>
      </xdr:nvSpPr>
      <xdr:spPr>
        <a:xfrm>
          <a:off x="55728003" y="67248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38</xdr:row>
      <xdr:rowOff>69000</xdr:rowOff>
    </xdr:from>
    <xdr:to>
      <xdr:col>82</xdr:col>
      <xdr:colOff>68400</xdr:colOff>
      <xdr:row>43</xdr:row>
      <xdr:rowOff>3751</xdr:rowOff>
    </xdr:to>
    <xdr:sp macro="" textlink="">
      <xdr:nvSpPr>
        <xdr:cNvPr id="246126" name="フリーフォーム: 図形 246125">
          <a:extLst>
            <a:ext uri="{FF2B5EF4-FFF2-40B4-BE49-F238E27FC236}">
              <a16:creationId xmlns:a16="http://schemas.microsoft.com/office/drawing/2014/main" id="{520F3E6E-54A7-4CBD-9DAE-4E412C197DD2}"/>
            </a:ext>
          </a:extLst>
        </xdr:cNvPr>
        <xdr:cNvSpPr>
          <a:spLocks noChangeAspect="1"/>
        </xdr:cNvSpPr>
      </xdr:nvSpPr>
      <xdr:spPr>
        <a:xfrm>
          <a:off x="55782003" y="68508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43</xdr:row>
      <xdr:rowOff>75750</xdr:rowOff>
    </xdr:from>
    <xdr:to>
      <xdr:col>81</xdr:col>
      <xdr:colOff>466199</xdr:colOff>
      <xdr:row>47</xdr:row>
      <xdr:rowOff>163951</xdr:rowOff>
    </xdr:to>
    <xdr:sp macro="" textlink="">
      <xdr:nvSpPr>
        <xdr:cNvPr id="246127" name="フリーフォーム: 図形 246126">
          <a:extLst>
            <a:ext uri="{FF2B5EF4-FFF2-40B4-BE49-F238E27FC236}">
              <a16:creationId xmlns:a16="http://schemas.microsoft.com/office/drawing/2014/main" id="{101AB902-5785-47E2-A06D-2EDDE520F3E9}"/>
            </a:ext>
          </a:extLst>
        </xdr:cNvPr>
        <xdr:cNvSpPr>
          <a:spLocks noChangeAspect="1"/>
        </xdr:cNvSpPr>
      </xdr:nvSpPr>
      <xdr:spPr>
        <a:xfrm>
          <a:off x="55745999" y="77148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43</xdr:row>
      <xdr:rowOff>93750</xdr:rowOff>
    </xdr:from>
    <xdr:to>
      <xdr:col>81</xdr:col>
      <xdr:colOff>196200</xdr:colOff>
      <xdr:row>48</xdr:row>
      <xdr:rowOff>118501</xdr:rowOff>
    </xdr:to>
    <xdr:sp macro="" textlink="">
      <xdr:nvSpPr>
        <xdr:cNvPr id="246128" name="フリーフォーム: 図形 246127">
          <a:extLst>
            <a:ext uri="{FF2B5EF4-FFF2-40B4-BE49-F238E27FC236}">
              <a16:creationId xmlns:a16="http://schemas.microsoft.com/office/drawing/2014/main" id="{19E0A73E-B231-44F3-BF45-F95D35154803}"/>
            </a:ext>
          </a:extLst>
        </xdr:cNvPr>
        <xdr:cNvSpPr>
          <a:spLocks noChangeAspect="1"/>
        </xdr:cNvSpPr>
      </xdr:nvSpPr>
      <xdr:spPr>
        <a:xfrm>
          <a:off x="55511998" y="77328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43</xdr:row>
      <xdr:rowOff>75750</xdr:rowOff>
    </xdr:from>
    <xdr:to>
      <xdr:col>81</xdr:col>
      <xdr:colOff>160202</xdr:colOff>
      <xdr:row>48</xdr:row>
      <xdr:rowOff>10501</xdr:rowOff>
    </xdr:to>
    <xdr:sp macro="" textlink="">
      <xdr:nvSpPr>
        <xdr:cNvPr id="246129" name="フリーフォーム: 図形 246128">
          <a:extLst>
            <a:ext uri="{FF2B5EF4-FFF2-40B4-BE49-F238E27FC236}">
              <a16:creationId xmlns:a16="http://schemas.microsoft.com/office/drawing/2014/main" id="{EF37A97A-13BC-4360-9D5F-A5EE95887477}"/>
            </a:ext>
          </a:extLst>
        </xdr:cNvPr>
        <xdr:cNvSpPr>
          <a:spLocks noChangeAspect="1"/>
        </xdr:cNvSpPr>
      </xdr:nvSpPr>
      <xdr:spPr>
        <a:xfrm>
          <a:off x="55187999" y="77148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37</xdr:row>
      <xdr:rowOff>42450</xdr:rowOff>
    </xdr:from>
    <xdr:to>
      <xdr:col>84</xdr:col>
      <xdr:colOff>93601</xdr:colOff>
      <xdr:row>38</xdr:row>
      <xdr:rowOff>15001</xdr:rowOff>
    </xdr:to>
    <xdr:sp macro="" textlink="">
      <xdr:nvSpPr>
        <xdr:cNvPr id="246130" name="フリーフォーム: 図形 246129">
          <a:extLst>
            <a:ext uri="{FF2B5EF4-FFF2-40B4-BE49-F238E27FC236}">
              <a16:creationId xmlns:a16="http://schemas.microsoft.com/office/drawing/2014/main" id="{C146ABFE-B4EF-4347-B5C4-363FD0027A7E}"/>
            </a:ext>
          </a:extLst>
        </xdr:cNvPr>
        <xdr:cNvSpPr>
          <a:spLocks noChangeAspect="1"/>
        </xdr:cNvSpPr>
      </xdr:nvSpPr>
      <xdr:spPr>
        <a:xfrm>
          <a:off x="57232798" y="66528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37</xdr:row>
      <xdr:rowOff>42450</xdr:rowOff>
    </xdr:from>
    <xdr:to>
      <xdr:col>84</xdr:col>
      <xdr:colOff>633600</xdr:colOff>
      <xdr:row>38</xdr:row>
      <xdr:rowOff>15001</xdr:rowOff>
    </xdr:to>
    <xdr:sp macro="" textlink="">
      <xdr:nvSpPr>
        <xdr:cNvPr id="246131" name="フリーフォーム: 図形 246130">
          <a:extLst>
            <a:ext uri="{FF2B5EF4-FFF2-40B4-BE49-F238E27FC236}">
              <a16:creationId xmlns:a16="http://schemas.microsoft.com/office/drawing/2014/main" id="{DDFF0368-0FEA-4FE0-9AE6-364FF237BB13}"/>
            </a:ext>
          </a:extLst>
        </xdr:cNvPr>
        <xdr:cNvSpPr>
          <a:spLocks noChangeAspect="1"/>
        </xdr:cNvSpPr>
      </xdr:nvSpPr>
      <xdr:spPr>
        <a:xfrm>
          <a:off x="57772802" y="66528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37</xdr:row>
      <xdr:rowOff>114450</xdr:rowOff>
    </xdr:from>
    <xdr:to>
      <xdr:col>85</xdr:col>
      <xdr:colOff>19801</xdr:colOff>
      <xdr:row>43</xdr:row>
      <xdr:rowOff>21751</xdr:rowOff>
    </xdr:to>
    <xdr:sp macro="" textlink="">
      <xdr:nvSpPr>
        <xdr:cNvPr id="246132" name="フリーフォーム: 図形 246131">
          <a:extLst>
            <a:ext uri="{FF2B5EF4-FFF2-40B4-BE49-F238E27FC236}">
              <a16:creationId xmlns:a16="http://schemas.microsoft.com/office/drawing/2014/main" id="{713F880F-A248-4BFD-A599-BD8363A5DEDB}"/>
            </a:ext>
          </a:extLst>
        </xdr:cNvPr>
        <xdr:cNvSpPr>
          <a:spLocks noChangeAspect="1"/>
        </xdr:cNvSpPr>
      </xdr:nvSpPr>
      <xdr:spPr>
        <a:xfrm>
          <a:off x="58024799" y="67248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43</xdr:row>
      <xdr:rowOff>75750</xdr:rowOff>
    </xdr:from>
    <xdr:to>
      <xdr:col>84</xdr:col>
      <xdr:colOff>525600</xdr:colOff>
      <xdr:row>48</xdr:row>
      <xdr:rowOff>136501</xdr:rowOff>
    </xdr:to>
    <xdr:sp macro="" textlink="">
      <xdr:nvSpPr>
        <xdr:cNvPr id="246133" name="フリーフォーム: 図形 246132">
          <a:extLst>
            <a:ext uri="{FF2B5EF4-FFF2-40B4-BE49-F238E27FC236}">
              <a16:creationId xmlns:a16="http://schemas.microsoft.com/office/drawing/2014/main" id="{9750C3CD-3691-44BC-9F01-8680A4AEC60C}"/>
            </a:ext>
          </a:extLst>
        </xdr:cNvPr>
        <xdr:cNvSpPr>
          <a:spLocks noChangeAspect="1"/>
        </xdr:cNvSpPr>
      </xdr:nvSpPr>
      <xdr:spPr>
        <a:xfrm>
          <a:off x="57844798" y="77148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48</xdr:row>
      <xdr:rowOff>64500</xdr:rowOff>
    </xdr:from>
    <xdr:to>
      <xdr:col>83</xdr:col>
      <xdr:colOff>455403</xdr:colOff>
      <xdr:row>49</xdr:row>
      <xdr:rowOff>37051</xdr:rowOff>
    </xdr:to>
    <xdr:sp macro="" textlink="">
      <xdr:nvSpPr>
        <xdr:cNvPr id="246134" name="フリーフォーム: 図形 246133">
          <a:extLst>
            <a:ext uri="{FF2B5EF4-FFF2-40B4-BE49-F238E27FC236}">
              <a16:creationId xmlns:a16="http://schemas.microsoft.com/office/drawing/2014/main" id="{ED21B2C4-5A53-482A-ACC3-1EC9E894BE85}"/>
            </a:ext>
          </a:extLst>
        </xdr:cNvPr>
        <xdr:cNvSpPr>
          <a:spLocks noChangeAspect="1"/>
        </xdr:cNvSpPr>
      </xdr:nvSpPr>
      <xdr:spPr>
        <a:xfrm>
          <a:off x="56890797" y="85608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48</xdr:row>
      <xdr:rowOff>64500</xdr:rowOff>
    </xdr:from>
    <xdr:to>
      <xdr:col>84</xdr:col>
      <xdr:colOff>273603</xdr:colOff>
      <xdr:row>49</xdr:row>
      <xdr:rowOff>37051</xdr:rowOff>
    </xdr:to>
    <xdr:sp macro="" textlink="">
      <xdr:nvSpPr>
        <xdr:cNvPr id="246135" name="フリーフォーム: 図形 246134">
          <a:extLst>
            <a:ext uri="{FF2B5EF4-FFF2-40B4-BE49-F238E27FC236}">
              <a16:creationId xmlns:a16="http://schemas.microsoft.com/office/drawing/2014/main" id="{7EBC402A-270D-4644-8BB5-70019159D7E5}"/>
            </a:ext>
          </a:extLst>
        </xdr:cNvPr>
        <xdr:cNvSpPr>
          <a:spLocks noChangeAspect="1"/>
        </xdr:cNvSpPr>
      </xdr:nvSpPr>
      <xdr:spPr>
        <a:xfrm>
          <a:off x="57412799" y="85608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43</xdr:row>
      <xdr:rowOff>75750</xdr:rowOff>
    </xdr:from>
    <xdr:to>
      <xdr:col>83</xdr:col>
      <xdr:colOff>203399</xdr:colOff>
      <xdr:row>48</xdr:row>
      <xdr:rowOff>136501</xdr:rowOff>
    </xdr:to>
    <xdr:sp macro="" textlink="">
      <xdr:nvSpPr>
        <xdr:cNvPr id="246136" name="フリーフォーム: 図形 246135">
          <a:extLst>
            <a:ext uri="{FF2B5EF4-FFF2-40B4-BE49-F238E27FC236}">
              <a16:creationId xmlns:a16="http://schemas.microsoft.com/office/drawing/2014/main" id="{5ECC1939-5971-47E4-B82A-333E60DFC508}"/>
            </a:ext>
          </a:extLst>
        </xdr:cNvPr>
        <xdr:cNvSpPr>
          <a:spLocks noChangeAspect="1"/>
        </xdr:cNvSpPr>
      </xdr:nvSpPr>
      <xdr:spPr>
        <a:xfrm>
          <a:off x="56836797" y="77148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37</xdr:row>
      <xdr:rowOff>114450</xdr:rowOff>
    </xdr:from>
    <xdr:to>
      <xdr:col>83</xdr:col>
      <xdr:colOff>347403</xdr:colOff>
      <xdr:row>43</xdr:row>
      <xdr:rowOff>21751</xdr:rowOff>
    </xdr:to>
    <xdr:sp macro="" textlink="">
      <xdr:nvSpPr>
        <xdr:cNvPr id="246137" name="フリーフォーム: 図形 246136">
          <a:extLst>
            <a:ext uri="{FF2B5EF4-FFF2-40B4-BE49-F238E27FC236}">
              <a16:creationId xmlns:a16="http://schemas.microsoft.com/office/drawing/2014/main" id="{2C40E303-4EC8-47E4-B465-FF077D09D3E3}"/>
            </a:ext>
          </a:extLst>
        </xdr:cNvPr>
        <xdr:cNvSpPr>
          <a:spLocks noChangeAspect="1"/>
        </xdr:cNvSpPr>
      </xdr:nvSpPr>
      <xdr:spPr>
        <a:xfrm>
          <a:off x="57016799" y="67248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42</xdr:row>
      <xdr:rowOff>139200</xdr:rowOff>
    </xdr:from>
    <xdr:to>
      <xdr:col>83</xdr:col>
      <xdr:colOff>617402</xdr:colOff>
      <xdr:row>43</xdr:row>
      <xdr:rowOff>111751</xdr:rowOff>
    </xdr:to>
    <xdr:sp macro="" textlink="">
      <xdr:nvSpPr>
        <xdr:cNvPr id="246138" name="フリーフォーム: 図形 246137">
          <a:extLst>
            <a:ext uri="{FF2B5EF4-FFF2-40B4-BE49-F238E27FC236}">
              <a16:creationId xmlns:a16="http://schemas.microsoft.com/office/drawing/2014/main" id="{28CC20C9-FCCC-4C0B-8278-048F2ED680EC}"/>
            </a:ext>
          </a:extLst>
        </xdr:cNvPr>
        <xdr:cNvSpPr>
          <a:spLocks noChangeAspect="1"/>
        </xdr:cNvSpPr>
      </xdr:nvSpPr>
      <xdr:spPr>
        <a:xfrm>
          <a:off x="57088801" y="76068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42</xdr:row>
      <xdr:rowOff>139200</xdr:rowOff>
    </xdr:from>
    <xdr:to>
      <xdr:col>84</xdr:col>
      <xdr:colOff>435602</xdr:colOff>
      <xdr:row>43</xdr:row>
      <xdr:rowOff>111751</xdr:rowOff>
    </xdr:to>
    <xdr:sp macro="" textlink="">
      <xdr:nvSpPr>
        <xdr:cNvPr id="246139" name="フリーフォーム: 図形 246138">
          <a:extLst>
            <a:ext uri="{FF2B5EF4-FFF2-40B4-BE49-F238E27FC236}">
              <a16:creationId xmlns:a16="http://schemas.microsoft.com/office/drawing/2014/main" id="{269BF5B2-266B-4C3A-A0DF-E184B762A054}"/>
            </a:ext>
          </a:extLst>
        </xdr:cNvPr>
        <xdr:cNvSpPr>
          <a:spLocks noChangeAspect="1"/>
        </xdr:cNvSpPr>
      </xdr:nvSpPr>
      <xdr:spPr>
        <a:xfrm>
          <a:off x="57592801" y="76068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38</xdr:row>
      <xdr:rowOff>51000</xdr:rowOff>
    </xdr:from>
    <xdr:to>
      <xdr:col>83</xdr:col>
      <xdr:colOff>635404</xdr:colOff>
      <xdr:row>43</xdr:row>
      <xdr:rowOff>3751</xdr:rowOff>
    </xdr:to>
    <xdr:sp macro="" textlink="">
      <xdr:nvSpPr>
        <xdr:cNvPr id="246140" name="フリーフォーム: 図形 246139">
          <a:extLst>
            <a:ext uri="{FF2B5EF4-FFF2-40B4-BE49-F238E27FC236}">
              <a16:creationId xmlns:a16="http://schemas.microsoft.com/office/drawing/2014/main" id="{748819CC-966C-49A0-8D87-A52407373D95}"/>
            </a:ext>
          </a:extLst>
        </xdr:cNvPr>
        <xdr:cNvSpPr>
          <a:spLocks noChangeAspect="1"/>
        </xdr:cNvSpPr>
      </xdr:nvSpPr>
      <xdr:spPr>
        <a:xfrm>
          <a:off x="57286798" y="68328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37</xdr:row>
      <xdr:rowOff>114450</xdr:rowOff>
    </xdr:from>
    <xdr:to>
      <xdr:col>84</xdr:col>
      <xdr:colOff>201601</xdr:colOff>
      <xdr:row>42</xdr:row>
      <xdr:rowOff>157201</xdr:rowOff>
    </xdr:to>
    <xdr:sp macro="" textlink="">
      <xdr:nvSpPr>
        <xdr:cNvPr id="246141" name="フリーフォーム: 図形 246140">
          <a:extLst>
            <a:ext uri="{FF2B5EF4-FFF2-40B4-BE49-F238E27FC236}">
              <a16:creationId xmlns:a16="http://schemas.microsoft.com/office/drawing/2014/main" id="{3B04C3AB-9AC5-485B-9B72-04E74AFC28C3}"/>
            </a:ext>
          </a:extLst>
        </xdr:cNvPr>
        <xdr:cNvSpPr>
          <a:spLocks noChangeAspect="1"/>
        </xdr:cNvSpPr>
      </xdr:nvSpPr>
      <xdr:spPr>
        <a:xfrm>
          <a:off x="57556803" y="67248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38</xdr:row>
      <xdr:rowOff>69000</xdr:rowOff>
    </xdr:from>
    <xdr:to>
      <xdr:col>84</xdr:col>
      <xdr:colOff>525600</xdr:colOff>
      <xdr:row>43</xdr:row>
      <xdr:rowOff>3751</xdr:rowOff>
    </xdr:to>
    <xdr:sp macro="" textlink="">
      <xdr:nvSpPr>
        <xdr:cNvPr id="246142" name="フリーフォーム: 図形 246141">
          <a:extLst>
            <a:ext uri="{FF2B5EF4-FFF2-40B4-BE49-F238E27FC236}">
              <a16:creationId xmlns:a16="http://schemas.microsoft.com/office/drawing/2014/main" id="{093CBA32-15BA-490E-A573-A9A9E5BBDB7E}"/>
            </a:ext>
          </a:extLst>
        </xdr:cNvPr>
        <xdr:cNvSpPr>
          <a:spLocks noChangeAspect="1"/>
        </xdr:cNvSpPr>
      </xdr:nvSpPr>
      <xdr:spPr>
        <a:xfrm>
          <a:off x="57610803" y="68508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43</xdr:row>
      <xdr:rowOff>75750</xdr:rowOff>
    </xdr:from>
    <xdr:to>
      <xdr:col>84</xdr:col>
      <xdr:colOff>237599</xdr:colOff>
      <xdr:row>47</xdr:row>
      <xdr:rowOff>163951</xdr:rowOff>
    </xdr:to>
    <xdr:sp macro="" textlink="">
      <xdr:nvSpPr>
        <xdr:cNvPr id="246143" name="フリーフォーム: 図形 246142">
          <a:extLst>
            <a:ext uri="{FF2B5EF4-FFF2-40B4-BE49-F238E27FC236}">
              <a16:creationId xmlns:a16="http://schemas.microsoft.com/office/drawing/2014/main" id="{0DFE509D-FF62-4E49-83E8-5E042E41CBFF}"/>
            </a:ext>
          </a:extLst>
        </xdr:cNvPr>
        <xdr:cNvSpPr>
          <a:spLocks noChangeAspect="1"/>
        </xdr:cNvSpPr>
      </xdr:nvSpPr>
      <xdr:spPr>
        <a:xfrm>
          <a:off x="57574799" y="77148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43</xdr:row>
      <xdr:rowOff>93750</xdr:rowOff>
    </xdr:from>
    <xdr:to>
      <xdr:col>83</xdr:col>
      <xdr:colOff>653400</xdr:colOff>
      <xdr:row>48</xdr:row>
      <xdr:rowOff>118501</xdr:rowOff>
    </xdr:to>
    <xdr:sp macro="" textlink="">
      <xdr:nvSpPr>
        <xdr:cNvPr id="246144" name="フリーフォーム: 図形 246143">
          <a:extLst>
            <a:ext uri="{FF2B5EF4-FFF2-40B4-BE49-F238E27FC236}">
              <a16:creationId xmlns:a16="http://schemas.microsoft.com/office/drawing/2014/main" id="{92A62C3B-3A5B-42E0-BBB3-8A787B057666}"/>
            </a:ext>
          </a:extLst>
        </xdr:cNvPr>
        <xdr:cNvSpPr>
          <a:spLocks noChangeAspect="1"/>
        </xdr:cNvSpPr>
      </xdr:nvSpPr>
      <xdr:spPr>
        <a:xfrm>
          <a:off x="57340798" y="77328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43</xdr:row>
      <xdr:rowOff>75750</xdr:rowOff>
    </xdr:from>
    <xdr:to>
      <xdr:col>83</xdr:col>
      <xdr:colOff>617402</xdr:colOff>
      <xdr:row>48</xdr:row>
      <xdr:rowOff>10501</xdr:rowOff>
    </xdr:to>
    <xdr:sp macro="" textlink="">
      <xdr:nvSpPr>
        <xdr:cNvPr id="246145" name="フリーフォーム: 図形 246144">
          <a:extLst>
            <a:ext uri="{FF2B5EF4-FFF2-40B4-BE49-F238E27FC236}">
              <a16:creationId xmlns:a16="http://schemas.microsoft.com/office/drawing/2014/main" id="{7401CDFD-71C9-4A31-BAF0-1505D47A9BE5}"/>
            </a:ext>
          </a:extLst>
        </xdr:cNvPr>
        <xdr:cNvSpPr>
          <a:spLocks noChangeAspect="1"/>
        </xdr:cNvSpPr>
      </xdr:nvSpPr>
      <xdr:spPr>
        <a:xfrm>
          <a:off x="57016799" y="77148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53</xdr:row>
      <xdr:rowOff>42450</xdr:rowOff>
    </xdr:from>
    <xdr:to>
      <xdr:col>1</xdr:col>
      <xdr:colOff>322201</xdr:colOff>
      <xdr:row>54</xdr:row>
      <xdr:rowOff>15001</xdr:rowOff>
    </xdr:to>
    <xdr:sp macro="" textlink="">
      <xdr:nvSpPr>
        <xdr:cNvPr id="246146" name="フリーフォーム: 図形 246145">
          <a:extLst>
            <a:ext uri="{FF2B5EF4-FFF2-40B4-BE49-F238E27FC236}">
              <a16:creationId xmlns:a16="http://schemas.microsoft.com/office/drawing/2014/main" id="{A2D96855-2E2D-44D3-B88E-9AA2912B36D6}"/>
            </a:ext>
          </a:extLst>
        </xdr:cNvPr>
        <xdr:cNvSpPr>
          <a:spLocks noChangeAspect="1"/>
        </xdr:cNvSpPr>
      </xdr:nvSpPr>
      <xdr:spPr>
        <a:xfrm>
          <a:off x="5400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53</xdr:row>
      <xdr:rowOff>42450</xdr:rowOff>
    </xdr:from>
    <xdr:to>
      <xdr:col>2</xdr:col>
      <xdr:colOff>176401</xdr:colOff>
      <xdr:row>54</xdr:row>
      <xdr:rowOff>15001</xdr:rowOff>
    </xdr:to>
    <xdr:sp macro="" textlink="">
      <xdr:nvSpPr>
        <xdr:cNvPr id="246147" name="フリーフォーム: 図形 246146">
          <a:extLst>
            <a:ext uri="{FF2B5EF4-FFF2-40B4-BE49-F238E27FC236}">
              <a16:creationId xmlns:a16="http://schemas.microsoft.com/office/drawing/2014/main" id="{B7630082-A0E0-4B76-8D6F-5B5510A1BE3E}"/>
            </a:ext>
          </a:extLst>
        </xdr:cNvPr>
        <xdr:cNvSpPr>
          <a:spLocks noChangeAspect="1"/>
        </xdr:cNvSpPr>
      </xdr:nvSpPr>
      <xdr:spPr>
        <a:xfrm>
          <a:off x="10800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53</xdr:row>
      <xdr:rowOff>114450</xdr:rowOff>
    </xdr:from>
    <xdr:to>
      <xdr:col>2</xdr:col>
      <xdr:colOff>248401</xdr:colOff>
      <xdr:row>59</xdr:row>
      <xdr:rowOff>21751</xdr:rowOff>
    </xdr:to>
    <xdr:sp macro="" textlink="">
      <xdr:nvSpPr>
        <xdr:cNvPr id="246148" name="フリーフォーム: 図形 246147">
          <a:extLst>
            <a:ext uri="{FF2B5EF4-FFF2-40B4-BE49-F238E27FC236}">
              <a16:creationId xmlns:a16="http://schemas.microsoft.com/office/drawing/2014/main" id="{0AA701C3-598A-4DED-9832-997912B36034}"/>
            </a:ext>
          </a:extLst>
        </xdr:cNvPr>
        <xdr:cNvSpPr>
          <a:spLocks noChangeAspect="1"/>
        </xdr:cNvSpPr>
      </xdr:nvSpPr>
      <xdr:spPr>
        <a:xfrm>
          <a:off x="13320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59</xdr:row>
      <xdr:rowOff>75750</xdr:rowOff>
    </xdr:from>
    <xdr:to>
      <xdr:col>2</xdr:col>
      <xdr:colOff>68401</xdr:colOff>
      <xdr:row>64</xdr:row>
      <xdr:rowOff>136501</xdr:rowOff>
    </xdr:to>
    <xdr:sp macro="" textlink="">
      <xdr:nvSpPr>
        <xdr:cNvPr id="246149" name="フリーフォーム: 図形 246148">
          <a:extLst>
            <a:ext uri="{FF2B5EF4-FFF2-40B4-BE49-F238E27FC236}">
              <a16:creationId xmlns:a16="http://schemas.microsoft.com/office/drawing/2014/main" id="{5F82C41C-6D27-43AD-9BE1-589522502DF9}"/>
            </a:ext>
          </a:extLst>
        </xdr:cNvPr>
        <xdr:cNvSpPr>
          <a:spLocks noChangeAspect="1"/>
        </xdr:cNvSpPr>
      </xdr:nvSpPr>
      <xdr:spPr>
        <a:xfrm>
          <a:off x="11520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64</xdr:row>
      <xdr:rowOff>64500</xdr:rowOff>
    </xdr:from>
    <xdr:to>
      <xdr:col>0</xdr:col>
      <xdr:colOff>684001</xdr:colOff>
      <xdr:row>65</xdr:row>
      <xdr:rowOff>37051</xdr:rowOff>
    </xdr:to>
    <xdr:sp macro="" textlink="">
      <xdr:nvSpPr>
        <xdr:cNvPr id="246150" name="フリーフォーム: 図形 246149">
          <a:extLst>
            <a:ext uri="{FF2B5EF4-FFF2-40B4-BE49-F238E27FC236}">
              <a16:creationId xmlns:a16="http://schemas.microsoft.com/office/drawing/2014/main" id="{93E40024-5DF0-45E1-9F2E-0B6A12562D16}"/>
            </a:ext>
          </a:extLst>
        </xdr:cNvPr>
        <xdr:cNvSpPr>
          <a:spLocks noChangeAspect="1"/>
        </xdr:cNvSpPr>
      </xdr:nvSpPr>
      <xdr:spPr>
        <a:xfrm>
          <a:off x="1980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64</xdr:row>
      <xdr:rowOff>64500</xdr:rowOff>
    </xdr:from>
    <xdr:to>
      <xdr:col>1</xdr:col>
      <xdr:colOff>502201</xdr:colOff>
      <xdr:row>65</xdr:row>
      <xdr:rowOff>37051</xdr:rowOff>
    </xdr:to>
    <xdr:sp macro="" textlink="">
      <xdr:nvSpPr>
        <xdr:cNvPr id="246151" name="フリーフォーム: 図形 246150">
          <a:extLst>
            <a:ext uri="{FF2B5EF4-FFF2-40B4-BE49-F238E27FC236}">
              <a16:creationId xmlns:a16="http://schemas.microsoft.com/office/drawing/2014/main" id="{66A6BDFF-5227-4A25-B689-942FEB18E172}"/>
            </a:ext>
          </a:extLst>
        </xdr:cNvPr>
        <xdr:cNvSpPr>
          <a:spLocks noChangeAspect="1"/>
        </xdr:cNvSpPr>
      </xdr:nvSpPr>
      <xdr:spPr>
        <a:xfrm>
          <a:off x="7200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59</xdr:row>
      <xdr:rowOff>75750</xdr:rowOff>
    </xdr:from>
    <xdr:to>
      <xdr:col>0</xdr:col>
      <xdr:colOff>432001</xdr:colOff>
      <xdr:row>64</xdr:row>
      <xdr:rowOff>136501</xdr:rowOff>
    </xdr:to>
    <xdr:sp macro="" textlink="">
      <xdr:nvSpPr>
        <xdr:cNvPr id="246152" name="フリーフォーム: 図形 246151">
          <a:extLst>
            <a:ext uri="{FF2B5EF4-FFF2-40B4-BE49-F238E27FC236}">
              <a16:creationId xmlns:a16="http://schemas.microsoft.com/office/drawing/2014/main" id="{3D674FC8-22AB-4DD9-94A1-D9C9001E6A01}"/>
            </a:ext>
          </a:extLst>
        </xdr:cNvPr>
        <xdr:cNvSpPr>
          <a:spLocks noChangeAspect="1"/>
        </xdr:cNvSpPr>
      </xdr:nvSpPr>
      <xdr:spPr>
        <a:xfrm>
          <a:off x="1440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53</xdr:row>
      <xdr:rowOff>114450</xdr:rowOff>
    </xdr:from>
    <xdr:to>
      <xdr:col>0</xdr:col>
      <xdr:colOff>576001</xdr:colOff>
      <xdr:row>59</xdr:row>
      <xdr:rowOff>21751</xdr:rowOff>
    </xdr:to>
    <xdr:sp macro="" textlink="">
      <xdr:nvSpPr>
        <xdr:cNvPr id="246153" name="フリーフォーム: 図形 246152">
          <a:extLst>
            <a:ext uri="{FF2B5EF4-FFF2-40B4-BE49-F238E27FC236}">
              <a16:creationId xmlns:a16="http://schemas.microsoft.com/office/drawing/2014/main" id="{1012B2F5-67E1-40FE-B690-845E1DABBE9F}"/>
            </a:ext>
          </a:extLst>
        </xdr:cNvPr>
        <xdr:cNvSpPr>
          <a:spLocks noChangeAspect="1"/>
        </xdr:cNvSpPr>
      </xdr:nvSpPr>
      <xdr:spPr>
        <a:xfrm>
          <a:off x="3240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58</xdr:row>
      <xdr:rowOff>139200</xdr:rowOff>
    </xdr:from>
    <xdr:to>
      <xdr:col>1</xdr:col>
      <xdr:colOff>160201</xdr:colOff>
      <xdr:row>59</xdr:row>
      <xdr:rowOff>111751</xdr:rowOff>
    </xdr:to>
    <xdr:sp macro="" textlink="">
      <xdr:nvSpPr>
        <xdr:cNvPr id="246154" name="フリーフォーム: 図形 246153">
          <a:extLst>
            <a:ext uri="{FF2B5EF4-FFF2-40B4-BE49-F238E27FC236}">
              <a16:creationId xmlns:a16="http://schemas.microsoft.com/office/drawing/2014/main" id="{451BAB01-7533-45FF-8A40-D71209BE06B9}"/>
            </a:ext>
          </a:extLst>
        </xdr:cNvPr>
        <xdr:cNvSpPr>
          <a:spLocks noChangeAspect="1"/>
        </xdr:cNvSpPr>
      </xdr:nvSpPr>
      <xdr:spPr>
        <a:xfrm>
          <a:off x="3960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58</xdr:row>
      <xdr:rowOff>139200</xdr:rowOff>
    </xdr:from>
    <xdr:to>
      <xdr:col>1</xdr:col>
      <xdr:colOff>664201</xdr:colOff>
      <xdr:row>59</xdr:row>
      <xdr:rowOff>111751</xdr:rowOff>
    </xdr:to>
    <xdr:sp macro="" textlink="">
      <xdr:nvSpPr>
        <xdr:cNvPr id="246155" name="フリーフォーム: 図形 246154">
          <a:extLst>
            <a:ext uri="{FF2B5EF4-FFF2-40B4-BE49-F238E27FC236}">
              <a16:creationId xmlns:a16="http://schemas.microsoft.com/office/drawing/2014/main" id="{E0583D69-A25B-4BB8-B001-95020ABA24CD}"/>
            </a:ext>
          </a:extLst>
        </xdr:cNvPr>
        <xdr:cNvSpPr>
          <a:spLocks noChangeAspect="1"/>
        </xdr:cNvSpPr>
      </xdr:nvSpPr>
      <xdr:spPr>
        <a:xfrm>
          <a:off x="9000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54</xdr:row>
      <xdr:rowOff>51000</xdr:rowOff>
    </xdr:from>
    <xdr:to>
      <xdr:col>1</xdr:col>
      <xdr:colOff>178201</xdr:colOff>
      <xdr:row>59</xdr:row>
      <xdr:rowOff>3751</xdr:rowOff>
    </xdr:to>
    <xdr:sp macro="" textlink="">
      <xdr:nvSpPr>
        <xdr:cNvPr id="246156" name="フリーフォーム: 図形 246155">
          <a:extLst>
            <a:ext uri="{FF2B5EF4-FFF2-40B4-BE49-F238E27FC236}">
              <a16:creationId xmlns:a16="http://schemas.microsoft.com/office/drawing/2014/main" id="{3D54F410-16A1-47E1-84DB-7E39FB4A7905}"/>
            </a:ext>
          </a:extLst>
        </xdr:cNvPr>
        <xdr:cNvSpPr>
          <a:spLocks noChangeAspect="1"/>
        </xdr:cNvSpPr>
      </xdr:nvSpPr>
      <xdr:spPr>
        <a:xfrm>
          <a:off x="5940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53</xdr:row>
      <xdr:rowOff>114450</xdr:rowOff>
    </xdr:from>
    <xdr:to>
      <xdr:col>1</xdr:col>
      <xdr:colOff>430201</xdr:colOff>
      <xdr:row>58</xdr:row>
      <xdr:rowOff>157201</xdr:rowOff>
    </xdr:to>
    <xdr:sp macro="" textlink="">
      <xdr:nvSpPr>
        <xdr:cNvPr id="246157" name="フリーフォーム: 図形 246156">
          <a:extLst>
            <a:ext uri="{FF2B5EF4-FFF2-40B4-BE49-F238E27FC236}">
              <a16:creationId xmlns:a16="http://schemas.microsoft.com/office/drawing/2014/main" id="{0AF46A38-4E76-4167-86A0-309A4F67955A}"/>
            </a:ext>
          </a:extLst>
        </xdr:cNvPr>
        <xdr:cNvSpPr>
          <a:spLocks noChangeAspect="1"/>
        </xdr:cNvSpPr>
      </xdr:nvSpPr>
      <xdr:spPr>
        <a:xfrm>
          <a:off x="8640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54</xdr:row>
      <xdr:rowOff>69000</xdr:rowOff>
    </xdr:from>
    <xdr:to>
      <xdr:col>2</xdr:col>
      <xdr:colOff>68401</xdr:colOff>
      <xdr:row>59</xdr:row>
      <xdr:rowOff>3751</xdr:rowOff>
    </xdr:to>
    <xdr:sp macro="" textlink="">
      <xdr:nvSpPr>
        <xdr:cNvPr id="246158" name="フリーフォーム: 図形 246157">
          <a:extLst>
            <a:ext uri="{FF2B5EF4-FFF2-40B4-BE49-F238E27FC236}">
              <a16:creationId xmlns:a16="http://schemas.microsoft.com/office/drawing/2014/main" id="{10A7AAF4-D882-4054-9766-3610E919038B}"/>
            </a:ext>
          </a:extLst>
        </xdr:cNvPr>
        <xdr:cNvSpPr>
          <a:spLocks noChangeAspect="1"/>
        </xdr:cNvSpPr>
      </xdr:nvSpPr>
      <xdr:spPr>
        <a:xfrm>
          <a:off x="9180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59</xdr:row>
      <xdr:rowOff>75750</xdr:rowOff>
    </xdr:from>
    <xdr:to>
      <xdr:col>1</xdr:col>
      <xdr:colOff>466201</xdr:colOff>
      <xdr:row>63</xdr:row>
      <xdr:rowOff>163951</xdr:rowOff>
    </xdr:to>
    <xdr:sp macro="" textlink="">
      <xdr:nvSpPr>
        <xdr:cNvPr id="246159" name="フリーフォーム: 図形 246158">
          <a:extLst>
            <a:ext uri="{FF2B5EF4-FFF2-40B4-BE49-F238E27FC236}">
              <a16:creationId xmlns:a16="http://schemas.microsoft.com/office/drawing/2014/main" id="{B455BCF4-AFDE-4AFF-AB2C-E82A2301B7BD}"/>
            </a:ext>
          </a:extLst>
        </xdr:cNvPr>
        <xdr:cNvSpPr>
          <a:spLocks noChangeAspect="1"/>
        </xdr:cNvSpPr>
      </xdr:nvSpPr>
      <xdr:spPr>
        <a:xfrm>
          <a:off x="8820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59</xdr:row>
      <xdr:rowOff>93750</xdr:rowOff>
    </xdr:from>
    <xdr:to>
      <xdr:col>1</xdr:col>
      <xdr:colOff>196201</xdr:colOff>
      <xdr:row>64</xdr:row>
      <xdr:rowOff>118501</xdr:rowOff>
    </xdr:to>
    <xdr:sp macro="" textlink="">
      <xdr:nvSpPr>
        <xdr:cNvPr id="246160" name="フリーフォーム: 図形 246159">
          <a:extLst>
            <a:ext uri="{FF2B5EF4-FFF2-40B4-BE49-F238E27FC236}">
              <a16:creationId xmlns:a16="http://schemas.microsoft.com/office/drawing/2014/main" id="{ACA6B66F-4E52-431F-8F76-B92C3D837201}"/>
            </a:ext>
          </a:extLst>
        </xdr:cNvPr>
        <xdr:cNvSpPr>
          <a:spLocks noChangeAspect="1"/>
        </xdr:cNvSpPr>
      </xdr:nvSpPr>
      <xdr:spPr>
        <a:xfrm>
          <a:off x="6480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59</xdr:row>
      <xdr:rowOff>75750</xdr:rowOff>
    </xdr:from>
    <xdr:to>
      <xdr:col>1</xdr:col>
      <xdr:colOff>160201</xdr:colOff>
      <xdr:row>64</xdr:row>
      <xdr:rowOff>10501</xdr:rowOff>
    </xdr:to>
    <xdr:sp macro="" textlink="">
      <xdr:nvSpPr>
        <xdr:cNvPr id="246161" name="フリーフォーム: 図形 246160">
          <a:extLst>
            <a:ext uri="{FF2B5EF4-FFF2-40B4-BE49-F238E27FC236}">
              <a16:creationId xmlns:a16="http://schemas.microsoft.com/office/drawing/2014/main" id="{EEF2E576-99E3-4CF1-9CAC-16E5F50F572C}"/>
            </a:ext>
          </a:extLst>
        </xdr:cNvPr>
        <xdr:cNvSpPr>
          <a:spLocks noChangeAspect="1"/>
        </xdr:cNvSpPr>
      </xdr:nvSpPr>
      <xdr:spPr>
        <a:xfrm>
          <a:off x="3240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53</xdr:row>
      <xdr:rowOff>42450</xdr:rowOff>
    </xdr:from>
    <xdr:to>
      <xdr:col>4</xdr:col>
      <xdr:colOff>93601</xdr:colOff>
      <xdr:row>54</xdr:row>
      <xdr:rowOff>15001</xdr:rowOff>
    </xdr:to>
    <xdr:sp macro="" textlink="">
      <xdr:nvSpPr>
        <xdr:cNvPr id="246162" name="フリーフォーム: 図形 246161">
          <a:extLst>
            <a:ext uri="{FF2B5EF4-FFF2-40B4-BE49-F238E27FC236}">
              <a16:creationId xmlns:a16="http://schemas.microsoft.com/office/drawing/2014/main" id="{3C4F180A-AD58-4B30-9931-FB4F54BC75A8}"/>
            </a:ext>
          </a:extLst>
        </xdr:cNvPr>
        <xdr:cNvSpPr>
          <a:spLocks noChangeAspect="1"/>
        </xdr:cNvSpPr>
      </xdr:nvSpPr>
      <xdr:spPr>
        <a:xfrm>
          <a:off x="23688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53</xdr:row>
      <xdr:rowOff>42450</xdr:rowOff>
    </xdr:from>
    <xdr:to>
      <xdr:col>4</xdr:col>
      <xdr:colOff>633601</xdr:colOff>
      <xdr:row>54</xdr:row>
      <xdr:rowOff>15001</xdr:rowOff>
    </xdr:to>
    <xdr:sp macro="" textlink="">
      <xdr:nvSpPr>
        <xdr:cNvPr id="246163" name="フリーフォーム: 図形 246162">
          <a:extLst>
            <a:ext uri="{FF2B5EF4-FFF2-40B4-BE49-F238E27FC236}">
              <a16:creationId xmlns:a16="http://schemas.microsoft.com/office/drawing/2014/main" id="{CFCD4A1F-228A-4E19-8E92-A9FD6D20B7DF}"/>
            </a:ext>
          </a:extLst>
        </xdr:cNvPr>
        <xdr:cNvSpPr>
          <a:spLocks noChangeAspect="1"/>
        </xdr:cNvSpPr>
      </xdr:nvSpPr>
      <xdr:spPr>
        <a:xfrm>
          <a:off x="29088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53</xdr:row>
      <xdr:rowOff>114450</xdr:rowOff>
    </xdr:from>
    <xdr:to>
      <xdr:col>5</xdr:col>
      <xdr:colOff>19801</xdr:colOff>
      <xdr:row>59</xdr:row>
      <xdr:rowOff>21751</xdr:rowOff>
    </xdr:to>
    <xdr:sp macro="" textlink="">
      <xdr:nvSpPr>
        <xdr:cNvPr id="246164" name="フリーフォーム: 図形 246163">
          <a:extLst>
            <a:ext uri="{FF2B5EF4-FFF2-40B4-BE49-F238E27FC236}">
              <a16:creationId xmlns:a16="http://schemas.microsoft.com/office/drawing/2014/main" id="{B0FC1CAC-911E-47E4-910B-324D5836E9B7}"/>
            </a:ext>
          </a:extLst>
        </xdr:cNvPr>
        <xdr:cNvSpPr>
          <a:spLocks noChangeAspect="1"/>
        </xdr:cNvSpPr>
      </xdr:nvSpPr>
      <xdr:spPr>
        <a:xfrm>
          <a:off x="31608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59</xdr:row>
      <xdr:rowOff>75750</xdr:rowOff>
    </xdr:from>
    <xdr:to>
      <xdr:col>4</xdr:col>
      <xdr:colOff>525601</xdr:colOff>
      <xdr:row>64</xdr:row>
      <xdr:rowOff>136501</xdr:rowOff>
    </xdr:to>
    <xdr:sp macro="" textlink="">
      <xdr:nvSpPr>
        <xdr:cNvPr id="246165" name="フリーフォーム: 図形 246164">
          <a:extLst>
            <a:ext uri="{FF2B5EF4-FFF2-40B4-BE49-F238E27FC236}">
              <a16:creationId xmlns:a16="http://schemas.microsoft.com/office/drawing/2014/main" id="{E70397DE-56CA-4AB9-A119-AA4DACE5E06B}"/>
            </a:ext>
          </a:extLst>
        </xdr:cNvPr>
        <xdr:cNvSpPr>
          <a:spLocks noChangeAspect="1"/>
        </xdr:cNvSpPr>
      </xdr:nvSpPr>
      <xdr:spPr>
        <a:xfrm>
          <a:off x="29808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64</xdr:row>
      <xdr:rowOff>64500</xdr:rowOff>
    </xdr:from>
    <xdr:to>
      <xdr:col>3</xdr:col>
      <xdr:colOff>455401</xdr:colOff>
      <xdr:row>65</xdr:row>
      <xdr:rowOff>37051</xdr:rowOff>
    </xdr:to>
    <xdr:sp macro="" textlink="">
      <xdr:nvSpPr>
        <xdr:cNvPr id="246166" name="フリーフォーム: 図形 246165">
          <a:extLst>
            <a:ext uri="{FF2B5EF4-FFF2-40B4-BE49-F238E27FC236}">
              <a16:creationId xmlns:a16="http://schemas.microsoft.com/office/drawing/2014/main" id="{E00E5368-05AE-4BC9-B60F-CF2F50A81B38}"/>
            </a:ext>
          </a:extLst>
        </xdr:cNvPr>
        <xdr:cNvSpPr>
          <a:spLocks noChangeAspect="1"/>
        </xdr:cNvSpPr>
      </xdr:nvSpPr>
      <xdr:spPr>
        <a:xfrm>
          <a:off x="20268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64</xdr:row>
      <xdr:rowOff>64500</xdr:rowOff>
    </xdr:from>
    <xdr:to>
      <xdr:col>4</xdr:col>
      <xdr:colOff>273601</xdr:colOff>
      <xdr:row>65</xdr:row>
      <xdr:rowOff>37051</xdr:rowOff>
    </xdr:to>
    <xdr:sp macro="" textlink="">
      <xdr:nvSpPr>
        <xdr:cNvPr id="246167" name="フリーフォーム: 図形 246166">
          <a:extLst>
            <a:ext uri="{FF2B5EF4-FFF2-40B4-BE49-F238E27FC236}">
              <a16:creationId xmlns:a16="http://schemas.microsoft.com/office/drawing/2014/main" id="{B14AEF11-7181-4225-BF7F-9EEC66C2B510}"/>
            </a:ext>
          </a:extLst>
        </xdr:cNvPr>
        <xdr:cNvSpPr>
          <a:spLocks noChangeAspect="1"/>
        </xdr:cNvSpPr>
      </xdr:nvSpPr>
      <xdr:spPr>
        <a:xfrm>
          <a:off x="25488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59</xdr:row>
      <xdr:rowOff>75750</xdr:rowOff>
    </xdr:from>
    <xdr:to>
      <xdr:col>3</xdr:col>
      <xdr:colOff>203401</xdr:colOff>
      <xdr:row>64</xdr:row>
      <xdr:rowOff>136501</xdr:rowOff>
    </xdr:to>
    <xdr:sp macro="" textlink="">
      <xdr:nvSpPr>
        <xdr:cNvPr id="246168" name="フリーフォーム: 図形 246167">
          <a:extLst>
            <a:ext uri="{FF2B5EF4-FFF2-40B4-BE49-F238E27FC236}">
              <a16:creationId xmlns:a16="http://schemas.microsoft.com/office/drawing/2014/main" id="{B56033FD-C15D-4FA0-9995-5AFD9114EB1D}"/>
            </a:ext>
          </a:extLst>
        </xdr:cNvPr>
        <xdr:cNvSpPr>
          <a:spLocks noChangeAspect="1"/>
        </xdr:cNvSpPr>
      </xdr:nvSpPr>
      <xdr:spPr>
        <a:xfrm>
          <a:off x="19728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53</xdr:row>
      <xdr:rowOff>114450</xdr:rowOff>
    </xdr:from>
    <xdr:to>
      <xdr:col>3</xdr:col>
      <xdr:colOff>347401</xdr:colOff>
      <xdr:row>59</xdr:row>
      <xdr:rowOff>21751</xdr:rowOff>
    </xdr:to>
    <xdr:sp macro="" textlink="">
      <xdr:nvSpPr>
        <xdr:cNvPr id="246169" name="フリーフォーム: 図形 246168">
          <a:extLst>
            <a:ext uri="{FF2B5EF4-FFF2-40B4-BE49-F238E27FC236}">
              <a16:creationId xmlns:a16="http://schemas.microsoft.com/office/drawing/2014/main" id="{D24FD49B-C794-4B81-80C4-3BFD3D412A05}"/>
            </a:ext>
          </a:extLst>
        </xdr:cNvPr>
        <xdr:cNvSpPr>
          <a:spLocks noChangeAspect="1"/>
        </xdr:cNvSpPr>
      </xdr:nvSpPr>
      <xdr:spPr>
        <a:xfrm>
          <a:off x="21528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58</xdr:row>
      <xdr:rowOff>139200</xdr:rowOff>
    </xdr:from>
    <xdr:to>
      <xdr:col>3</xdr:col>
      <xdr:colOff>617401</xdr:colOff>
      <xdr:row>59</xdr:row>
      <xdr:rowOff>111751</xdr:rowOff>
    </xdr:to>
    <xdr:sp macro="" textlink="">
      <xdr:nvSpPr>
        <xdr:cNvPr id="246170" name="フリーフォーム: 図形 246169">
          <a:extLst>
            <a:ext uri="{FF2B5EF4-FFF2-40B4-BE49-F238E27FC236}">
              <a16:creationId xmlns:a16="http://schemas.microsoft.com/office/drawing/2014/main" id="{B98B53C8-7347-4CA0-B4D8-9D932FC7A4A2}"/>
            </a:ext>
          </a:extLst>
        </xdr:cNvPr>
        <xdr:cNvSpPr>
          <a:spLocks noChangeAspect="1"/>
        </xdr:cNvSpPr>
      </xdr:nvSpPr>
      <xdr:spPr>
        <a:xfrm>
          <a:off x="22248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58</xdr:row>
      <xdr:rowOff>139200</xdr:rowOff>
    </xdr:from>
    <xdr:to>
      <xdr:col>4</xdr:col>
      <xdr:colOff>435601</xdr:colOff>
      <xdr:row>59</xdr:row>
      <xdr:rowOff>111751</xdr:rowOff>
    </xdr:to>
    <xdr:sp macro="" textlink="">
      <xdr:nvSpPr>
        <xdr:cNvPr id="246171" name="フリーフォーム: 図形 246170">
          <a:extLst>
            <a:ext uri="{FF2B5EF4-FFF2-40B4-BE49-F238E27FC236}">
              <a16:creationId xmlns:a16="http://schemas.microsoft.com/office/drawing/2014/main" id="{0B21FD57-9882-4C05-B863-0E0E8392EFE3}"/>
            </a:ext>
          </a:extLst>
        </xdr:cNvPr>
        <xdr:cNvSpPr>
          <a:spLocks noChangeAspect="1"/>
        </xdr:cNvSpPr>
      </xdr:nvSpPr>
      <xdr:spPr>
        <a:xfrm>
          <a:off x="27288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54</xdr:row>
      <xdr:rowOff>51000</xdr:rowOff>
    </xdr:from>
    <xdr:to>
      <xdr:col>3</xdr:col>
      <xdr:colOff>635401</xdr:colOff>
      <xdr:row>59</xdr:row>
      <xdr:rowOff>3751</xdr:rowOff>
    </xdr:to>
    <xdr:sp macro="" textlink="">
      <xdr:nvSpPr>
        <xdr:cNvPr id="246172" name="フリーフォーム: 図形 246171">
          <a:extLst>
            <a:ext uri="{FF2B5EF4-FFF2-40B4-BE49-F238E27FC236}">
              <a16:creationId xmlns:a16="http://schemas.microsoft.com/office/drawing/2014/main" id="{9404040C-A580-4BB8-B1CC-FDE4F219FAD5}"/>
            </a:ext>
          </a:extLst>
        </xdr:cNvPr>
        <xdr:cNvSpPr>
          <a:spLocks noChangeAspect="1"/>
        </xdr:cNvSpPr>
      </xdr:nvSpPr>
      <xdr:spPr>
        <a:xfrm>
          <a:off x="24228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53</xdr:row>
      <xdr:rowOff>114450</xdr:rowOff>
    </xdr:from>
    <xdr:to>
      <xdr:col>4</xdr:col>
      <xdr:colOff>201601</xdr:colOff>
      <xdr:row>58</xdr:row>
      <xdr:rowOff>157201</xdr:rowOff>
    </xdr:to>
    <xdr:sp macro="" textlink="">
      <xdr:nvSpPr>
        <xdr:cNvPr id="246173" name="フリーフォーム: 図形 246172">
          <a:extLst>
            <a:ext uri="{FF2B5EF4-FFF2-40B4-BE49-F238E27FC236}">
              <a16:creationId xmlns:a16="http://schemas.microsoft.com/office/drawing/2014/main" id="{0C8316C7-4044-4F03-8C74-0C981CBBF764}"/>
            </a:ext>
          </a:extLst>
        </xdr:cNvPr>
        <xdr:cNvSpPr>
          <a:spLocks noChangeAspect="1"/>
        </xdr:cNvSpPr>
      </xdr:nvSpPr>
      <xdr:spPr>
        <a:xfrm>
          <a:off x="26928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54</xdr:row>
      <xdr:rowOff>69000</xdr:rowOff>
    </xdr:from>
    <xdr:to>
      <xdr:col>4</xdr:col>
      <xdr:colOff>525601</xdr:colOff>
      <xdr:row>59</xdr:row>
      <xdr:rowOff>3751</xdr:rowOff>
    </xdr:to>
    <xdr:sp macro="" textlink="">
      <xdr:nvSpPr>
        <xdr:cNvPr id="246174" name="フリーフォーム: 図形 246173">
          <a:extLst>
            <a:ext uri="{FF2B5EF4-FFF2-40B4-BE49-F238E27FC236}">
              <a16:creationId xmlns:a16="http://schemas.microsoft.com/office/drawing/2014/main" id="{211B46BF-30B1-4BFF-9E36-190A3EB05F5E}"/>
            </a:ext>
          </a:extLst>
        </xdr:cNvPr>
        <xdr:cNvSpPr>
          <a:spLocks noChangeAspect="1"/>
        </xdr:cNvSpPr>
      </xdr:nvSpPr>
      <xdr:spPr>
        <a:xfrm>
          <a:off x="27468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59</xdr:row>
      <xdr:rowOff>75750</xdr:rowOff>
    </xdr:from>
    <xdr:to>
      <xdr:col>4</xdr:col>
      <xdr:colOff>237601</xdr:colOff>
      <xdr:row>63</xdr:row>
      <xdr:rowOff>163951</xdr:rowOff>
    </xdr:to>
    <xdr:sp macro="" textlink="">
      <xdr:nvSpPr>
        <xdr:cNvPr id="246175" name="フリーフォーム: 図形 246174">
          <a:extLst>
            <a:ext uri="{FF2B5EF4-FFF2-40B4-BE49-F238E27FC236}">
              <a16:creationId xmlns:a16="http://schemas.microsoft.com/office/drawing/2014/main" id="{3B94E549-56E3-46B5-A3F3-790CCF711B36}"/>
            </a:ext>
          </a:extLst>
        </xdr:cNvPr>
        <xdr:cNvSpPr>
          <a:spLocks noChangeAspect="1"/>
        </xdr:cNvSpPr>
      </xdr:nvSpPr>
      <xdr:spPr>
        <a:xfrm>
          <a:off x="27108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59</xdr:row>
      <xdr:rowOff>93750</xdr:rowOff>
    </xdr:from>
    <xdr:to>
      <xdr:col>3</xdr:col>
      <xdr:colOff>653401</xdr:colOff>
      <xdr:row>64</xdr:row>
      <xdr:rowOff>118501</xdr:rowOff>
    </xdr:to>
    <xdr:sp macro="" textlink="">
      <xdr:nvSpPr>
        <xdr:cNvPr id="246176" name="フリーフォーム: 図形 246175">
          <a:extLst>
            <a:ext uri="{FF2B5EF4-FFF2-40B4-BE49-F238E27FC236}">
              <a16:creationId xmlns:a16="http://schemas.microsoft.com/office/drawing/2014/main" id="{E9C95A0B-6D71-4884-993C-2AD6CA4B1876}"/>
            </a:ext>
          </a:extLst>
        </xdr:cNvPr>
        <xdr:cNvSpPr>
          <a:spLocks noChangeAspect="1"/>
        </xdr:cNvSpPr>
      </xdr:nvSpPr>
      <xdr:spPr>
        <a:xfrm>
          <a:off x="24768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59</xdr:row>
      <xdr:rowOff>75750</xdr:rowOff>
    </xdr:from>
    <xdr:to>
      <xdr:col>3</xdr:col>
      <xdr:colOff>617401</xdr:colOff>
      <xdr:row>64</xdr:row>
      <xdr:rowOff>10501</xdr:rowOff>
    </xdr:to>
    <xdr:sp macro="" textlink="">
      <xdr:nvSpPr>
        <xdr:cNvPr id="246177" name="フリーフォーム: 図形 246176">
          <a:extLst>
            <a:ext uri="{FF2B5EF4-FFF2-40B4-BE49-F238E27FC236}">
              <a16:creationId xmlns:a16="http://schemas.microsoft.com/office/drawing/2014/main" id="{48400DE7-7A81-4AAD-87C7-DFA19EDF7E25}"/>
            </a:ext>
          </a:extLst>
        </xdr:cNvPr>
        <xdr:cNvSpPr>
          <a:spLocks noChangeAspect="1"/>
        </xdr:cNvSpPr>
      </xdr:nvSpPr>
      <xdr:spPr>
        <a:xfrm>
          <a:off x="21528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53</xdr:row>
      <xdr:rowOff>42450</xdr:rowOff>
    </xdr:from>
    <xdr:to>
      <xdr:col>6</xdr:col>
      <xdr:colOff>550801</xdr:colOff>
      <xdr:row>54</xdr:row>
      <xdr:rowOff>15001</xdr:rowOff>
    </xdr:to>
    <xdr:sp macro="" textlink="">
      <xdr:nvSpPr>
        <xdr:cNvPr id="246178" name="フリーフォーム: 図形 246177">
          <a:extLst>
            <a:ext uri="{FF2B5EF4-FFF2-40B4-BE49-F238E27FC236}">
              <a16:creationId xmlns:a16="http://schemas.microsoft.com/office/drawing/2014/main" id="{CF0B9095-34E1-472A-ABFA-919A18B2A06F}"/>
            </a:ext>
          </a:extLst>
        </xdr:cNvPr>
        <xdr:cNvSpPr>
          <a:spLocks noChangeAspect="1"/>
        </xdr:cNvSpPr>
      </xdr:nvSpPr>
      <xdr:spPr>
        <a:xfrm>
          <a:off x="41976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53</xdr:row>
      <xdr:rowOff>42450</xdr:rowOff>
    </xdr:from>
    <xdr:to>
      <xdr:col>7</xdr:col>
      <xdr:colOff>405001</xdr:colOff>
      <xdr:row>54</xdr:row>
      <xdr:rowOff>15001</xdr:rowOff>
    </xdr:to>
    <xdr:sp macro="" textlink="">
      <xdr:nvSpPr>
        <xdr:cNvPr id="246179" name="フリーフォーム: 図形 246178">
          <a:extLst>
            <a:ext uri="{FF2B5EF4-FFF2-40B4-BE49-F238E27FC236}">
              <a16:creationId xmlns:a16="http://schemas.microsoft.com/office/drawing/2014/main" id="{4CED0B6D-F5E6-45AD-9EF2-992B9A5A8A0D}"/>
            </a:ext>
          </a:extLst>
        </xdr:cNvPr>
        <xdr:cNvSpPr>
          <a:spLocks noChangeAspect="1"/>
        </xdr:cNvSpPr>
      </xdr:nvSpPr>
      <xdr:spPr>
        <a:xfrm>
          <a:off x="47376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53</xdr:row>
      <xdr:rowOff>114450</xdr:rowOff>
    </xdr:from>
    <xdr:to>
      <xdr:col>7</xdr:col>
      <xdr:colOff>477001</xdr:colOff>
      <xdr:row>59</xdr:row>
      <xdr:rowOff>21751</xdr:rowOff>
    </xdr:to>
    <xdr:sp macro="" textlink="">
      <xdr:nvSpPr>
        <xdr:cNvPr id="246180" name="フリーフォーム: 図形 246179">
          <a:extLst>
            <a:ext uri="{FF2B5EF4-FFF2-40B4-BE49-F238E27FC236}">
              <a16:creationId xmlns:a16="http://schemas.microsoft.com/office/drawing/2014/main" id="{D8BE8F68-E746-4140-B8D2-6F3F4850D6C9}"/>
            </a:ext>
          </a:extLst>
        </xdr:cNvPr>
        <xdr:cNvSpPr>
          <a:spLocks noChangeAspect="1"/>
        </xdr:cNvSpPr>
      </xdr:nvSpPr>
      <xdr:spPr>
        <a:xfrm>
          <a:off x="49896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59</xdr:row>
      <xdr:rowOff>75750</xdr:rowOff>
    </xdr:from>
    <xdr:to>
      <xdr:col>7</xdr:col>
      <xdr:colOff>297001</xdr:colOff>
      <xdr:row>64</xdr:row>
      <xdr:rowOff>136501</xdr:rowOff>
    </xdr:to>
    <xdr:sp macro="" textlink="">
      <xdr:nvSpPr>
        <xdr:cNvPr id="246181" name="フリーフォーム: 図形 246180">
          <a:extLst>
            <a:ext uri="{FF2B5EF4-FFF2-40B4-BE49-F238E27FC236}">
              <a16:creationId xmlns:a16="http://schemas.microsoft.com/office/drawing/2014/main" id="{823AF916-CF1A-4742-A56E-A7B31B2DC6D6}"/>
            </a:ext>
          </a:extLst>
        </xdr:cNvPr>
        <xdr:cNvSpPr>
          <a:spLocks noChangeAspect="1"/>
        </xdr:cNvSpPr>
      </xdr:nvSpPr>
      <xdr:spPr>
        <a:xfrm>
          <a:off x="48096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64</xdr:row>
      <xdr:rowOff>64500</xdr:rowOff>
    </xdr:from>
    <xdr:to>
      <xdr:col>6</xdr:col>
      <xdr:colOff>226801</xdr:colOff>
      <xdr:row>65</xdr:row>
      <xdr:rowOff>37051</xdr:rowOff>
    </xdr:to>
    <xdr:sp macro="" textlink="">
      <xdr:nvSpPr>
        <xdr:cNvPr id="246182" name="フリーフォーム: 図形 246181">
          <a:extLst>
            <a:ext uri="{FF2B5EF4-FFF2-40B4-BE49-F238E27FC236}">
              <a16:creationId xmlns:a16="http://schemas.microsoft.com/office/drawing/2014/main" id="{E2C3FA18-EC89-4222-AAAB-17A8D1987AF4}"/>
            </a:ext>
          </a:extLst>
        </xdr:cNvPr>
        <xdr:cNvSpPr>
          <a:spLocks noChangeAspect="1"/>
        </xdr:cNvSpPr>
      </xdr:nvSpPr>
      <xdr:spPr>
        <a:xfrm>
          <a:off x="38556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64</xdr:row>
      <xdr:rowOff>64500</xdr:rowOff>
    </xdr:from>
    <xdr:to>
      <xdr:col>7</xdr:col>
      <xdr:colOff>45001</xdr:colOff>
      <xdr:row>65</xdr:row>
      <xdr:rowOff>37051</xdr:rowOff>
    </xdr:to>
    <xdr:sp macro="" textlink="">
      <xdr:nvSpPr>
        <xdr:cNvPr id="246183" name="フリーフォーム: 図形 246182">
          <a:extLst>
            <a:ext uri="{FF2B5EF4-FFF2-40B4-BE49-F238E27FC236}">
              <a16:creationId xmlns:a16="http://schemas.microsoft.com/office/drawing/2014/main" id="{333FDB26-32DF-4550-9554-C26401CC2331}"/>
            </a:ext>
          </a:extLst>
        </xdr:cNvPr>
        <xdr:cNvSpPr>
          <a:spLocks noChangeAspect="1"/>
        </xdr:cNvSpPr>
      </xdr:nvSpPr>
      <xdr:spPr>
        <a:xfrm>
          <a:off x="43776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59</xdr:row>
      <xdr:rowOff>75750</xdr:rowOff>
    </xdr:from>
    <xdr:to>
      <xdr:col>5</xdr:col>
      <xdr:colOff>660601</xdr:colOff>
      <xdr:row>64</xdr:row>
      <xdr:rowOff>136501</xdr:rowOff>
    </xdr:to>
    <xdr:sp macro="" textlink="">
      <xdr:nvSpPr>
        <xdr:cNvPr id="246184" name="フリーフォーム: 図形 246183">
          <a:extLst>
            <a:ext uri="{FF2B5EF4-FFF2-40B4-BE49-F238E27FC236}">
              <a16:creationId xmlns:a16="http://schemas.microsoft.com/office/drawing/2014/main" id="{8294B337-1E54-448B-B143-3B37720B4361}"/>
            </a:ext>
          </a:extLst>
        </xdr:cNvPr>
        <xdr:cNvSpPr>
          <a:spLocks noChangeAspect="1"/>
        </xdr:cNvSpPr>
      </xdr:nvSpPr>
      <xdr:spPr>
        <a:xfrm>
          <a:off x="38016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53</xdr:row>
      <xdr:rowOff>114450</xdr:rowOff>
    </xdr:from>
    <xdr:to>
      <xdr:col>6</xdr:col>
      <xdr:colOff>118801</xdr:colOff>
      <xdr:row>59</xdr:row>
      <xdr:rowOff>21751</xdr:rowOff>
    </xdr:to>
    <xdr:sp macro="" textlink="">
      <xdr:nvSpPr>
        <xdr:cNvPr id="246185" name="フリーフォーム: 図形 246184">
          <a:extLst>
            <a:ext uri="{FF2B5EF4-FFF2-40B4-BE49-F238E27FC236}">
              <a16:creationId xmlns:a16="http://schemas.microsoft.com/office/drawing/2014/main" id="{39A30B5C-69C4-4561-98B8-29EFB02E218C}"/>
            </a:ext>
          </a:extLst>
        </xdr:cNvPr>
        <xdr:cNvSpPr>
          <a:spLocks noChangeAspect="1"/>
        </xdr:cNvSpPr>
      </xdr:nvSpPr>
      <xdr:spPr>
        <a:xfrm>
          <a:off x="39816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58</xdr:row>
      <xdr:rowOff>139200</xdr:rowOff>
    </xdr:from>
    <xdr:to>
      <xdr:col>6</xdr:col>
      <xdr:colOff>388801</xdr:colOff>
      <xdr:row>59</xdr:row>
      <xdr:rowOff>111751</xdr:rowOff>
    </xdr:to>
    <xdr:sp macro="" textlink="">
      <xdr:nvSpPr>
        <xdr:cNvPr id="246186" name="フリーフォーム: 図形 246185">
          <a:extLst>
            <a:ext uri="{FF2B5EF4-FFF2-40B4-BE49-F238E27FC236}">
              <a16:creationId xmlns:a16="http://schemas.microsoft.com/office/drawing/2014/main" id="{90366A2E-630A-46BB-9C01-A781C5558EBA}"/>
            </a:ext>
          </a:extLst>
        </xdr:cNvPr>
        <xdr:cNvSpPr>
          <a:spLocks noChangeAspect="1"/>
        </xdr:cNvSpPr>
      </xdr:nvSpPr>
      <xdr:spPr>
        <a:xfrm>
          <a:off x="40536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58</xdr:row>
      <xdr:rowOff>139200</xdr:rowOff>
    </xdr:from>
    <xdr:to>
      <xdr:col>7</xdr:col>
      <xdr:colOff>207001</xdr:colOff>
      <xdr:row>59</xdr:row>
      <xdr:rowOff>111751</xdr:rowOff>
    </xdr:to>
    <xdr:sp macro="" textlink="">
      <xdr:nvSpPr>
        <xdr:cNvPr id="246187" name="フリーフォーム: 図形 246186">
          <a:extLst>
            <a:ext uri="{FF2B5EF4-FFF2-40B4-BE49-F238E27FC236}">
              <a16:creationId xmlns:a16="http://schemas.microsoft.com/office/drawing/2014/main" id="{7C9CC46E-CE21-48DB-BF73-50B762AAD1EF}"/>
            </a:ext>
          </a:extLst>
        </xdr:cNvPr>
        <xdr:cNvSpPr>
          <a:spLocks noChangeAspect="1"/>
        </xdr:cNvSpPr>
      </xdr:nvSpPr>
      <xdr:spPr>
        <a:xfrm>
          <a:off x="45576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54</xdr:row>
      <xdr:rowOff>51000</xdr:rowOff>
    </xdr:from>
    <xdr:to>
      <xdr:col>6</xdr:col>
      <xdr:colOff>406801</xdr:colOff>
      <xdr:row>59</xdr:row>
      <xdr:rowOff>3751</xdr:rowOff>
    </xdr:to>
    <xdr:sp macro="" textlink="">
      <xdr:nvSpPr>
        <xdr:cNvPr id="246188" name="フリーフォーム: 図形 246187">
          <a:extLst>
            <a:ext uri="{FF2B5EF4-FFF2-40B4-BE49-F238E27FC236}">
              <a16:creationId xmlns:a16="http://schemas.microsoft.com/office/drawing/2014/main" id="{3B6D4F08-633F-4284-9DBE-6F21B6083FF6}"/>
            </a:ext>
          </a:extLst>
        </xdr:cNvPr>
        <xdr:cNvSpPr>
          <a:spLocks noChangeAspect="1"/>
        </xdr:cNvSpPr>
      </xdr:nvSpPr>
      <xdr:spPr>
        <a:xfrm>
          <a:off x="42516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53</xdr:row>
      <xdr:rowOff>114450</xdr:rowOff>
    </xdr:from>
    <xdr:to>
      <xdr:col>6</xdr:col>
      <xdr:colOff>658801</xdr:colOff>
      <xdr:row>58</xdr:row>
      <xdr:rowOff>157201</xdr:rowOff>
    </xdr:to>
    <xdr:sp macro="" textlink="">
      <xdr:nvSpPr>
        <xdr:cNvPr id="246189" name="フリーフォーム: 図形 246188">
          <a:extLst>
            <a:ext uri="{FF2B5EF4-FFF2-40B4-BE49-F238E27FC236}">
              <a16:creationId xmlns:a16="http://schemas.microsoft.com/office/drawing/2014/main" id="{81B4E7F9-428D-4CA0-BC9D-85291629FD05}"/>
            </a:ext>
          </a:extLst>
        </xdr:cNvPr>
        <xdr:cNvSpPr>
          <a:spLocks noChangeAspect="1"/>
        </xdr:cNvSpPr>
      </xdr:nvSpPr>
      <xdr:spPr>
        <a:xfrm>
          <a:off x="45216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54</xdr:row>
      <xdr:rowOff>69000</xdr:rowOff>
    </xdr:from>
    <xdr:to>
      <xdr:col>7</xdr:col>
      <xdr:colOff>297001</xdr:colOff>
      <xdr:row>59</xdr:row>
      <xdr:rowOff>3751</xdr:rowOff>
    </xdr:to>
    <xdr:sp macro="" textlink="">
      <xdr:nvSpPr>
        <xdr:cNvPr id="246190" name="フリーフォーム: 図形 246189">
          <a:extLst>
            <a:ext uri="{FF2B5EF4-FFF2-40B4-BE49-F238E27FC236}">
              <a16:creationId xmlns:a16="http://schemas.microsoft.com/office/drawing/2014/main" id="{4BA18A41-60B9-4C31-AA00-6C3881D65D12}"/>
            </a:ext>
          </a:extLst>
        </xdr:cNvPr>
        <xdr:cNvSpPr>
          <a:spLocks noChangeAspect="1"/>
        </xdr:cNvSpPr>
      </xdr:nvSpPr>
      <xdr:spPr>
        <a:xfrm>
          <a:off x="45756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59</xdr:row>
      <xdr:rowOff>75750</xdr:rowOff>
    </xdr:from>
    <xdr:to>
      <xdr:col>7</xdr:col>
      <xdr:colOff>9001</xdr:colOff>
      <xdr:row>63</xdr:row>
      <xdr:rowOff>163951</xdr:rowOff>
    </xdr:to>
    <xdr:sp macro="" textlink="">
      <xdr:nvSpPr>
        <xdr:cNvPr id="246191" name="フリーフォーム: 図形 246190">
          <a:extLst>
            <a:ext uri="{FF2B5EF4-FFF2-40B4-BE49-F238E27FC236}">
              <a16:creationId xmlns:a16="http://schemas.microsoft.com/office/drawing/2014/main" id="{58395C70-110B-46C3-B86D-EA9EF35C1BB6}"/>
            </a:ext>
          </a:extLst>
        </xdr:cNvPr>
        <xdr:cNvSpPr>
          <a:spLocks noChangeAspect="1"/>
        </xdr:cNvSpPr>
      </xdr:nvSpPr>
      <xdr:spPr>
        <a:xfrm>
          <a:off x="45396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59</xdr:row>
      <xdr:rowOff>93750</xdr:rowOff>
    </xdr:from>
    <xdr:to>
      <xdr:col>6</xdr:col>
      <xdr:colOff>424801</xdr:colOff>
      <xdr:row>64</xdr:row>
      <xdr:rowOff>118501</xdr:rowOff>
    </xdr:to>
    <xdr:sp macro="" textlink="">
      <xdr:nvSpPr>
        <xdr:cNvPr id="246192" name="フリーフォーム: 図形 246191">
          <a:extLst>
            <a:ext uri="{FF2B5EF4-FFF2-40B4-BE49-F238E27FC236}">
              <a16:creationId xmlns:a16="http://schemas.microsoft.com/office/drawing/2014/main" id="{B0C6755A-F0E3-4C54-A188-D87FF342DAE1}"/>
            </a:ext>
          </a:extLst>
        </xdr:cNvPr>
        <xdr:cNvSpPr>
          <a:spLocks noChangeAspect="1"/>
        </xdr:cNvSpPr>
      </xdr:nvSpPr>
      <xdr:spPr>
        <a:xfrm>
          <a:off x="43056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59</xdr:row>
      <xdr:rowOff>75750</xdr:rowOff>
    </xdr:from>
    <xdr:to>
      <xdr:col>6</xdr:col>
      <xdr:colOff>388801</xdr:colOff>
      <xdr:row>64</xdr:row>
      <xdr:rowOff>10501</xdr:rowOff>
    </xdr:to>
    <xdr:sp macro="" textlink="">
      <xdr:nvSpPr>
        <xdr:cNvPr id="246193" name="フリーフォーム: 図形 246192">
          <a:extLst>
            <a:ext uri="{FF2B5EF4-FFF2-40B4-BE49-F238E27FC236}">
              <a16:creationId xmlns:a16="http://schemas.microsoft.com/office/drawing/2014/main" id="{8780714E-7FD7-4163-B9EE-0EF6D579DF7D}"/>
            </a:ext>
          </a:extLst>
        </xdr:cNvPr>
        <xdr:cNvSpPr>
          <a:spLocks noChangeAspect="1"/>
        </xdr:cNvSpPr>
      </xdr:nvSpPr>
      <xdr:spPr>
        <a:xfrm>
          <a:off x="39816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53</xdr:row>
      <xdr:rowOff>42450</xdr:rowOff>
    </xdr:from>
    <xdr:to>
      <xdr:col>9</xdr:col>
      <xdr:colOff>322201</xdr:colOff>
      <xdr:row>54</xdr:row>
      <xdr:rowOff>15001</xdr:rowOff>
    </xdr:to>
    <xdr:sp macro="" textlink="">
      <xdr:nvSpPr>
        <xdr:cNvPr id="246194" name="フリーフォーム: 図形 246193">
          <a:extLst>
            <a:ext uri="{FF2B5EF4-FFF2-40B4-BE49-F238E27FC236}">
              <a16:creationId xmlns:a16="http://schemas.microsoft.com/office/drawing/2014/main" id="{A754F418-4D6B-4E8D-893B-84E8CFF105F0}"/>
            </a:ext>
          </a:extLst>
        </xdr:cNvPr>
        <xdr:cNvSpPr>
          <a:spLocks noChangeAspect="1"/>
        </xdr:cNvSpPr>
      </xdr:nvSpPr>
      <xdr:spPr>
        <a:xfrm>
          <a:off x="60264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53</xdr:row>
      <xdr:rowOff>42450</xdr:rowOff>
    </xdr:from>
    <xdr:to>
      <xdr:col>10</xdr:col>
      <xdr:colOff>176401</xdr:colOff>
      <xdr:row>54</xdr:row>
      <xdr:rowOff>15001</xdr:rowOff>
    </xdr:to>
    <xdr:sp macro="" textlink="">
      <xdr:nvSpPr>
        <xdr:cNvPr id="246195" name="フリーフォーム: 図形 246194">
          <a:extLst>
            <a:ext uri="{FF2B5EF4-FFF2-40B4-BE49-F238E27FC236}">
              <a16:creationId xmlns:a16="http://schemas.microsoft.com/office/drawing/2014/main" id="{2CB12D27-BC1C-4214-BA17-882DE9909800}"/>
            </a:ext>
          </a:extLst>
        </xdr:cNvPr>
        <xdr:cNvSpPr>
          <a:spLocks noChangeAspect="1"/>
        </xdr:cNvSpPr>
      </xdr:nvSpPr>
      <xdr:spPr>
        <a:xfrm>
          <a:off x="65664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53</xdr:row>
      <xdr:rowOff>114450</xdr:rowOff>
    </xdr:from>
    <xdr:to>
      <xdr:col>10</xdr:col>
      <xdr:colOff>248401</xdr:colOff>
      <xdr:row>59</xdr:row>
      <xdr:rowOff>21751</xdr:rowOff>
    </xdr:to>
    <xdr:sp macro="" textlink="">
      <xdr:nvSpPr>
        <xdr:cNvPr id="246196" name="フリーフォーム: 図形 246195">
          <a:extLst>
            <a:ext uri="{FF2B5EF4-FFF2-40B4-BE49-F238E27FC236}">
              <a16:creationId xmlns:a16="http://schemas.microsoft.com/office/drawing/2014/main" id="{44DD5CAE-5AFF-495F-9691-ECA2F427FE96}"/>
            </a:ext>
          </a:extLst>
        </xdr:cNvPr>
        <xdr:cNvSpPr>
          <a:spLocks noChangeAspect="1"/>
        </xdr:cNvSpPr>
      </xdr:nvSpPr>
      <xdr:spPr>
        <a:xfrm>
          <a:off x="68184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59</xdr:row>
      <xdr:rowOff>75750</xdr:rowOff>
    </xdr:from>
    <xdr:to>
      <xdr:col>10</xdr:col>
      <xdr:colOff>68401</xdr:colOff>
      <xdr:row>64</xdr:row>
      <xdr:rowOff>136501</xdr:rowOff>
    </xdr:to>
    <xdr:sp macro="" textlink="">
      <xdr:nvSpPr>
        <xdr:cNvPr id="246197" name="フリーフォーム: 図形 246196">
          <a:extLst>
            <a:ext uri="{FF2B5EF4-FFF2-40B4-BE49-F238E27FC236}">
              <a16:creationId xmlns:a16="http://schemas.microsoft.com/office/drawing/2014/main" id="{6085AFDC-3DF6-4EFC-837C-06BD40C9089E}"/>
            </a:ext>
          </a:extLst>
        </xdr:cNvPr>
        <xdr:cNvSpPr>
          <a:spLocks noChangeAspect="1"/>
        </xdr:cNvSpPr>
      </xdr:nvSpPr>
      <xdr:spPr>
        <a:xfrm>
          <a:off x="66384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64</xdr:row>
      <xdr:rowOff>64500</xdr:rowOff>
    </xdr:from>
    <xdr:to>
      <xdr:col>8</xdr:col>
      <xdr:colOff>684001</xdr:colOff>
      <xdr:row>65</xdr:row>
      <xdr:rowOff>37051</xdr:rowOff>
    </xdr:to>
    <xdr:sp macro="" textlink="">
      <xdr:nvSpPr>
        <xdr:cNvPr id="246198" name="フリーフォーム: 図形 246197">
          <a:extLst>
            <a:ext uri="{FF2B5EF4-FFF2-40B4-BE49-F238E27FC236}">
              <a16:creationId xmlns:a16="http://schemas.microsoft.com/office/drawing/2014/main" id="{7F40659B-AE6A-4A5F-A795-352119F239A1}"/>
            </a:ext>
          </a:extLst>
        </xdr:cNvPr>
        <xdr:cNvSpPr>
          <a:spLocks noChangeAspect="1"/>
        </xdr:cNvSpPr>
      </xdr:nvSpPr>
      <xdr:spPr>
        <a:xfrm>
          <a:off x="56844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64</xdr:row>
      <xdr:rowOff>64500</xdr:rowOff>
    </xdr:from>
    <xdr:to>
      <xdr:col>9</xdr:col>
      <xdr:colOff>502201</xdr:colOff>
      <xdr:row>65</xdr:row>
      <xdr:rowOff>37051</xdr:rowOff>
    </xdr:to>
    <xdr:sp macro="" textlink="">
      <xdr:nvSpPr>
        <xdr:cNvPr id="246199" name="フリーフォーム: 図形 246198">
          <a:extLst>
            <a:ext uri="{FF2B5EF4-FFF2-40B4-BE49-F238E27FC236}">
              <a16:creationId xmlns:a16="http://schemas.microsoft.com/office/drawing/2014/main" id="{D96D9EC1-5D2E-495C-BF1A-AB227227C7B3}"/>
            </a:ext>
          </a:extLst>
        </xdr:cNvPr>
        <xdr:cNvSpPr>
          <a:spLocks noChangeAspect="1"/>
        </xdr:cNvSpPr>
      </xdr:nvSpPr>
      <xdr:spPr>
        <a:xfrm>
          <a:off x="62064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59</xdr:row>
      <xdr:rowOff>75750</xdr:rowOff>
    </xdr:from>
    <xdr:to>
      <xdr:col>8</xdr:col>
      <xdr:colOff>432001</xdr:colOff>
      <xdr:row>64</xdr:row>
      <xdr:rowOff>136501</xdr:rowOff>
    </xdr:to>
    <xdr:sp macro="" textlink="">
      <xdr:nvSpPr>
        <xdr:cNvPr id="246200" name="フリーフォーム: 図形 246199">
          <a:extLst>
            <a:ext uri="{FF2B5EF4-FFF2-40B4-BE49-F238E27FC236}">
              <a16:creationId xmlns:a16="http://schemas.microsoft.com/office/drawing/2014/main" id="{BDE2282C-BE0E-4992-96F8-F36A90AC08E3}"/>
            </a:ext>
          </a:extLst>
        </xdr:cNvPr>
        <xdr:cNvSpPr>
          <a:spLocks noChangeAspect="1"/>
        </xdr:cNvSpPr>
      </xdr:nvSpPr>
      <xdr:spPr>
        <a:xfrm>
          <a:off x="56304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53</xdr:row>
      <xdr:rowOff>114450</xdr:rowOff>
    </xdr:from>
    <xdr:to>
      <xdr:col>8</xdr:col>
      <xdr:colOff>576001</xdr:colOff>
      <xdr:row>59</xdr:row>
      <xdr:rowOff>21751</xdr:rowOff>
    </xdr:to>
    <xdr:sp macro="" textlink="">
      <xdr:nvSpPr>
        <xdr:cNvPr id="246201" name="フリーフォーム: 図形 246200">
          <a:extLst>
            <a:ext uri="{FF2B5EF4-FFF2-40B4-BE49-F238E27FC236}">
              <a16:creationId xmlns:a16="http://schemas.microsoft.com/office/drawing/2014/main" id="{DCE0F5E1-7296-4ED4-A1CB-F96AB8EB6732}"/>
            </a:ext>
          </a:extLst>
        </xdr:cNvPr>
        <xdr:cNvSpPr>
          <a:spLocks noChangeAspect="1"/>
        </xdr:cNvSpPr>
      </xdr:nvSpPr>
      <xdr:spPr>
        <a:xfrm>
          <a:off x="58104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58</xdr:row>
      <xdr:rowOff>139200</xdr:rowOff>
    </xdr:from>
    <xdr:to>
      <xdr:col>9</xdr:col>
      <xdr:colOff>160201</xdr:colOff>
      <xdr:row>59</xdr:row>
      <xdr:rowOff>111751</xdr:rowOff>
    </xdr:to>
    <xdr:sp macro="" textlink="">
      <xdr:nvSpPr>
        <xdr:cNvPr id="246202" name="フリーフォーム: 図形 246201">
          <a:extLst>
            <a:ext uri="{FF2B5EF4-FFF2-40B4-BE49-F238E27FC236}">
              <a16:creationId xmlns:a16="http://schemas.microsoft.com/office/drawing/2014/main" id="{B4D99796-C619-4358-A79B-99AA7FC60C71}"/>
            </a:ext>
          </a:extLst>
        </xdr:cNvPr>
        <xdr:cNvSpPr>
          <a:spLocks noChangeAspect="1"/>
        </xdr:cNvSpPr>
      </xdr:nvSpPr>
      <xdr:spPr>
        <a:xfrm>
          <a:off x="58824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58</xdr:row>
      <xdr:rowOff>139200</xdr:rowOff>
    </xdr:from>
    <xdr:to>
      <xdr:col>9</xdr:col>
      <xdr:colOff>664201</xdr:colOff>
      <xdr:row>59</xdr:row>
      <xdr:rowOff>111751</xdr:rowOff>
    </xdr:to>
    <xdr:sp macro="" textlink="">
      <xdr:nvSpPr>
        <xdr:cNvPr id="246203" name="フリーフォーム: 図形 246202">
          <a:extLst>
            <a:ext uri="{FF2B5EF4-FFF2-40B4-BE49-F238E27FC236}">
              <a16:creationId xmlns:a16="http://schemas.microsoft.com/office/drawing/2014/main" id="{D7FAFB94-2DAA-4124-A62D-6A0DE2779100}"/>
            </a:ext>
          </a:extLst>
        </xdr:cNvPr>
        <xdr:cNvSpPr>
          <a:spLocks noChangeAspect="1"/>
        </xdr:cNvSpPr>
      </xdr:nvSpPr>
      <xdr:spPr>
        <a:xfrm>
          <a:off x="63864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54</xdr:row>
      <xdr:rowOff>51000</xdr:rowOff>
    </xdr:from>
    <xdr:to>
      <xdr:col>9</xdr:col>
      <xdr:colOff>178201</xdr:colOff>
      <xdr:row>59</xdr:row>
      <xdr:rowOff>3751</xdr:rowOff>
    </xdr:to>
    <xdr:sp macro="" textlink="">
      <xdr:nvSpPr>
        <xdr:cNvPr id="246204" name="フリーフォーム: 図形 246203">
          <a:extLst>
            <a:ext uri="{FF2B5EF4-FFF2-40B4-BE49-F238E27FC236}">
              <a16:creationId xmlns:a16="http://schemas.microsoft.com/office/drawing/2014/main" id="{50481A7C-7EFF-4D72-A5F5-C5897A68EB65}"/>
            </a:ext>
          </a:extLst>
        </xdr:cNvPr>
        <xdr:cNvSpPr>
          <a:spLocks noChangeAspect="1"/>
        </xdr:cNvSpPr>
      </xdr:nvSpPr>
      <xdr:spPr>
        <a:xfrm>
          <a:off x="60804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53</xdr:row>
      <xdr:rowOff>114450</xdr:rowOff>
    </xdr:from>
    <xdr:to>
      <xdr:col>9</xdr:col>
      <xdr:colOff>430201</xdr:colOff>
      <xdr:row>58</xdr:row>
      <xdr:rowOff>157201</xdr:rowOff>
    </xdr:to>
    <xdr:sp macro="" textlink="">
      <xdr:nvSpPr>
        <xdr:cNvPr id="246205" name="フリーフォーム: 図形 246204">
          <a:extLst>
            <a:ext uri="{FF2B5EF4-FFF2-40B4-BE49-F238E27FC236}">
              <a16:creationId xmlns:a16="http://schemas.microsoft.com/office/drawing/2014/main" id="{323E5F1E-6C9D-49B7-9163-0F4AA9582D98}"/>
            </a:ext>
          </a:extLst>
        </xdr:cNvPr>
        <xdr:cNvSpPr>
          <a:spLocks noChangeAspect="1"/>
        </xdr:cNvSpPr>
      </xdr:nvSpPr>
      <xdr:spPr>
        <a:xfrm>
          <a:off x="63504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54</xdr:row>
      <xdr:rowOff>69000</xdr:rowOff>
    </xdr:from>
    <xdr:to>
      <xdr:col>10</xdr:col>
      <xdr:colOff>68401</xdr:colOff>
      <xdr:row>59</xdr:row>
      <xdr:rowOff>3751</xdr:rowOff>
    </xdr:to>
    <xdr:sp macro="" textlink="">
      <xdr:nvSpPr>
        <xdr:cNvPr id="246206" name="フリーフォーム: 図形 246205">
          <a:extLst>
            <a:ext uri="{FF2B5EF4-FFF2-40B4-BE49-F238E27FC236}">
              <a16:creationId xmlns:a16="http://schemas.microsoft.com/office/drawing/2014/main" id="{1A8CF6F0-4A41-4D1C-B302-9F221C7F3E75}"/>
            </a:ext>
          </a:extLst>
        </xdr:cNvPr>
        <xdr:cNvSpPr>
          <a:spLocks noChangeAspect="1"/>
        </xdr:cNvSpPr>
      </xdr:nvSpPr>
      <xdr:spPr>
        <a:xfrm>
          <a:off x="64044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59</xdr:row>
      <xdr:rowOff>75750</xdr:rowOff>
    </xdr:from>
    <xdr:to>
      <xdr:col>9</xdr:col>
      <xdr:colOff>466201</xdr:colOff>
      <xdr:row>63</xdr:row>
      <xdr:rowOff>163951</xdr:rowOff>
    </xdr:to>
    <xdr:sp macro="" textlink="">
      <xdr:nvSpPr>
        <xdr:cNvPr id="246207" name="フリーフォーム: 図形 246206">
          <a:extLst>
            <a:ext uri="{FF2B5EF4-FFF2-40B4-BE49-F238E27FC236}">
              <a16:creationId xmlns:a16="http://schemas.microsoft.com/office/drawing/2014/main" id="{104F4F58-2503-45C7-91FE-1399F28D835D}"/>
            </a:ext>
          </a:extLst>
        </xdr:cNvPr>
        <xdr:cNvSpPr>
          <a:spLocks noChangeAspect="1"/>
        </xdr:cNvSpPr>
      </xdr:nvSpPr>
      <xdr:spPr>
        <a:xfrm>
          <a:off x="63684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59</xdr:row>
      <xdr:rowOff>93750</xdr:rowOff>
    </xdr:from>
    <xdr:to>
      <xdr:col>9</xdr:col>
      <xdr:colOff>196201</xdr:colOff>
      <xdr:row>64</xdr:row>
      <xdr:rowOff>118501</xdr:rowOff>
    </xdr:to>
    <xdr:sp macro="" textlink="">
      <xdr:nvSpPr>
        <xdr:cNvPr id="246208" name="フリーフォーム: 図形 246207">
          <a:extLst>
            <a:ext uri="{FF2B5EF4-FFF2-40B4-BE49-F238E27FC236}">
              <a16:creationId xmlns:a16="http://schemas.microsoft.com/office/drawing/2014/main" id="{A55EFF2F-8E65-45C5-990F-3510412042E9}"/>
            </a:ext>
          </a:extLst>
        </xdr:cNvPr>
        <xdr:cNvSpPr>
          <a:spLocks noChangeAspect="1"/>
        </xdr:cNvSpPr>
      </xdr:nvSpPr>
      <xdr:spPr>
        <a:xfrm>
          <a:off x="61344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59</xdr:row>
      <xdr:rowOff>75750</xdr:rowOff>
    </xdr:from>
    <xdr:to>
      <xdr:col>9</xdr:col>
      <xdr:colOff>160201</xdr:colOff>
      <xdr:row>64</xdr:row>
      <xdr:rowOff>10501</xdr:rowOff>
    </xdr:to>
    <xdr:sp macro="" textlink="">
      <xdr:nvSpPr>
        <xdr:cNvPr id="246209" name="フリーフォーム: 図形 246208">
          <a:extLst>
            <a:ext uri="{FF2B5EF4-FFF2-40B4-BE49-F238E27FC236}">
              <a16:creationId xmlns:a16="http://schemas.microsoft.com/office/drawing/2014/main" id="{4D55747A-8BC0-4945-BAF7-62B408512C99}"/>
            </a:ext>
          </a:extLst>
        </xdr:cNvPr>
        <xdr:cNvSpPr>
          <a:spLocks noChangeAspect="1"/>
        </xdr:cNvSpPr>
      </xdr:nvSpPr>
      <xdr:spPr>
        <a:xfrm>
          <a:off x="58104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53</xdr:row>
      <xdr:rowOff>42450</xdr:rowOff>
    </xdr:from>
    <xdr:to>
      <xdr:col>12</xdr:col>
      <xdr:colOff>93601</xdr:colOff>
      <xdr:row>54</xdr:row>
      <xdr:rowOff>15001</xdr:rowOff>
    </xdr:to>
    <xdr:sp macro="" textlink="">
      <xdr:nvSpPr>
        <xdr:cNvPr id="246210" name="フリーフォーム: 図形 246209">
          <a:extLst>
            <a:ext uri="{FF2B5EF4-FFF2-40B4-BE49-F238E27FC236}">
              <a16:creationId xmlns:a16="http://schemas.microsoft.com/office/drawing/2014/main" id="{90DB74C5-BFC6-49E6-B2A6-383C07F10776}"/>
            </a:ext>
          </a:extLst>
        </xdr:cNvPr>
        <xdr:cNvSpPr>
          <a:spLocks noChangeAspect="1"/>
        </xdr:cNvSpPr>
      </xdr:nvSpPr>
      <xdr:spPr>
        <a:xfrm>
          <a:off x="78552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53</xdr:row>
      <xdr:rowOff>42450</xdr:rowOff>
    </xdr:from>
    <xdr:to>
      <xdr:col>12</xdr:col>
      <xdr:colOff>633601</xdr:colOff>
      <xdr:row>54</xdr:row>
      <xdr:rowOff>15001</xdr:rowOff>
    </xdr:to>
    <xdr:sp macro="" textlink="">
      <xdr:nvSpPr>
        <xdr:cNvPr id="246211" name="フリーフォーム: 図形 246210">
          <a:extLst>
            <a:ext uri="{FF2B5EF4-FFF2-40B4-BE49-F238E27FC236}">
              <a16:creationId xmlns:a16="http://schemas.microsoft.com/office/drawing/2014/main" id="{5FCE5D97-FE92-4982-9A7E-58CE62A8B586}"/>
            </a:ext>
          </a:extLst>
        </xdr:cNvPr>
        <xdr:cNvSpPr>
          <a:spLocks noChangeAspect="1"/>
        </xdr:cNvSpPr>
      </xdr:nvSpPr>
      <xdr:spPr>
        <a:xfrm>
          <a:off x="83952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53</xdr:row>
      <xdr:rowOff>114450</xdr:rowOff>
    </xdr:from>
    <xdr:to>
      <xdr:col>13</xdr:col>
      <xdr:colOff>19801</xdr:colOff>
      <xdr:row>59</xdr:row>
      <xdr:rowOff>21751</xdr:rowOff>
    </xdr:to>
    <xdr:sp macro="" textlink="">
      <xdr:nvSpPr>
        <xdr:cNvPr id="246212" name="フリーフォーム: 図形 246211">
          <a:extLst>
            <a:ext uri="{FF2B5EF4-FFF2-40B4-BE49-F238E27FC236}">
              <a16:creationId xmlns:a16="http://schemas.microsoft.com/office/drawing/2014/main" id="{A0DDA354-DDF7-4492-B2E0-E45B4C258C1C}"/>
            </a:ext>
          </a:extLst>
        </xdr:cNvPr>
        <xdr:cNvSpPr>
          <a:spLocks noChangeAspect="1"/>
        </xdr:cNvSpPr>
      </xdr:nvSpPr>
      <xdr:spPr>
        <a:xfrm>
          <a:off x="86472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59</xdr:row>
      <xdr:rowOff>75750</xdr:rowOff>
    </xdr:from>
    <xdr:to>
      <xdr:col>12</xdr:col>
      <xdr:colOff>525601</xdr:colOff>
      <xdr:row>64</xdr:row>
      <xdr:rowOff>136501</xdr:rowOff>
    </xdr:to>
    <xdr:sp macro="" textlink="">
      <xdr:nvSpPr>
        <xdr:cNvPr id="246213" name="フリーフォーム: 図形 246212">
          <a:extLst>
            <a:ext uri="{FF2B5EF4-FFF2-40B4-BE49-F238E27FC236}">
              <a16:creationId xmlns:a16="http://schemas.microsoft.com/office/drawing/2014/main" id="{A73029BA-1C28-443F-A189-ACBB53D120FD}"/>
            </a:ext>
          </a:extLst>
        </xdr:cNvPr>
        <xdr:cNvSpPr>
          <a:spLocks noChangeAspect="1"/>
        </xdr:cNvSpPr>
      </xdr:nvSpPr>
      <xdr:spPr>
        <a:xfrm>
          <a:off x="84672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64</xdr:row>
      <xdr:rowOff>64500</xdr:rowOff>
    </xdr:from>
    <xdr:to>
      <xdr:col>11</xdr:col>
      <xdr:colOff>455401</xdr:colOff>
      <xdr:row>65</xdr:row>
      <xdr:rowOff>37051</xdr:rowOff>
    </xdr:to>
    <xdr:sp macro="" textlink="">
      <xdr:nvSpPr>
        <xdr:cNvPr id="246214" name="フリーフォーム: 図形 246213">
          <a:extLst>
            <a:ext uri="{FF2B5EF4-FFF2-40B4-BE49-F238E27FC236}">
              <a16:creationId xmlns:a16="http://schemas.microsoft.com/office/drawing/2014/main" id="{B5A585CC-85BF-40FA-9A37-91C69B92952B}"/>
            </a:ext>
          </a:extLst>
        </xdr:cNvPr>
        <xdr:cNvSpPr>
          <a:spLocks noChangeAspect="1"/>
        </xdr:cNvSpPr>
      </xdr:nvSpPr>
      <xdr:spPr>
        <a:xfrm>
          <a:off x="75132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64</xdr:row>
      <xdr:rowOff>64500</xdr:rowOff>
    </xdr:from>
    <xdr:to>
      <xdr:col>12</xdr:col>
      <xdr:colOff>273601</xdr:colOff>
      <xdr:row>65</xdr:row>
      <xdr:rowOff>37051</xdr:rowOff>
    </xdr:to>
    <xdr:sp macro="" textlink="">
      <xdr:nvSpPr>
        <xdr:cNvPr id="246215" name="フリーフォーム: 図形 246214">
          <a:extLst>
            <a:ext uri="{FF2B5EF4-FFF2-40B4-BE49-F238E27FC236}">
              <a16:creationId xmlns:a16="http://schemas.microsoft.com/office/drawing/2014/main" id="{ED787FC6-32D4-472D-A752-9C4053ABCF1E}"/>
            </a:ext>
          </a:extLst>
        </xdr:cNvPr>
        <xdr:cNvSpPr>
          <a:spLocks noChangeAspect="1"/>
        </xdr:cNvSpPr>
      </xdr:nvSpPr>
      <xdr:spPr>
        <a:xfrm>
          <a:off x="80352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59</xdr:row>
      <xdr:rowOff>75750</xdr:rowOff>
    </xdr:from>
    <xdr:to>
      <xdr:col>11</xdr:col>
      <xdr:colOff>203401</xdr:colOff>
      <xdr:row>64</xdr:row>
      <xdr:rowOff>136501</xdr:rowOff>
    </xdr:to>
    <xdr:sp macro="" textlink="">
      <xdr:nvSpPr>
        <xdr:cNvPr id="246216" name="フリーフォーム: 図形 246215">
          <a:extLst>
            <a:ext uri="{FF2B5EF4-FFF2-40B4-BE49-F238E27FC236}">
              <a16:creationId xmlns:a16="http://schemas.microsoft.com/office/drawing/2014/main" id="{4C02C7BA-AB39-4AC9-BB31-E8CC1F54A861}"/>
            </a:ext>
          </a:extLst>
        </xdr:cNvPr>
        <xdr:cNvSpPr>
          <a:spLocks noChangeAspect="1"/>
        </xdr:cNvSpPr>
      </xdr:nvSpPr>
      <xdr:spPr>
        <a:xfrm>
          <a:off x="74592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53</xdr:row>
      <xdr:rowOff>114450</xdr:rowOff>
    </xdr:from>
    <xdr:to>
      <xdr:col>11</xdr:col>
      <xdr:colOff>347401</xdr:colOff>
      <xdr:row>59</xdr:row>
      <xdr:rowOff>21751</xdr:rowOff>
    </xdr:to>
    <xdr:sp macro="" textlink="">
      <xdr:nvSpPr>
        <xdr:cNvPr id="246217" name="フリーフォーム: 図形 246216">
          <a:extLst>
            <a:ext uri="{FF2B5EF4-FFF2-40B4-BE49-F238E27FC236}">
              <a16:creationId xmlns:a16="http://schemas.microsoft.com/office/drawing/2014/main" id="{53920A4B-1934-4810-8B65-1172C6B72F8D}"/>
            </a:ext>
          </a:extLst>
        </xdr:cNvPr>
        <xdr:cNvSpPr>
          <a:spLocks noChangeAspect="1"/>
        </xdr:cNvSpPr>
      </xdr:nvSpPr>
      <xdr:spPr>
        <a:xfrm>
          <a:off x="76392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58</xdr:row>
      <xdr:rowOff>139200</xdr:rowOff>
    </xdr:from>
    <xdr:to>
      <xdr:col>11</xdr:col>
      <xdr:colOff>617401</xdr:colOff>
      <xdr:row>59</xdr:row>
      <xdr:rowOff>111751</xdr:rowOff>
    </xdr:to>
    <xdr:sp macro="" textlink="">
      <xdr:nvSpPr>
        <xdr:cNvPr id="246218" name="フリーフォーム: 図形 246217">
          <a:extLst>
            <a:ext uri="{FF2B5EF4-FFF2-40B4-BE49-F238E27FC236}">
              <a16:creationId xmlns:a16="http://schemas.microsoft.com/office/drawing/2014/main" id="{D8305DFE-8FD4-41CA-BE5F-254DB5CB9F13}"/>
            </a:ext>
          </a:extLst>
        </xdr:cNvPr>
        <xdr:cNvSpPr>
          <a:spLocks noChangeAspect="1"/>
        </xdr:cNvSpPr>
      </xdr:nvSpPr>
      <xdr:spPr>
        <a:xfrm>
          <a:off x="77112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58</xdr:row>
      <xdr:rowOff>139200</xdr:rowOff>
    </xdr:from>
    <xdr:to>
      <xdr:col>12</xdr:col>
      <xdr:colOff>435601</xdr:colOff>
      <xdr:row>59</xdr:row>
      <xdr:rowOff>111751</xdr:rowOff>
    </xdr:to>
    <xdr:sp macro="" textlink="">
      <xdr:nvSpPr>
        <xdr:cNvPr id="246219" name="フリーフォーム: 図形 246218">
          <a:extLst>
            <a:ext uri="{FF2B5EF4-FFF2-40B4-BE49-F238E27FC236}">
              <a16:creationId xmlns:a16="http://schemas.microsoft.com/office/drawing/2014/main" id="{5EE068A8-58A1-446E-B001-AFF70C2985F6}"/>
            </a:ext>
          </a:extLst>
        </xdr:cNvPr>
        <xdr:cNvSpPr>
          <a:spLocks noChangeAspect="1"/>
        </xdr:cNvSpPr>
      </xdr:nvSpPr>
      <xdr:spPr>
        <a:xfrm>
          <a:off x="82152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54</xdr:row>
      <xdr:rowOff>51000</xdr:rowOff>
    </xdr:from>
    <xdr:to>
      <xdr:col>11</xdr:col>
      <xdr:colOff>635401</xdr:colOff>
      <xdr:row>59</xdr:row>
      <xdr:rowOff>3751</xdr:rowOff>
    </xdr:to>
    <xdr:sp macro="" textlink="">
      <xdr:nvSpPr>
        <xdr:cNvPr id="246220" name="フリーフォーム: 図形 246219">
          <a:extLst>
            <a:ext uri="{FF2B5EF4-FFF2-40B4-BE49-F238E27FC236}">
              <a16:creationId xmlns:a16="http://schemas.microsoft.com/office/drawing/2014/main" id="{9F132A09-BF5E-4A43-99A9-4D84F42C4332}"/>
            </a:ext>
          </a:extLst>
        </xdr:cNvPr>
        <xdr:cNvSpPr>
          <a:spLocks noChangeAspect="1"/>
        </xdr:cNvSpPr>
      </xdr:nvSpPr>
      <xdr:spPr>
        <a:xfrm>
          <a:off x="79092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53</xdr:row>
      <xdr:rowOff>114450</xdr:rowOff>
    </xdr:from>
    <xdr:to>
      <xdr:col>12</xdr:col>
      <xdr:colOff>201601</xdr:colOff>
      <xdr:row>58</xdr:row>
      <xdr:rowOff>157201</xdr:rowOff>
    </xdr:to>
    <xdr:sp macro="" textlink="">
      <xdr:nvSpPr>
        <xdr:cNvPr id="246221" name="フリーフォーム: 図形 246220">
          <a:extLst>
            <a:ext uri="{FF2B5EF4-FFF2-40B4-BE49-F238E27FC236}">
              <a16:creationId xmlns:a16="http://schemas.microsoft.com/office/drawing/2014/main" id="{E3E4BD92-BD71-45DF-A76A-BA8A90A45804}"/>
            </a:ext>
          </a:extLst>
        </xdr:cNvPr>
        <xdr:cNvSpPr>
          <a:spLocks noChangeAspect="1"/>
        </xdr:cNvSpPr>
      </xdr:nvSpPr>
      <xdr:spPr>
        <a:xfrm>
          <a:off x="81792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54</xdr:row>
      <xdr:rowOff>69000</xdr:rowOff>
    </xdr:from>
    <xdr:to>
      <xdr:col>12</xdr:col>
      <xdr:colOff>525601</xdr:colOff>
      <xdr:row>59</xdr:row>
      <xdr:rowOff>3751</xdr:rowOff>
    </xdr:to>
    <xdr:sp macro="" textlink="">
      <xdr:nvSpPr>
        <xdr:cNvPr id="246222" name="フリーフォーム: 図形 246221">
          <a:extLst>
            <a:ext uri="{FF2B5EF4-FFF2-40B4-BE49-F238E27FC236}">
              <a16:creationId xmlns:a16="http://schemas.microsoft.com/office/drawing/2014/main" id="{0B5E8C75-D587-4AA9-8C05-1A14A2A410C0}"/>
            </a:ext>
          </a:extLst>
        </xdr:cNvPr>
        <xdr:cNvSpPr>
          <a:spLocks noChangeAspect="1"/>
        </xdr:cNvSpPr>
      </xdr:nvSpPr>
      <xdr:spPr>
        <a:xfrm>
          <a:off x="82332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59</xdr:row>
      <xdr:rowOff>75750</xdr:rowOff>
    </xdr:from>
    <xdr:to>
      <xdr:col>12</xdr:col>
      <xdr:colOff>237601</xdr:colOff>
      <xdr:row>63</xdr:row>
      <xdr:rowOff>163951</xdr:rowOff>
    </xdr:to>
    <xdr:sp macro="" textlink="">
      <xdr:nvSpPr>
        <xdr:cNvPr id="246223" name="フリーフォーム: 図形 246222">
          <a:extLst>
            <a:ext uri="{FF2B5EF4-FFF2-40B4-BE49-F238E27FC236}">
              <a16:creationId xmlns:a16="http://schemas.microsoft.com/office/drawing/2014/main" id="{55996CAF-58D7-4124-BE31-D982EEBECEEB}"/>
            </a:ext>
          </a:extLst>
        </xdr:cNvPr>
        <xdr:cNvSpPr>
          <a:spLocks noChangeAspect="1"/>
        </xdr:cNvSpPr>
      </xdr:nvSpPr>
      <xdr:spPr>
        <a:xfrm>
          <a:off x="81972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59</xdr:row>
      <xdr:rowOff>93750</xdr:rowOff>
    </xdr:from>
    <xdr:to>
      <xdr:col>11</xdr:col>
      <xdr:colOff>653401</xdr:colOff>
      <xdr:row>64</xdr:row>
      <xdr:rowOff>118501</xdr:rowOff>
    </xdr:to>
    <xdr:sp macro="" textlink="">
      <xdr:nvSpPr>
        <xdr:cNvPr id="246224" name="フリーフォーム: 図形 246223">
          <a:extLst>
            <a:ext uri="{FF2B5EF4-FFF2-40B4-BE49-F238E27FC236}">
              <a16:creationId xmlns:a16="http://schemas.microsoft.com/office/drawing/2014/main" id="{6310DE14-50E0-4B01-A2FC-DAB68E3C665F}"/>
            </a:ext>
          </a:extLst>
        </xdr:cNvPr>
        <xdr:cNvSpPr>
          <a:spLocks noChangeAspect="1"/>
        </xdr:cNvSpPr>
      </xdr:nvSpPr>
      <xdr:spPr>
        <a:xfrm>
          <a:off x="79632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59</xdr:row>
      <xdr:rowOff>75750</xdr:rowOff>
    </xdr:from>
    <xdr:to>
      <xdr:col>11</xdr:col>
      <xdr:colOff>617401</xdr:colOff>
      <xdr:row>64</xdr:row>
      <xdr:rowOff>10501</xdr:rowOff>
    </xdr:to>
    <xdr:sp macro="" textlink="">
      <xdr:nvSpPr>
        <xdr:cNvPr id="246225" name="フリーフォーム: 図形 246224">
          <a:extLst>
            <a:ext uri="{FF2B5EF4-FFF2-40B4-BE49-F238E27FC236}">
              <a16:creationId xmlns:a16="http://schemas.microsoft.com/office/drawing/2014/main" id="{15380937-F629-4887-BB30-711A5E04BCFE}"/>
            </a:ext>
          </a:extLst>
        </xdr:cNvPr>
        <xdr:cNvSpPr>
          <a:spLocks noChangeAspect="1"/>
        </xdr:cNvSpPr>
      </xdr:nvSpPr>
      <xdr:spPr>
        <a:xfrm>
          <a:off x="76392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53</xdr:row>
      <xdr:rowOff>42450</xdr:rowOff>
    </xdr:from>
    <xdr:to>
      <xdr:col>14</xdr:col>
      <xdr:colOff>550801</xdr:colOff>
      <xdr:row>54</xdr:row>
      <xdr:rowOff>15001</xdr:rowOff>
    </xdr:to>
    <xdr:sp macro="" textlink="">
      <xdr:nvSpPr>
        <xdr:cNvPr id="246226" name="フリーフォーム: 図形 246225">
          <a:extLst>
            <a:ext uri="{FF2B5EF4-FFF2-40B4-BE49-F238E27FC236}">
              <a16:creationId xmlns:a16="http://schemas.microsoft.com/office/drawing/2014/main" id="{F3A53558-6A67-45E0-AF7A-F4BF8EFA96FB}"/>
            </a:ext>
          </a:extLst>
        </xdr:cNvPr>
        <xdr:cNvSpPr>
          <a:spLocks noChangeAspect="1"/>
        </xdr:cNvSpPr>
      </xdr:nvSpPr>
      <xdr:spPr>
        <a:xfrm>
          <a:off x="96840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53</xdr:row>
      <xdr:rowOff>42450</xdr:rowOff>
    </xdr:from>
    <xdr:to>
      <xdr:col>15</xdr:col>
      <xdr:colOff>405001</xdr:colOff>
      <xdr:row>54</xdr:row>
      <xdr:rowOff>15001</xdr:rowOff>
    </xdr:to>
    <xdr:sp macro="" textlink="">
      <xdr:nvSpPr>
        <xdr:cNvPr id="246227" name="フリーフォーム: 図形 246226">
          <a:extLst>
            <a:ext uri="{FF2B5EF4-FFF2-40B4-BE49-F238E27FC236}">
              <a16:creationId xmlns:a16="http://schemas.microsoft.com/office/drawing/2014/main" id="{FFE2DAAF-7A37-4D06-87A6-6AE5E7950C0A}"/>
            </a:ext>
          </a:extLst>
        </xdr:cNvPr>
        <xdr:cNvSpPr>
          <a:spLocks noChangeAspect="1"/>
        </xdr:cNvSpPr>
      </xdr:nvSpPr>
      <xdr:spPr>
        <a:xfrm>
          <a:off x="102240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53</xdr:row>
      <xdr:rowOff>114450</xdr:rowOff>
    </xdr:from>
    <xdr:to>
      <xdr:col>15</xdr:col>
      <xdr:colOff>477001</xdr:colOff>
      <xdr:row>59</xdr:row>
      <xdr:rowOff>21751</xdr:rowOff>
    </xdr:to>
    <xdr:sp macro="" textlink="">
      <xdr:nvSpPr>
        <xdr:cNvPr id="246228" name="フリーフォーム: 図形 246227">
          <a:extLst>
            <a:ext uri="{FF2B5EF4-FFF2-40B4-BE49-F238E27FC236}">
              <a16:creationId xmlns:a16="http://schemas.microsoft.com/office/drawing/2014/main" id="{E0F41397-958A-4092-8D25-F531A548A0A0}"/>
            </a:ext>
          </a:extLst>
        </xdr:cNvPr>
        <xdr:cNvSpPr>
          <a:spLocks noChangeAspect="1"/>
        </xdr:cNvSpPr>
      </xdr:nvSpPr>
      <xdr:spPr>
        <a:xfrm>
          <a:off x="104760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59</xdr:row>
      <xdr:rowOff>75750</xdr:rowOff>
    </xdr:from>
    <xdr:to>
      <xdr:col>15</xdr:col>
      <xdr:colOff>297001</xdr:colOff>
      <xdr:row>64</xdr:row>
      <xdr:rowOff>136501</xdr:rowOff>
    </xdr:to>
    <xdr:sp macro="" textlink="">
      <xdr:nvSpPr>
        <xdr:cNvPr id="246229" name="フリーフォーム: 図形 246228">
          <a:extLst>
            <a:ext uri="{FF2B5EF4-FFF2-40B4-BE49-F238E27FC236}">
              <a16:creationId xmlns:a16="http://schemas.microsoft.com/office/drawing/2014/main" id="{CB420DA4-5A86-4720-A58B-9CD0C7A6B570}"/>
            </a:ext>
          </a:extLst>
        </xdr:cNvPr>
        <xdr:cNvSpPr>
          <a:spLocks noChangeAspect="1"/>
        </xdr:cNvSpPr>
      </xdr:nvSpPr>
      <xdr:spPr>
        <a:xfrm>
          <a:off x="102960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64</xdr:row>
      <xdr:rowOff>64500</xdr:rowOff>
    </xdr:from>
    <xdr:to>
      <xdr:col>14</xdr:col>
      <xdr:colOff>226801</xdr:colOff>
      <xdr:row>65</xdr:row>
      <xdr:rowOff>37051</xdr:rowOff>
    </xdr:to>
    <xdr:sp macro="" textlink="">
      <xdr:nvSpPr>
        <xdr:cNvPr id="246230" name="フリーフォーム: 図形 246229">
          <a:extLst>
            <a:ext uri="{FF2B5EF4-FFF2-40B4-BE49-F238E27FC236}">
              <a16:creationId xmlns:a16="http://schemas.microsoft.com/office/drawing/2014/main" id="{280DF6F7-7292-4A1D-93EC-BEE148C55EB8}"/>
            </a:ext>
          </a:extLst>
        </xdr:cNvPr>
        <xdr:cNvSpPr>
          <a:spLocks noChangeAspect="1"/>
        </xdr:cNvSpPr>
      </xdr:nvSpPr>
      <xdr:spPr>
        <a:xfrm>
          <a:off x="93420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64</xdr:row>
      <xdr:rowOff>64500</xdr:rowOff>
    </xdr:from>
    <xdr:to>
      <xdr:col>15</xdr:col>
      <xdr:colOff>45001</xdr:colOff>
      <xdr:row>65</xdr:row>
      <xdr:rowOff>37051</xdr:rowOff>
    </xdr:to>
    <xdr:sp macro="" textlink="">
      <xdr:nvSpPr>
        <xdr:cNvPr id="246231" name="フリーフォーム: 図形 246230">
          <a:extLst>
            <a:ext uri="{FF2B5EF4-FFF2-40B4-BE49-F238E27FC236}">
              <a16:creationId xmlns:a16="http://schemas.microsoft.com/office/drawing/2014/main" id="{02883BF5-B169-4FCA-B0EC-DF5FC6799E7A}"/>
            </a:ext>
          </a:extLst>
        </xdr:cNvPr>
        <xdr:cNvSpPr>
          <a:spLocks noChangeAspect="1"/>
        </xdr:cNvSpPr>
      </xdr:nvSpPr>
      <xdr:spPr>
        <a:xfrm>
          <a:off x="98640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59</xdr:row>
      <xdr:rowOff>75750</xdr:rowOff>
    </xdr:from>
    <xdr:to>
      <xdr:col>13</xdr:col>
      <xdr:colOff>660601</xdr:colOff>
      <xdr:row>64</xdr:row>
      <xdr:rowOff>136501</xdr:rowOff>
    </xdr:to>
    <xdr:sp macro="" textlink="">
      <xdr:nvSpPr>
        <xdr:cNvPr id="246232" name="フリーフォーム: 図形 246231">
          <a:extLst>
            <a:ext uri="{FF2B5EF4-FFF2-40B4-BE49-F238E27FC236}">
              <a16:creationId xmlns:a16="http://schemas.microsoft.com/office/drawing/2014/main" id="{EF3A9A5C-C024-43C0-95B5-DED701A9BF51}"/>
            </a:ext>
          </a:extLst>
        </xdr:cNvPr>
        <xdr:cNvSpPr>
          <a:spLocks noChangeAspect="1"/>
        </xdr:cNvSpPr>
      </xdr:nvSpPr>
      <xdr:spPr>
        <a:xfrm>
          <a:off x="92880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53</xdr:row>
      <xdr:rowOff>114450</xdr:rowOff>
    </xdr:from>
    <xdr:to>
      <xdr:col>14</xdr:col>
      <xdr:colOff>118801</xdr:colOff>
      <xdr:row>59</xdr:row>
      <xdr:rowOff>21751</xdr:rowOff>
    </xdr:to>
    <xdr:sp macro="" textlink="">
      <xdr:nvSpPr>
        <xdr:cNvPr id="246233" name="フリーフォーム: 図形 246232">
          <a:extLst>
            <a:ext uri="{FF2B5EF4-FFF2-40B4-BE49-F238E27FC236}">
              <a16:creationId xmlns:a16="http://schemas.microsoft.com/office/drawing/2014/main" id="{D5D560B8-8291-469F-8DA1-8D08C29E8424}"/>
            </a:ext>
          </a:extLst>
        </xdr:cNvPr>
        <xdr:cNvSpPr>
          <a:spLocks noChangeAspect="1"/>
        </xdr:cNvSpPr>
      </xdr:nvSpPr>
      <xdr:spPr>
        <a:xfrm>
          <a:off x="94680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58</xdr:row>
      <xdr:rowOff>139200</xdr:rowOff>
    </xdr:from>
    <xdr:to>
      <xdr:col>14</xdr:col>
      <xdr:colOff>388801</xdr:colOff>
      <xdr:row>59</xdr:row>
      <xdr:rowOff>111751</xdr:rowOff>
    </xdr:to>
    <xdr:sp macro="" textlink="">
      <xdr:nvSpPr>
        <xdr:cNvPr id="246234" name="フリーフォーム: 図形 246233">
          <a:extLst>
            <a:ext uri="{FF2B5EF4-FFF2-40B4-BE49-F238E27FC236}">
              <a16:creationId xmlns:a16="http://schemas.microsoft.com/office/drawing/2014/main" id="{66E4DBC3-2A59-449B-AF96-E8AE0C3FF33A}"/>
            </a:ext>
          </a:extLst>
        </xdr:cNvPr>
        <xdr:cNvSpPr>
          <a:spLocks noChangeAspect="1"/>
        </xdr:cNvSpPr>
      </xdr:nvSpPr>
      <xdr:spPr>
        <a:xfrm>
          <a:off x="95400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58</xdr:row>
      <xdr:rowOff>139200</xdr:rowOff>
    </xdr:from>
    <xdr:to>
      <xdr:col>15</xdr:col>
      <xdr:colOff>207001</xdr:colOff>
      <xdr:row>59</xdr:row>
      <xdr:rowOff>111751</xdr:rowOff>
    </xdr:to>
    <xdr:sp macro="" textlink="">
      <xdr:nvSpPr>
        <xdr:cNvPr id="246235" name="フリーフォーム: 図形 246234">
          <a:extLst>
            <a:ext uri="{FF2B5EF4-FFF2-40B4-BE49-F238E27FC236}">
              <a16:creationId xmlns:a16="http://schemas.microsoft.com/office/drawing/2014/main" id="{2743F94B-9322-4FB4-B011-064759139848}"/>
            </a:ext>
          </a:extLst>
        </xdr:cNvPr>
        <xdr:cNvSpPr>
          <a:spLocks noChangeAspect="1"/>
        </xdr:cNvSpPr>
      </xdr:nvSpPr>
      <xdr:spPr>
        <a:xfrm>
          <a:off x="100440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54</xdr:row>
      <xdr:rowOff>51000</xdr:rowOff>
    </xdr:from>
    <xdr:to>
      <xdr:col>14</xdr:col>
      <xdr:colOff>406801</xdr:colOff>
      <xdr:row>59</xdr:row>
      <xdr:rowOff>3751</xdr:rowOff>
    </xdr:to>
    <xdr:sp macro="" textlink="">
      <xdr:nvSpPr>
        <xdr:cNvPr id="246236" name="フリーフォーム: 図形 246235">
          <a:extLst>
            <a:ext uri="{FF2B5EF4-FFF2-40B4-BE49-F238E27FC236}">
              <a16:creationId xmlns:a16="http://schemas.microsoft.com/office/drawing/2014/main" id="{82D3E25F-F719-44F0-B3EA-5308473BFC97}"/>
            </a:ext>
          </a:extLst>
        </xdr:cNvPr>
        <xdr:cNvSpPr>
          <a:spLocks noChangeAspect="1"/>
        </xdr:cNvSpPr>
      </xdr:nvSpPr>
      <xdr:spPr>
        <a:xfrm>
          <a:off x="97380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53</xdr:row>
      <xdr:rowOff>114450</xdr:rowOff>
    </xdr:from>
    <xdr:to>
      <xdr:col>14</xdr:col>
      <xdr:colOff>658801</xdr:colOff>
      <xdr:row>58</xdr:row>
      <xdr:rowOff>157201</xdr:rowOff>
    </xdr:to>
    <xdr:sp macro="" textlink="">
      <xdr:nvSpPr>
        <xdr:cNvPr id="246237" name="フリーフォーム: 図形 246236">
          <a:extLst>
            <a:ext uri="{FF2B5EF4-FFF2-40B4-BE49-F238E27FC236}">
              <a16:creationId xmlns:a16="http://schemas.microsoft.com/office/drawing/2014/main" id="{0F6CB875-4A01-4C47-B3E2-F2787A2DF685}"/>
            </a:ext>
          </a:extLst>
        </xdr:cNvPr>
        <xdr:cNvSpPr>
          <a:spLocks noChangeAspect="1"/>
        </xdr:cNvSpPr>
      </xdr:nvSpPr>
      <xdr:spPr>
        <a:xfrm>
          <a:off x="100080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54</xdr:row>
      <xdr:rowOff>69000</xdr:rowOff>
    </xdr:from>
    <xdr:to>
      <xdr:col>15</xdr:col>
      <xdr:colOff>297001</xdr:colOff>
      <xdr:row>59</xdr:row>
      <xdr:rowOff>3751</xdr:rowOff>
    </xdr:to>
    <xdr:sp macro="" textlink="">
      <xdr:nvSpPr>
        <xdr:cNvPr id="246238" name="フリーフォーム: 図形 246237">
          <a:extLst>
            <a:ext uri="{FF2B5EF4-FFF2-40B4-BE49-F238E27FC236}">
              <a16:creationId xmlns:a16="http://schemas.microsoft.com/office/drawing/2014/main" id="{EC7A10D8-F02A-4FC4-A653-22F3994BA6EC}"/>
            </a:ext>
          </a:extLst>
        </xdr:cNvPr>
        <xdr:cNvSpPr>
          <a:spLocks noChangeAspect="1"/>
        </xdr:cNvSpPr>
      </xdr:nvSpPr>
      <xdr:spPr>
        <a:xfrm>
          <a:off x="100620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59</xdr:row>
      <xdr:rowOff>75750</xdr:rowOff>
    </xdr:from>
    <xdr:to>
      <xdr:col>15</xdr:col>
      <xdr:colOff>9001</xdr:colOff>
      <xdr:row>63</xdr:row>
      <xdr:rowOff>163951</xdr:rowOff>
    </xdr:to>
    <xdr:sp macro="" textlink="">
      <xdr:nvSpPr>
        <xdr:cNvPr id="246239" name="フリーフォーム: 図形 246238">
          <a:extLst>
            <a:ext uri="{FF2B5EF4-FFF2-40B4-BE49-F238E27FC236}">
              <a16:creationId xmlns:a16="http://schemas.microsoft.com/office/drawing/2014/main" id="{ECE17AB6-1740-44C8-8FD0-31E590E588B9}"/>
            </a:ext>
          </a:extLst>
        </xdr:cNvPr>
        <xdr:cNvSpPr>
          <a:spLocks noChangeAspect="1"/>
        </xdr:cNvSpPr>
      </xdr:nvSpPr>
      <xdr:spPr>
        <a:xfrm>
          <a:off x="100260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59</xdr:row>
      <xdr:rowOff>93750</xdr:rowOff>
    </xdr:from>
    <xdr:to>
      <xdr:col>14</xdr:col>
      <xdr:colOff>424801</xdr:colOff>
      <xdr:row>64</xdr:row>
      <xdr:rowOff>118501</xdr:rowOff>
    </xdr:to>
    <xdr:sp macro="" textlink="">
      <xdr:nvSpPr>
        <xdr:cNvPr id="246240" name="フリーフォーム: 図形 246239">
          <a:extLst>
            <a:ext uri="{FF2B5EF4-FFF2-40B4-BE49-F238E27FC236}">
              <a16:creationId xmlns:a16="http://schemas.microsoft.com/office/drawing/2014/main" id="{8833356D-9B98-4823-AC39-9F47B3F66D90}"/>
            </a:ext>
          </a:extLst>
        </xdr:cNvPr>
        <xdr:cNvSpPr>
          <a:spLocks noChangeAspect="1"/>
        </xdr:cNvSpPr>
      </xdr:nvSpPr>
      <xdr:spPr>
        <a:xfrm>
          <a:off x="97920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59</xdr:row>
      <xdr:rowOff>75750</xdr:rowOff>
    </xdr:from>
    <xdr:to>
      <xdr:col>14</xdr:col>
      <xdr:colOff>388801</xdr:colOff>
      <xdr:row>64</xdr:row>
      <xdr:rowOff>10501</xdr:rowOff>
    </xdr:to>
    <xdr:sp macro="" textlink="">
      <xdr:nvSpPr>
        <xdr:cNvPr id="246241" name="フリーフォーム: 図形 246240">
          <a:extLst>
            <a:ext uri="{FF2B5EF4-FFF2-40B4-BE49-F238E27FC236}">
              <a16:creationId xmlns:a16="http://schemas.microsoft.com/office/drawing/2014/main" id="{EF03535C-E7BF-4BFA-9ECA-DB9F7A3EC6B1}"/>
            </a:ext>
          </a:extLst>
        </xdr:cNvPr>
        <xdr:cNvSpPr>
          <a:spLocks noChangeAspect="1"/>
        </xdr:cNvSpPr>
      </xdr:nvSpPr>
      <xdr:spPr>
        <a:xfrm>
          <a:off x="94680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53</xdr:row>
      <xdr:rowOff>42450</xdr:rowOff>
    </xdr:from>
    <xdr:to>
      <xdr:col>17</xdr:col>
      <xdr:colOff>322201</xdr:colOff>
      <xdr:row>54</xdr:row>
      <xdr:rowOff>15001</xdr:rowOff>
    </xdr:to>
    <xdr:sp macro="" textlink="">
      <xdr:nvSpPr>
        <xdr:cNvPr id="246242" name="フリーフォーム: 図形 246241">
          <a:extLst>
            <a:ext uri="{FF2B5EF4-FFF2-40B4-BE49-F238E27FC236}">
              <a16:creationId xmlns:a16="http://schemas.microsoft.com/office/drawing/2014/main" id="{5D7AC620-DAE6-431E-94C6-D6C4DC67613B}"/>
            </a:ext>
          </a:extLst>
        </xdr:cNvPr>
        <xdr:cNvSpPr>
          <a:spLocks noChangeAspect="1"/>
        </xdr:cNvSpPr>
      </xdr:nvSpPr>
      <xdr:spPr>
        <a:xfrm>
          <a:off x="11512800" y="93960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53</xdr:row>
      <xdr:rowOff>42450</xdr:rowOff>
    </xdr:from>
    <xdr:to>
      <xdr:col>18</xdr:col>
      <xdr:colOff>176401</xdr:colOff>
      <xdr:row>54</xdr:row>
      <xdr:rowOff>15001</xdr:rowOff>
    </xdr:to>
    <xdr:sp macro="" textlink="">
      <xdr:nvSpPr>
        <xdr:cNvPr id="246243" name="フリーフォーム: 図形 246242">
          <a:extLst>
            <a:ext uri="{FF2B5EF4-FFF2-40B4-BE49-F238E27FC236}">
              <a16:creationId xmlns:a16="http://schemas.microsoft.com/office/drawing/2014/main" id="{0DAE9BC4-79EF-4E35-8416-997926C956D5}"/>
            </a:ext>
          </a:extLst>
        </xdr:cNvPr>
        <xdr:cNvSpPr>
          <a:spLocks noChangeAspect="1"/>
        </xdr:cNvSpPr>
      </xdr:nvSpPr>
      <xdr:spPr>
        <a:xfrm>
          <a:off x="12052800" y="93960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53</xdr:row>
      <xdr:rowOff>114450</xdr:rowOff>
    </xdr:from>
    <xdr:to>
      <xdr:col>18</xdr:col>
      <xdr:colOff>248401</xdr:colOff>
      <xdr:row>59</xdr:row>
      <xdr:rowOff>21751</xdr:rowOff>
    </xdr:to>
    <xdr:sp macro="" textlink="">
      <xdr:nvSpPr>
        <xdr:cNvPr id="246244" name="フリーフォーム: 図形 246243">
          <a:extLst>
            <a:ext uri="{FF2B5EF4-FFF2-40B4-BE49-F238E27FC236}">
              <a16:creationId xmlns:a16="http://schemas.microsoft.com/office/drawing/2014/main" id="{9C84C72F-4083-4C3C-AAB6-4B0909B2027A}"/>
            </a:ext>
          </a:extLst>
        </xdr:cNvPr>
        <xdr:cNvSpPr>
          <a:spLocks noChangeAspect="1"/>
        </xdr:cNvSpPr>
      </xdr:nvSpPr>
      <xdr:spPr>
        <a:xfrm>
          <a:off x="12304800" y="9468000"/>
          <a:ext cx="288001" cy="936001"/>
        </a:xfrm>
        <a:custGeom>
          <a:avLst/>
          <a:gdLst/>
          <a:ahLst/>
          <a:cxnLst/>
          <a:rect l="0" t="0" r="0" b="0"/>
          <a:pathLst>
            <a:path w="288001" h="936001">
              <a:moveTo>
                <a:pt x="144000" y="108000"/>
              </a:moveTo>
              <a:lnTo>
                <a:pt x="252000" y="0"/>
              </a:lnTo>
              <a:lnTo>
                <a:pt x="288000" y="72000"/>
              </a:lnTo>
              <a:lnTo>
                <a:pt x="144000"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59</xdr:row>
      <xdr:rowOff>75750</xdr:rowOff>
    </xdr:from>
    <xdr:to>
      <xdr:col>18</xdr:col>
      <xdr:colOff>68401</xdr:colOff>
      <xdr:row>64</xdr:row>
      <xdr:rowOff>136501</xdr:rowOff>
    </xdr:to>
    <xdr:sp macro="" textlink="">
      <xdr:nvSpPr>
        <xdr:cNvPr id="246245" name="フリーフォーム: 図形 246244">
          <a:extLst>
            <a:ext uri="{FF2B5EF4-FFF2-40B4-BE49-F238E27FC236}">
              <a16:creationId xmlns:a16="http://schemas.microsoft.com/office/drawing/2014/main" id="{CB76ACA3-4ECB-4C9C-A98D-29FC0BD23EED}"/>
            </a:ext>
          </a:extLst>
        </xdr:cNvPr>
        <xdr:cNvSpPr>
          <a:spLocks noChangeAspect="1"/>
        </xdr:cNvSpPr>
      </xdr:nvSpPr>
      <xdr:spPr>
        <a:xfrm>
          <a:off x="12124800" y="10458000"/>
          <a:ext cx="288001" cy="918001"/>
        </a:xfrm>
        <a:custGeom>
          <a:avLst/>
          <a:gdLst/>
          <a:ahLst/>
          <a:cxnLst/>
          <a:rect l="0" t="0" r="0" b="0"/>
          <a:pathLst>
            <a:path w="288001" h="918001">
              <a:moveTo>
                <a:pt x="144000" y="72000"/>
              </a:moveTo>
              <a:lnTo>
                <a:pt x="216000" y="0"/>
              </a:lnTo>
              <a:lnTo>
                <a:pt x="288000" y="54000"/>
              </a:lnTo>
              <a:lnTo>
                <a:pt x="144000" y="846000"/>
              </a:lnTo>
              <a:lnTo>
                <a:pt x="72000"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64</xdr:row>
      <xdr:rowOff>64500</xdr:rowOff>
    </xdr:from>
    <xdr:to>
      <xdr:col>16</xdr:col>
      <xdr:colOff>684001</xdr:colOff>
      <xdr:row>65</xdr:row>
      <xdr:rowOff>37051</xdr:rowOff>
    </xdr:to>
    <xdr:sp macro="" textlink="">
      <xdr:nvSpPr>
        <xdr:cNvPr id="246246" name="フリーフォーム: 図形 246245">
          <a:extLst>
            <a:ext uri="{FF2B5EF4-FFF2-40B4-BE49-F238E27FC236}">
              <a16:creationId xmlns:a16="http://schemas.microsoft.com/office/drawing/2014/main" id="{E578246E-295C-4F12-ABD1-1BA1E6C9AC58}"/>
            </a:ext>
          </a:extLst>
        </xdr:cNvPr>
        <xdr:cNvSpPr>
          <a:spLocks noChangeAspect="1"/>
        </xdr:cNvSpPr>
      </xdr:nvSpPr>
      <xdr:spPr>
        <a:xfrm>
          <a:off x="11170800" y="113040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64</xdr:row>
      <xdr:rowOff>64500</xdr:rowOff>
    </xdr:from>
    <xdr:to>
      <xdr:col>17</xdr:col>
      <xdr:colOff>502201</xdr:colOff>
      <xdr:row>65</xdr:row>
      <xdr:rowOff>37051</xdr:rowOff>
    </xdr:to>
    <xdr:sp macro="" textlink="">
      <xdr:nvSpPr>
        <xdr:cNvPr id="246247" name="フリーフォーム: 図形 246246">
          <a:extLst>
            <a:ext uri="{FF2B5EF4-FFF2-40B4-BE49-F238E27FC236}">
              <a16:creationId xmlns:a16="http://schemas.microsoft.com/office/drawing/2014/main" id="{BCC77ACA-8E36-4FE8-8EA6-A01E7FC66D7C}"/>
            </a:ext>
          </a:extLst>
        </xdr:cNvPr>
        <xdr:cNvSpPr>
          <a:spLocks noChangeAspect="1"/>
        </xdr:cNvSpPr>
      </xdr:nvSpPr>
      <xdr:spPr>
        <a:xfrm>
          <a:off x="11692800" y="113040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59</xdr:row>
      <xdr:rowOff>75750</xdr:rowOff>
    </xdr:from>
    <xdr:to>
      <xdr:col>16</xdr:col>
      <xdr:colOff>432001</xdr:colOff>
      <xdr:row>64</xdr:row>
      <xdr:rowOff>136501</xdr:rowOff>
    </xdr:to>
    <xdr:sp macro="" textlink="">
      <xdr:nvSpPr>
        <xdr:cNvPr id="246248" name="フリーフォーム: 図形 246247">
          <a:extLst>
            <a:ext uri="{FF2B5EF4-FFF2-40B4-BE49-F238E27FC236}">
              <a16:creationId xmlns:a16="http://schemas.microsoft.com/office/drawing/2014/main" id="{849854F2-340F-47CD-9478-6D6999B86D16}"/>
            </a:ext>
          </a:extLst>
        </xdr:cNvPr>
        <xdr:cNvSpPr>
          <a:spLocks noChangeAspect="1"/>
        </xdr:cNvSpPr>
      </xdr:nvSpPr>
      <xdr:spPr>
        <a:xfrm>
          <a:off x="11116800" y="10458000"/>
          <a:ext cx="288001" cy="918001"/>
        </a:xfrm>
        <a:custGeom>
          <a:avLst/>
          <a:gdLst/>
          <a:ahLst/>
          <a:cxnLst/>
          <a:rect l="0" t="0" r="0" b="0"/>
          <a:pathLst>
            <a:path w="288001" h="918001">
              <a:moveTo>
                <a:pt x="144000" y="54000"/>
              </a:moveTo>
              <a:lnTo>
                <a:pt x="216000" y="0"/>
              </a:lnTo>
              <a:lnTo>
                <a:pt x="288000"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53</xdr:row>
      <xdr:rowOff>114450</xdr:rowOff>
    </xdr:from>
    <xdr:to>
      <xdr:col>16</xdr:col>
      <xdr:colOff>576001</xdr:colOff>
      <xdr:row>59</xdr:row>
      <xdr:rowOff>21751</xdr:rowOff>
    </xdr:to>
    <xdr:sp macro="" textlink="">
      <xdr:nvSpPr>
        <xdr:cNvPr id="246249" name="フリーフォーム: 図形 246248">
          <a:extLst>
            <a:ext uri="{FF2B5EF4-FFF2-40B4-BE49-F238E27FC236}">
              <a16:creationId xmlns:a16="http://schemas.microsoft.com/office/drawing/2014/main" id="{EEFB369D-AE60-4681-853E-2F4765D370DB}"/>
            </a:ext>
          </a:extLst>
        </xdr:cNvPr>
        <xdr:cNvSpPr>
          <a:spLocks noChangeAspect="1"/>
        </xdr:cNvSpPr>
      </xdr:nvSpPr>
      <xdr:spPr>
        <a:xfrm>
          <a:off x="11296800" y="9468000"/>
          <a:ext cx="252001" cy="936001"/>
        </a:xfrm>
        <a:custGeom>
          <a:avLst/>
          <a:gdLst/>
          <a:ahLst/>
          <a:cxnLst/>
          <a:rect l="0" t="0" r="0" b="0"/>
          <a:pathLst>
            <a:path w="252001" h="936001">
              <a:moveTo>
                <a:pt x="126000" y="72000"/>
              </a:moveTo>
              <a:lnTo>
                <a:pt x="180000" y="0"/>
              </a:lnTo>
              <a:lnTo>
                <a:pt x="252000" y="108000"/>
              </a:lnTo>
              <a:lnTo>
                <a:pt x="144000"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58</xdr:row>
      <xdr:rowOff>139200</xdr:rowOff>
    </xdr:from>
    <xdr:to>
      <xdr:col>17</xdr:col>
      <xdr:colOff>160201</xdr:colOff>
      <xdr:row>59</xdr:row>
      <xdr:rowOff>111751</xdr:rowOff>
    </xdr:to>
    <xdr:sp macro="" textlink="">
      <xdr:nvSpPr>
        <xdr:cNvPr id="246250" name="フリーフォーム: 図形 246249">
          <a:extLst>
            <a:ext uri="{FF2B5EF4-FFF2-40B4-BE49-F238E27FC236}">
              <a16:creationId xmlns:a16="http://schemas.microsoft.com/office/drawing/2014/main" id="{31EA4B87-2536-4886-8E72-4C1C470872C6}"/>
            </a:ext>
          </a:extLst>
        </xdr:cNvPr>
        <xdr:cNvSpPr>
          <a:spLocks noChangeAspect="1"/>
        </xdr:cNvSpPr>
      </xdr:nvSpPr>
      <xdr:spPr>
        <a:xfrm>
          <a:off x="11368800" y="10350000"/>
          <a:ext cx="450001" cy="144001"/>
        </a:xfrm>
        <a:custGeom>
          <a:avLst/>
          <a:gdLst/>
          <a:ahLst/>
          <a:cxnLst/>
          <a:rect l="0" t="0" r="0" b="0"/>
          <a:pathLst>
            <a:path w="450001" h="144001">
              <a:moveTo>
                <a:pt x="90000" y="0"/>
              </a:moveTo>
              <a:lnTo>
                <a:pt x="360000" y="0"/>
              </a:lnTo>
              <a:lnTo>
                <a:pt x="450000" y="72000"/>
              </a:lnTo>
              <a:lnTo>
                <a:pt x="324000" y="144000"/>
              </a:lnTo>
              <a:lnTo>
                <a:pt x="72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58</xdr:row>
      <xdr:rowOff>139200</xdr:rowOff>
    </xdr:from>
    <xdr:to>
      <xdr:col>17</xdr:col>
      <xdr:colOff>664201</xdr:colOff>
      <xdr:row>59</xdr:row>
      <xdr:rowOff>111751</xdr:rowOff>
    </xdr:to>
    <xdr:sp macro="" textlink="">
      <xdr:nvSpPr>
        <xdr:cNvPr id="246251" name="フリーフォーム: 図形 246250">
          <a:extLst>
            <a:ext uri="{FF2B5EF4-FFF2-40B4-BE49-F238E27FC236}">
              <a16:creationId xmlns:a16="http://schemas.microsoft.com/office/drawing/2014/main" id="{F332AF7E-856F-4A89-A1BB-ACBA336D2B08}"/>
            </a:ext>
          </a:extLst>
        </xdr:cNvPr>
        <xdr:cNvSpPr>
          <a:spLocks noChangeAspect="1"/>
        </xdr:cNvSpPr>
      </xdr:nvSpPr>
      <xdr:spPr>
        <a:xfrm>
          <a:off x="11872800" y="10350000"/>
          <a:ext cx="450001" cy="144001"/>
        </a:xfrm>
        <a:custGeom>
          <a:avLst/>
          <a:gdLst/>
          <a:ahLst/>
          <a:cxnLst/>
          <a:rect l="0" t="0" r="0" b="0"/>
          <a:pathLst>
            <a:path w="450001" h="144001">
              <a:moveTo>
                <a:pt x="144000" y="0"/>
              </a:moveTo>
              <a:lnTo>
                <a:pt x="396000" y="0"/>
              </a:lnTo>
              <a:lnTo>
                <a:pt x="450000" y="72000"/>
              </a:lnTo>
              <a:lnTo>
                <a:pt x="360000" y="144000"/>
              </a:lnTo>
              <a:lnTo>
                <a:pt x="90000"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54</xdr:row>
      <xdr:rowOff>51000</xdr:rowOff>
    </xdr:from>
    <xdr:to>
      <xdr:col>17</xdr:col>
      <xdr:colOff>178201</xdr:colOff>
      <xdr:row>59</xdr:row>
      <xdr:rowOff>3751</xdr:rowOff>
    </xdr:to>
    <xdr:sp macro="" textlink="">
      <xdr:nvSpPr>
        <xdr:cNvPr id="246252" name="フリーフォーム: 図形 246251">
          <a:extLst>
            <a:ext uri="{FF2B5EF4-FFF2-40B4-BE49-F238E27FC236}">
              <a16:creationId xmlns:a16="http://schemas.microsoft.com/office/drawing/2014/main" id="{8AC269C9-91FF-4A93-842F-897F6E97A5FA}"/>
            </a:ext>
          </a:extLst>
        </xdr:cNvPr>
        <xdr:cNvSpPr>
          <a:spLocks noChangeAspect="1"/>
        </xdr:cNvSpPr>
      </xdr:nvSpPr>
      <xdr:spPr>
        <a:xfrm>
          <a:off x="11566800" y="95760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53</xdr:row>
      <xdr:rowOff>114450</xdr:rowOff>
    </xdr:from>
    <xdr:to>
      <xdr:col>17</xdr:col>
      <xdr:colOff>430201</xdr:colOff>
      <xdr:row>58</xdr:row>
      <xdr:rowOff>157201</xdr:rowOff>
    </xdr:to>
    <xdr:sp macro="" textlink="">
      <xdr:nvSpPr>
        <xdr:cNvPr id="246253" name="フリーフォーム: 図形 246252">
          <a:extLst>
            <a:ext uri="{FF2B5EF4-FFF2-40B4-BE49-F238E27FC236}">
              <a16:creationId xmlns:a16="http://schemas.microsoft.com/office/drawing/2014/main" id="{6D10E5B9-266C-440D-BE45-FEEAF18510D3}"/>
            </a:ext>
          </a:extLst>
        </xdr:cNvPr>
        <xdr:cNvSpPr>
          <a:spLocks noChangeAspect="1"/>
        </xdr:cNvSpPr>
      </xdr:nvSpPr>
      <xdr:spPr>
        <a:xfrm>
          <a:off x="118368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54</xdr:row>
      <xdr:rowOff>69000</xdr:rowOff>
    </xdr:from>
    <xdr:to>
      <xdr:col>18</xdr:col>
      <xdr:colOff>68401</xdr:colOff>
      <xdr:row>59</xdr:row>
      <xdr:rowOff>3751</xdr:rowOff>
    </xdr:to>
    <xdr:sp macro="" textlink="">
      <xdr:nvSpPr>
        <xdr:cNvPr id="246254" name="フリーフォーム: 図形 246253">
          <a:extLst>
            <a:ext uri="{FF2B5EF4-FFF2-40B4-BE49-F238E27FC236}">
              <a16:creationId xmlns:a16="http://schemas.microsoft.com/office/drawing/2014/main" id="{E88C804A-F89C-49D2-9028-2E08320EA198}"/>
            </a:ext>
          </a:extLst>
        </xdr:cNvPr>
        <xdr:cNvSpPr>
          <a:spLocks noChangeAspect="1"/>
        </xdr:cNvSpPr>
      </xdr:nvSpPr>
      <xdr:spPr>
        <a:xfrm>
          <a:off x="118908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59</xdr:row>
      <xdr:rowOff>75750</xdr:rowOff>
    </xdr:from>
    <xdr:to>
      <xdr:col>17</xdr:col>
      <xdr:colOff>466201</xdr:colOff>
      <xdr:row>63</xdr:row>
      <xdr:rowOff>163951</xdr:rowOff>
    </xdr:to>
    <xdr:sp macro="" textlink="">
      <xdr:nvSpPr>
        <xdr:cNvPr id="246255" name="フリーフォーム: 図形 246254">
          <a:extLst>
            <a:ext uri="{FF2B5EF4-FFF2-40B4-BE49-F238E27FC236}">
              <a16:creationId xmlns:a16="http://schemas.microsoft.com/office/drawing/2014/main" id="{16B62EAC-7542-40F6-B5B5-0718FE03FB92}"/>
            </a:ext>
          </a:extLst>
        </xdr:cNvPr>
        <xdr:cNvSpPr>
          <a:spLocks noChangeAspect="1"/>
        </xdr:cNvSpPr>
      </xdr:nvSpPr>
      <xdr:spPr>
        <a:xfrm>
          <a:off x="11854800" y="10458000"/>
          <a:ext cx="270001" cy="774001"/>
        </a:xfrm>
        <a:custGeom>
          <a:avLst/>
          <a:gdLst/>
          <a:ahLst/>
          <a:cxnLst/>
          <a:rect l="0" t="0" r="0" b="0"/>
          <a:pathLst>
            <a:path w="270001" h="774001">
              <a:moveTo>
                <a:pt x="54000" y="342000"/>
              </a:moveTo>
              <a:lnTo>
                <a:pt x="0" y="0"/>
              </a:lnTo>
              <a:lnTo>
                <a:pt x="90000" y="72000"/>
              </a:lnTo>
              <a:lnTo>
                <a:pt x="270000" y="630000"/>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59</xdr:row>
      <xdr:rowOff>93750</xdr:rowOff>
    </xdr:from>
    <xdr:to>
      <xdr:col>17</xdr:col>
      <xdr:colOff>196201</xdr:colOff>
      <xdr:row>64</xdr:row>
      <xdr:rowOff>118501</xdr:rowOff>
    </xdr:to>
    <xdr:sp macro="" textlink="">
      <xdr:nvSpPr>
        <xdr:cNvPr id="246256" name="フリーフォーム: 図形 246255">
          <a:extLst>
            <a:ext uri="{FF2B5EF4-FFF2-40B4-BE49-F238E27FC236}">
              <a16:creationId xmlns:a16="http://schemas.microsoft.com/office/drawing/2014/main" id="{597B28E4-CAB2-4D88-9293-38D2DE0A5DD5}"/>
            </a:ext>
          </a:extLst>
        </xdr:cNvPr>
        <xdr:cNvSpPr>
          <a:spLocks noChangeAspect="1"/>
        </xdr:cNvSpPr>
      </xdr:nvSpPr>
      <xdr:spPr>
        <a:xfrm>
          <a:off x="11620800" y="10476000"/>
          <a:ext cx="234001" cy="882001"/>
        </a:xfrm>
        <a:custGeom>
          <a:avLst/>
          <a:gdLst/>
          <a:ahLst/>
          <a:cxnLst/>
          <a:rect l="0" t="0" r="0" b="0"/>
          <a:pathLst>
            <a:path w="234001" h="882001">
              <a:moveTo>
                <a:pt x="108000" y="216000"/>
              </a:moveTo>
              <a:lnTo>
                <a:pt x="216000" y="0"/>
              </a:lnTo>
              <a:lnTo>
                <a:pt x="234000"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59</xdr:row>
      <xdr:rowOff>75750</xdr:rowOff>
    </xdr:from>
    <xdr:to>
      <xdr:col>17</xdr:col>
      <xdr:colOff>160201</xdr:colOff>
      <xdr:row>64</xdr:row>
      <xdr:rowOff>10501</xdr:rowOff>
    </xdr:to>
    <xdr:sp macro="" textlink="">
      <xdr:nvSpPr>
        <xdr:cNvPr id="246257" name="フリーフォーム: 図形 246256">
          <a:extLst>
            <a:ext uri="{FF2B5EF4-FFF2-40B4-BE49-F238E27FC236}">
              <a16:creationId xmlns:a16="http://schemas.microsoft.com/office/drawing/2014/main" id="{AEC8D480-D147-42A5-ABD5-5F4209359F37}"/>
            </a:ext>
          </a:extLst>
        </xdr:cNvPr>
        <xdr:cNvSpPr>
          <a:spLocks noChangeAspect="1"/>
        </xdr:cNvSpPr>
      </xdr:nvSpPr>
      <xdr:spPr>
        <a:xfrm>
          <a:off x="11296800" y="10458000"/>
          <a:ext cx="522001" cy="792001"/>
        </a:xfrm>
        <a:custGeom>
          <a:avLst/>
          <a:gdLst/>
          <a:ahLst/>
          <a:cxnLst/>
          <a:rect l="0" t="0" r="0" b="0"/>
          <a:pathLst>
            <a:path w="522001" h="792001">
              <a:moveTo>
                <a:pt x="396000" y="72000"/>
              </a:moveTo>
              <a:lnTo>
                <a:pt x="522000" y="0"/>
              </a:lnTo>
              <a:lnTo>
                <a:pt x="324000"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53</xdr:row>
      <xdr:rowOff>42450</xdr:rowOff>
    </xdr:from>
    <xdr:to>
      <xdr:col>20</xdr:col>
      <xdr:colOff>93601</xdr:colOff>
      <xdr:row>54</xdr:row>
      <xdr:rowOff>15001</xdr:rowOff>
    </xdr:to>
    <xdr:sp macro="" textlink="">
      <xdr:nvSpPr>
        <xdr:cNvPr id="246258" name="フリーフォーム: 図形 246257">
          <a:extLst>
            <a:ext uri="{FF2B5EF4-FFF2-40B4-BE49-F238E27FC236}">
              <a16:creationId xmlns:a16="http://schemas.microsoft.com/office/drawing/2014/main" id="{912AD26D-74BF-4860-865B-5A3AF52D92FB}"/>
            </a:ext>
          </a:extLst>
        </xdr:cNvPr>
        <xdr:cNvSpPr>
          <a:spLocks noChangeAspect="1"/>
        </xdr:cNvSpPr>
      </xdr:nvSpPr>
      <xdr:spPr>
        <a:xfrm>
          <a:off x="133416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53</xdr:row>
      <xdr:rowOff>42450</xdr:rowOff>
    </xdr:from>
    <xdr:to>
      <xdr:col>20</xdr:col>
      <xdr:colOff>633601</xdr:colOff>
      <xdr:row>54</xdr:row>
      <xdr:rowOff>15001</xdr:rowOff>
    </xdr:to>
    <xdr:sp macro="" textlink="">
      <xdr:nvSpPr>
        <xdr:cNvPr id="246259" name="フリーフォーム: 図形 246258">
          <a:extLst>
            <a:ext uri="{FF2B5EF4-FFF2-40B4-BE49-F238E27FC236}">
              <a16:creationId xmlns:a16="http://schemas.microsoft.com/office/drawing/2014/main" id="{D757F0DF-CB97-4FC6-A535-F96C47BD9443}"/>
            </a:ext>
          </a:extLst>
        </xdr:cNvPr>
        <xdr:cNvSpPr>
          <a:spLocks noChangeAspect="1"/>
        </xdr:cNvSpPr>
      </xdr:nvSpPr>
      <xdr:spPr>
        <a:xfrm>
          <a:off x="138816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53</xdr:row>
      <xdr:rowOff>114450</xdr:rowOff>
    </xdr:from>
    <xdr:to>
      <xdr:col>21</xdr:col>
      <xdr:colOff>19801</xdr:colOff>
      <xdr:row>59</xdr:row>
      <xdr:rowOff>21751</xdr:rowOff>
    </xdr:to>
    <xdr:sp macro="" textlink="">
      <xdr:nvSpPr>
        <xdr:cNvPr id="246260" name="フリーフォーム: 図形 246259">
          <a:extLst>
            <a:ext uri="{FF2B5EF4-FFF2-40B4-BE49-F238E27FC236}">
              <a16:creationId xmlns:a16="http://schemas.microsoft.com/office/drawing/2014/main" id="{5AAB77F0-7187-481C-8084-BA3517A20EA8}"/>
            </a:ext>
          </a:extLst>
        </xdr:cNvPr>
        <xdr:cNvSpPr>
          <a:spLocks noChangeAspect="1"/>
        </xdr:cNvSpPr>
      </xdr:nvSpPr>
      <xdr:spPr>
        <a:xfrm>
          <a:off x="141335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59</xdr:row>
      <xdr:rowOff>75750</xdr:rowOff>
    </xdr:from>
    <xdr:to>
      <xdr:col>20</xdr:col>
      <xdr:colOff>525601</xdr:colOff>
      <xdr:row>64</xdr:row>
      <xdr:rowOff>136501</xdr:rowOff>
    </xdr:to>
    <xdr:sp macro="" textlink="">
      <xdr:nvSpPr>
        <xdr:cNvPr id="246261" name="フリーフォーム: 図形 246260">
          <a:extLst>
            <a:ext uri="{FF2B5EF4-FFF2-40B4-BE49-F238E27FC236}">
              <a16:creationId xmlns:a16="http://schemas.microsoft.com/office/drawing/2014/main" id="{8FF92678-E9C8-4860-A8B5-C50EA18CDB88}"/>
            </a:ext>
          </a:extLst>
        </xdr:cNvPr>
        <xdr:cNvSpPr>
          <a:spLocks noChangeAspect="1"/>
        </xdr:cNvSpPr>
      </xdr:nvSpPr>
      <xdr:spPr>
        <a:xfrm>
          <a:off x="139535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64</xdr:row>
      <xdr:rowOff>64500</xdr:rowOff>
    </xdr:from>
    <xdr:to>
      <xdr:col>19</xdr:col>
      <xdr:colOff>455401</xdr:colOff>
      <xdr:row>65</xdr:row>
      <xdr:rowOff>37051</xdr:rowOff>
    </xdr:to>
    <xdr:sp macro="" textlink="">
      <xdr:nvSpPr>
        <xdr:cNvPr id="246262" name="フリーフォーム: 図形 246261">
          <a:extLst>
            <a:ext uri="{FF2B5EF4-FFF2-40B4-BE49-F238E27FC236}">
              <a16:creationId xmlns:a16="http://schemas.microsoft.com/office/drawing/2014/main" id="{8492F2BB-F40D-416C-9DDA-3A4870B423EB}"/>
            </a:ext>
          </a:extLst>
        </xdr:cNvPr>
        <xdr:cNvSpPr>
          <a:spLocks noChangeAspect="1"/>
        </xdr:cNvSpPr>
      </xdr:nvSpPr>
      <xdr:spPr>
        <a:xfrm>
          <a:off x="129996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64</xdr:row>
      <xdr:rowOff>64500</xdr:rowOff>
    </xdr:from>
    <xdr:to>
      <xdr:col>20</xdr:col>
      <xdr:colOff>273601</xdr:colOff>
      <xdr:row>65</xdr:row>
      <xdr:rowOff>37051</xdr:rowOff>
    </xdr:to>
    <xdr:sp macro="" textlink="">
      <xdr:nvSpPr>
        <xdr:cNvPr id="246263" name="フリーフォーム: 図形 246262">
          <a:extLst>
            <a:ext uri="{FF2B5EF4-FFF2-40B4-BE49-F238E27FC236}">
              <a16:creationId xmlns:a16="http://schemas.microsoft.com/office/drawing/2014/main" id="{3540C98A-F557-4387-82A7-5BD153BCEC54}"/>
            </a:ext>
          </a:extLst>
        </xdr:cNvPr>
        <xdr:cNvSpPr>
          <a:spLocks noChangeAspect="1"/>
        </xdr:cNvSpPr>
      </xdr:nvSpPr>
      <xdr:spPr>
        <a:xfrm>
          <a:off x="135215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59</xdr:row>
      <xdr:rowOff>75750</xdr:rowOff>
    </xdr:from>
    <xdr:to>
      <xdr:col>19</xdr:col>
      <xdr:colOff>203401</xdr:colOff>
      <xdr:row>64</xdr:row>
      <xdr:rowOff>136501</xdr:rowOff>
    </xdr:to>
    <xdr:sp macro="" textlink="">
      <xdr:nvSpPr>
        <xdr:cNvPr id="246264" name="フリーフォーム: 図形 246263">
          <a:extLst>
            <a:ext uri="{FF2B5EF4-FFF2-40B4-BE49-F238E27FC236}">
              <a16:creationId xmlns:a16="http://schemas.microsoft.com/office/drawing/2014/main" id="{115C2FBE-FC68-43D9-9C50-A7CAC91FB567}"/>
            </a:ext>
          </a:extLst>
        </xdr:cNvPr>
        <xdr:cNvSpPr>
          <a:spLocks noChangeAspect="1"/>
        </xdr:cNvSpPr>
      </xdr:nvSpPr>
      <xdr:spPr>
        <a:xfrm>
          <a:off x="12945600" y="10458000"/>
          <a:ext cx="288001" cy="918001"/>
        </a:xfrm>
        <a:custGeom>
          <a:avLst/>
          <a:gdLst/>
          <a:ahLst/>
          <a:cxnLst/>
          <a:rect l="0" t="0" r="0" b="0"/>
          <a:pathLst>
            <a:path w="288001" h="918001">
              <a:moveTo>
                <a:pt x="143999" y="54000"/>
              </a:moveTo>
              <a:lnTo>
                <a:pt x="216000" y="0"/>
              </a:lnTo>
              <a:lnTo>
                <a:pt x="288000" y="72000"/>
              </a:lnTo>
              <a:lnTo>
                <a:pt x="143999"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53</xdr:row>
      <xdr:rowOff>114450</xdr:rowOff>
    </xdr:from>
    <xdr:to>
      <xdr:col>19</xdr:col>
      <xdr:colOff>347402</xdr:colOff>
      <xdr:row>59</xdr:row>
      <xdr:rowOff>21751</xdr:rowOff>
    </xdr:to>
    <xdr:sp macro="" textlink="">
      <xdr:nvSpPr>
        <xdr:cNvPr id="246265" name="フリーフォーム: 図形 246264">
          <a:extLst>
            <a:ext uri="{FF2B5EF4-FFF2-40B4-BE49-F238E27FC236}">
              <a16:creationId xmlns:a16="http://schemas.microsoft.com/office/drawing/2014/main" id="{4200F1C6-425A-4C19-868B-CC4D1BE94017}"/>
            </a:ext>
          </a:extLst>
        </xdr:cNvPr>
        <xdr:cNvSpPr>
          <a:spLocks noChangeAspect="1"/>
        </xdr:cNvSpPr>
      </xdr:nvSpPr>
      <xdr:spPr>
        <a:xfrm>
          <a:off x="131256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58</xdr:row>
      <xdr:rowOff>139200</xdr:rowOff>
    </xdr:from>
    <xdr:to>
      <xdr:col>19</xdr:col>
      <xdr:colOff>617401</xdr:colOff>
      <xdr:row>59</xdr:row>
      <xdr:rowOff>111751</xdr:rowOff>
    </xdr:to>
    <xdr:sp macro="" textlink="">
      <xdr:nvSpPr>
        <xdr:cNvPr id="246266" name="フリーフォーム: 図形 246265">
          <a:extLst>
            <a:ext uri="{FF2B5EF4-FFF2-40B4-BE49-F238E27FC236}">
              <a16:creationId xmlns:a16="http://schemas.microsoft.com/office/drawing/2014/main" id="{43374974-A53B-4550-B17E-2D4A18B5045C}"/>
            </a:ext>
          </a:extLst>
        </xdr:cNvPr>
        <xdr:cNvSpPr>
          <a:spLocks noChangeAspect="1"/>
        </xdr:cNvSpPr>
      </xdr:nvSpPr>
      <xdr:spPr>
        <a:xfrm>
          <a:off x="131976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58</xdr:row>
      <xdr:rowOff>139200</xdr:rowOff>
    </xdr:from>
    <xdr:to>
      <xdr:col>20</xdr:col>
      <xdr:colOff>435601</xdr:colOff>
      <xdr:row>59</xdr:row>
      <xdr:rowOff>111751</xdr:rowOff>
    </xdr:to>
    <xdr:sp macro="" textlink="">
      <xdr:nvSpPr>
        <xdr:cNvPr id="246267" name="フリーフォーム: 図形 246266">
          <a:extLst>
            <a:ext uri="{FF2B5EF4-FFF2-40B4-BE49-F238E27FC236}">
              <a16:creationId xmlns:a16="http://schemas.microsoft.com/office/drawing/2014/main" id="{C3AC4B82-B4CA-409D-9784-74F415DC7C91}"/>
            </a:ext>
          </a:extLst>
        </xdr:cNvPr>
        <xdr:cNvSpPr>
          <a:spLocks noChangeAspect="1"/>
        </xdr:cNvSpPr>
      </xdr:nvSpPr>
      <xdr:spPr>
        <a:xfrm>
          <a:off x="137015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54</xdr:row>
      <xdr:rowOff>51000</xdr:rowOff>
    </xdr:from>
    <xdr:to>
      <xdr:col>19</xdr:col>
      <xdr:colOff>635401</xdr:colOff>
      <xdr:row>59</xdr:row>
      <xdr:rowOff>3751</xdr:rowOff>
    </xdr:to>
    <xdr:sp macro="" textlink="">
      <xdr:nvSpPr>
        <xdr:cNvPr id="246268" name="フリーフォーム: 図形 246267">
          <a:extLst>
            <a:ext uri="{FF2B5EF4-FFF2-40B4-BE49-F238E27FC236}">
              <a16:creationId xmlns:a16="http://schemas.microsoft.com/office/drawing/2014/main" id="{71D910C3-3808-4E18-91A3-E4F513B99DBD}"/>
            </a:ext>
          </a:extLst>
        </xdr:cNvPr>
        <xdr:cNvSpPr>
          <a:spLocks noChangeAspect="1"/>
        </xdr:cNvSpPr>
      </xdr:nvSpPr>
      <xdr:spPr>
        <a:xfrm>
          <a:off x="133955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53</xdr:row>
      <xdr:rowOff>114450</xdr:rowOff>
    </xdr:from>
    <xdr:to>
      <xdr:col>20</xdr:col>
      <xdr:colOff>201601</xdr:colOff>
      <xdr:row>58</xdr:row>
      <xdr:rowOff>157201</xdr:rowOff>
    </xdr:to>
    <xdr:sp macro="" textlink="">
      <xdr:nvSpPr>
        <xdr:cNvPr id="246269" name="フリーフォーム: 図形 246268">
          <a:extLst>
            <a:ext uri="{FF2B5EF4-FFF2-40B4-BE49-F238E27FC236}">
              <a16:creationId xmlns:a16="http://schemas.microsoft.com/office/drawing/2014/main" id="{7D92CEFB-1FDF-4993-8875-60A8DE7FA113}"/>
            </a:ext>
          </a:extLst>
        </xdr:cNvPr>
        <xdr:cNvSpPr>
          <a:spLocks noChangeAspect="1"/>
        </xdr:cNvSpPr>
      </xdr:nvSpPr>
      <xdr:spPr>
        <a:xfrm>
          <a:off x="136656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54</xdr:row>
      <xdr:rowOff>69000</xdr:rowOff>
    </xdr:from>
    <xdr:to>
      <xdr:col>20</xdr:col>
      <xdr:colOff>525601</xdr:colOff>
      <xdr:row>59</xdr:row>
      <xdr:rowOff>3751</xdr:rowOff>
    </xdr:to>
    <xdr:sp macro="" textlink="">
      <xdr:nvSpPr>
        <xdr:cNvPr id="246270" name="フリーフォーム: 図形 246269">
          <a:extLst>
            <a:ext uri="{FF2B5EF4-FFF2-40B4-BE49-F238E27FC236}">
              <a16:creationId xmlns:a16="http://schemas.microsoft.com/office/drawing/2014/main" id="{D8B8B353-3726-483E-BAFC-55AF6CF3E2CB}"/>
            </a:ext>
          </a:extLst>
        </xdr:cNvPr>
        <xdr:cNvSpPr>
          <a:spLocks noChangeAspect="1"/>
        </xdr:cNvSpPr>
      </xdr:nvSpPr>
      <xdr:spPr>
        <a:xfrm>
          <a:off x="137196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59</xdr:row>
      <xdr:rowOff>75750</xdr:rowOff>
    </xdr:from>
    <xdr:to>
      <xdr:col>20</xdr:col>
      <xdr:colOff>237600</xdr:colOff>
      <xdr:row>63</xdr:row>
      <xdr:rowOff>163951</xdr:rowOff>
    </xdr:to>
    <xdr:sp macro="" textlink="">
      <xdr:nvSpPr>
        <xdr:cNvPr id="246271" name="フリーフォーム: 図形 246270">
          <a:extLst>
            <a:ext uri="{FF2B5EF4-FFF2-40B4-BE49-F238E27FC236}">
              <a16:creationId xmlns:a16="http://schemas.microsoft.com/office/drawing/2014/main" id="{24A1B69B-23DE-482A-A80A-B5A7C8494ADD}"/>
            </a:ext>
          </a:extLst>
        </xdr:cNvPr>
        <xdr:cNvSpPr>
          <a:spLocks noChangeAspect="1"/>
        </xdr:cNvSpPr>
      </xdr:nvSpPr>
      <xdr:spPr>
        <a:xfrm>
          <a:off x="136836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59</xdr:row>
      <xdr:rowOff>93750</xdr:rowOff>
    </xdr:from>
    <xdr:to>
      <xdr:col>19</xdr:col>
      <xdr:colOff>653401</xdr:colOff>
      <xdr:row>64</xdr:row>
      <xdr:rowOff>118501</xdr:rowOff>
    </xdr:to>
    <xdr:sp macro="" textlink="">
      <xdr:nvSpPr>
        <xdr:cNvPr id="246272" name="フリーフォーム: 図形 246271">
          <a:extLst>
            <a:ext uri="{FF2B5EF4-FFF2-40B4-BE49-F238E27FC236}">
              <a16:creationId xmlns:a16="http://schemas.microsoft.com/office/drawing/2014/main" id="{AC39E7F8-380C-4301-B99D-9AF74F700ACC}"/>
            </a:ext>
          </a:extLst>
        </xdr:cNvPr>
        <xdr:cNvSpPr>
          <a:spLocks noChangeAspect="1"/>
        </xdr:cNvSpPr>
      </xdr:nvSpPr>
      <xdr:spPr>
        <a:xfrm>
          <a:off x="134496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59</xdr:row>
      <xdr:rowOff>75750</xdr:rowOff>
    </xdr:from>
    <xdr:to>
      <xdr:col>19</xdr:col>
      <xdr:colOff>617401</xdr:colOff>
      <xdr:row>64</xdr:row>
      <xdr:rowOff>10501</xdr:rowOff>
    </xdr:to>
    <xdr:sp macro="" textlink="">
      <xdr:nvSpPr>
        <xdr:cNvPr id="246273" name="フリーフォーム: 図形 246272">
          <a:extLst>
            <a:ext uri="{FF2B5EF4-FFF2-40B4-BE49-F238E27FC236}">
              <a16:creationId xmlns:a16="http://schemas.microsoft.com/office/drawing/2014/main" id="{6D7164A8-B89A-4E36-8BFE-30B81F42C128}"/>
            </a:ext>
          </a:extLst>
        </xdr:cNvPr>
        <xdr:cNvSpPr>
          <a:spLocks noChangeAspect="1"/>
        </xdr:cNvSpPr>
      </xdr:nvSpPr>
      <xdr:spPr>
        <a:xfrm>
          <a:off x="131256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53</xdr:row>
      <xdr:rowOff>42450</xdr:rowOff>
    </xdr:from>
    <xdr:to>
      <xdr:col>22</xdr:col>
      <xdr:colOff>550801</xdr:colOff>
      <xdr:row>54</xdr:row>
      <xdr:rowOff>15001</xdr:rowOff>
    </xdr:to>
    <xdr:sp macro="" textlink="">
      <xdr:nvSpPr>
        <xdr:cNvPr id="246274" name="フリーフォーム: 図形 246273">
          <a:extLst>
            <a:ext uri="{FF2B5EF4-FFF2-40B4-BE49-F238E27FC236}">
              <a16:creationId xmlns:a16="http://schemas.microsoft.com/office/drawing/2014/main" id="{A338BD6D-94F5-4312-B518-8B8A28DA395B}"/>
            </a:ext>
          </a:extLst>
        </xdr:cNvPr>
        <xdr:cNvSpPr>
          <a:spLocks noChangeAspect="1"/>
        </xdr:cNvSpPr>
      </xdr:nvSpPr>
      <xdr:spPr>
        <a:xfrm>
          <a:off x="151704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53</xdr:row>
      <xdr:rowOff>42450</xdr:rowOff>
    </xdr:from>
    <xdr:to>
      <xdr:col>23</xdr:col>
      <xdr:colOff>405001</xdr:colOff>
      <xdr:row>54</xdr:row>
      <xdr:rowOff>15001</xdr:rowOff>
    </xdr:to>
    <xdr:sp macro="" textlink="">
      <xdr:nvSpPr>
        <xdr:cNvPr id="246275" name="フリーフォーム: 図形 246274">
          <a:extLst>
            <a:ext uri="{FF2B5EF4-FFF2-40B4-BE49-F238E27FC236}">
              <a16:creationId xmlns:a16="http://schemas.microsoft.com/office/drawing/2014/main" id="{1EF2347E-512A-4217-8EEC-80E6CD5F5829}"/>
            </a:ext>
          </a:extLst>
        </xdr:cNvPr>
        <xdr:cNvSpPr>
          <a:spLocks noChangeAspect="1"/>
        </xdr:cNvSpPr>
      </xdr:nvSpPr>
      <xdr:spPr>
        <a:xfrm>
          <a:off x="157104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53</xdr:row>
      <xdr:rowOff>114450</xdr:rowOff>
    </xdr:from>
    <xdr:to>
      <xdr:col>23</xdr:col>
      <xdr:colOff>477001</xdr:colOff>
      <xdr:row>59</xdr:row>
      <xdr:rowOff>21751</xdr:rowOff>
    </xdr:to>
    <xdr:sp macro="" textlink="">
      <xdr:nvSpPr>
        <xdr:cNvPr id="246276" name="フリーフォーム: 図形 246275">
          <a:extLst>
            <a:ext uri="{FF2B5EF4-FFF2-40B4-BE49-F238E27FC236}">
              <a16:creationId xmlns:a16="http://schemas.microsoft.com/office/drawing/2014/main" id="{9CC3B772-FA68-4FCF-9308-1093F970DF37}"/>
            </a:ext>
          </a:extLst>
        </xdr:cNvPr>
        <xdr:cNvSpPr>
          <a:spLocks noChangeAspect="1"/>
        </xdr:cNvSpPr>
      </xdr:nvSpPr>
      <xdr:spPr>
        <a:xfrm>
          <a:off x="159623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59</xdr:row>
      <xdr:rowOff>75750</xdr:rowOff>
    </xdr:from>
    <xdr:to>
      <xdr:col>23</xdr:col>
      <xdr:colOff>297001</xdr:colOff>
      <xdr:row>64</xdr:row>
      <xdr:rowOff>136501</xdr:rowOff>
    </xdr:to>
    <xdr:sp macro="" textlink="">
      <xdr:nvSpPr>
        <xdr:cNvPr id="246277" name="フリーフォーム: 図形 246276">
          <a:extLst>
            <a:ext uri="{FF2B5EF4-FFF2-40B4-BE49-F238E27FC236}">
              <a16:creationId xmlns:a16="http://schemas.microsoft.com/office/drawing/2014/main" id="{DE108730-C0AC-4990-A042-29A5D0E69F6D}"/>
            </a:ext>
          </a:extLst>
        </xdr:cNvPr>
        <xdr:cNvSpPr>
          <a:spLocks noChangeAspect="1"/>
        </xdr:cNvSpPr>
      </xdr:nvSpPr>
      <xdr:spPr>
        <a:xfrm>
          <a:off x="157823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64</xdr:row>
      <xdr:rowOff>64500</xdr:rowOff>
    </xdr:from>
    <xdr:to>
      <xdr:col>22</xdr:col>
      <xdr:colOff>226801</xdr:colOff>
      <xdr:row>65</xdr:row>
      <xdr:rowOff>37051</xdr:rowOff>
    </xdr:to>
    <xdr:sp macro="" textlink="">
      <xdr:nvSpPr>
        <xdr:cNvPr id="246278" name="フリーフォーム: 図形 246277">
          <a:extLst>
            <a:ext uri="{FF2B5EF4-FFF2-40B4-BE49-F238E27FC236}">
              <a16:creationId xmlns:a16="http://schemas.microsoft.com/office/drawing/2014/main" id="{4599134D-A0AE-47E8-873E-E50EC72E36F8}"/>
            </a:ext>
          </a:extLst>
        </xdr:cNvPr>
        <xdr:cNvSpPr>
          <a:spLocks noChangeAspect="1"/>
        </xdr:cNvSpPr>
      </xdr:nvSpPr>
      <xdr:spPr>
        <a:xfrm>
          <a:off x="148284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64</xdr:row>
      <xdr:rowOff>64500</xdr:rowOff>
    </xdr:from>
    <xdr:to>
      <xdr:col>23</xdr:col>
      <xdr:colOff>45001</xdr:colOff>
      <xdr:row>65</xdr:row>
      <xdr:rowOff>37051</xdr:rowOff>
    </xdr:to>
    <xdr:sp macro="" textlink="">
      <xdr:nvSpPr>
        <xdr:cNvPr id="246279" name="フリーフォーム: 図形 246278">
          <a:extLst>
            <a:ext uri="{FF2B5EF4-FFF2-40B4-BE49-F238E27FC236}">
              <a16:creationId xmlns:a16="http://schemas.microsoft.com/office/drawing/2014/main" id="{CD06B268-CFB4-420F-AE93-D99BE6663BAC}"/>
            </a:ext>
          </a:extLst>
        </xdr:cNvPr>
        <xdr:cNvSpPr>
          <a:spLocks noChangeAspect="1"/>
        </xdr:cNvSpPr>
      </xdr:nvSpPr>
      <xdr:spPr>
        <a:xfrm>
          <a:off x="153503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59</xdr:row>
      <xdr:rowOff>75750</xdr:rowOff>
    </xdr:from>
    <xdr:to>
      <xdr:col>21</xdr:col>
      <xdr:colOff>660601</xdr:colOff>
      <xdr:row>64</xdr:row>
      <xdr:rowOff>136501</xdr:rowOff>
    </xdr:to>
    <xdr:sp macro="" textlink="">
      <xdr:nvSpPr>
        <xdr:cNvPr id="246280" name="フリーフォーム: 図形 246279">
          <a:extLst>
            <a:ext uri="{FF2B5EF4-FFF2-40B4-BE49-F238E27FC236}">
              <a16:creationId xmlns:a16="http://schemas.microsoft.com/office/drawing/2014/main" id="{3733A14F-78C3-4FB3-B08E-EE47438D8AF6}"/>
            </a:ext>
          </a:extLst>
        </xdr:cNvPr>
        <xdr:cNvSpPr>
          <a:spLocks noChangeAspect="1"/>
        </xdr:cNvSpPr>
      </xdr:nvSpPr>
      <xdr:spPr>
        <a:xfrm>
          <a:off x="14774401" y="104580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53</xdr:row>
      <xdr:rowOff>114450</xdr:rowOff>
    </xdr:from>
    <xdr:to>
      <xdr:col>22</xdr:col>
      <xdr:colOff>118802</xdr:colOff>
      <xdr:row>59</xdr:row>
      <xdr:rowOff>21751</xdr:rowOff>
    </xdr:to>
    <xdr:sp macro="" textlink="">
      <xdr:nvSpPr>
        <xdr:cNvPr id="246281" name="フリーフォーム: 図形 246280">
          <a:extLst>
            <a:ext uri="{FF2B5EF4-FFF2-40B4-BE49-F238E27FC236}">
              <a16:creationId xmlns:a16="http://schemas.microsoft.com/office/drawing/2014/main" id="{46D9EFBB-3EA9-400C-A2F6-EF045649E110}"/>
            </a:ext>
          </a:extLst>
        </xdr:cNvPr>
        <xdr:cNvSpPr>
          <a:spLocks noChangeAspect="1"/>
        </xdr:cNvSpPr>
      </xdr:nvSpPr>
      <xdr:spPr>
        <a:xfrm>
          <a:off x="149544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58</xdr:row>
      <xdr:rowOff>139200</xdr:rowOff>
    </xdr:from>
    <xdr:to>
      <xdr:col>22</xdr:col>
      <xdr:colOff>388801</xdr:colOff>
      <xdr:row>59</xdr:row>
      <xdr:rowOff>111751</xdr:rowOff>
    </xdr:to>
    <xdr:sp macro="" textlink="">
      <xdr:nvSpPr>
        <xdr:cNvPr id="246282" name="フリーフォーム: 図形 246281">
          <a:extLst>
            <a:ext uri="{FF2B5EF4-FFF2-40B4-BE49-F238E27FC236}">
              <a16:creationId xmlns:a16="http://schemas.microsoft.com/office/drawing/2014/main" id="{4262DCFE-D885-4EEA-AF75-F5748CA97E7F}"/>
            </a:ext>
          </a:extLst>
        </xdr:cNvPr>
        <xdr:cNvSpPr>
          <a:spLocks noChangeAspect="1"/>
        </xdr:cNvSpPr>
      </xdr:nvSpPr>
      <xdr:spPr>
        <a:xfrm>
          <a:off x="150264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58</xdr:row>
      <xdr:rowOff>139200</xdr:rowOff>
    </xdr:from>
    <xdr:to>
      <xdr:col>23</xdr:col>
      <xdr:colOff>207001</xdr:colOff>
      <xdr:row>59</xdr:row>
      <xdr:rowOff>111751</xdr:rowOff>
    </xdr:to>
    <xdr:sp macro="" textlink="">
      <xdr:nvSpPr>
        <xdr:cNvPr id="246283" name="フリーフォーム: 図形 246282">
          <a:extLst>
            <a:ext uri="{FF2B5EF4-FFF2-40B4-BE49-F238E27FC236}">
              <a16:creationId xmlns:a16="http://schemas.microsoft.com/office/drawing/2014/main" id="{9242B9E8-911A-4566-AC54-47BB149A9F8A}"/>
            </a:ext>
          </a:extLst>
        </xdr:cNvPr>
        <xdr:cNvSpPr>
          <a:spLocks noChangeAspect="1"/>
        </xdr:cNvSpPr>
      </xdr:nvSpPr>
      <xdr:spPr>
        <a:xfrm>
          <a:off x="155303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54</xdr:row>
      <xdr:rowOff>51000</xdr:rowOff>
    </xdr:from>
    <xdr:to>
      <xdr:col>22</xdr:col>
      <xdr:colOff>406801</xdr:colOff>
      <xdr:row>59</xdr:row>
      <xdr:rowOff>3751</xdr:rowOff>
    </xdr:to>
    <xdr:sp macro="" textlink="">
      <xdr:nvSpPr>
        <xdr:cNvPr id="246284" name="フリーフォーム: 図形 246283">
          <a:extLst>
            <a:ext uri="{FF2B5EF4-FFF2-40B4-BE49-F238E27FC236}">
              <a16:creationId xmlns:a16="http://schemas.microsoft.com/office/drawing/2014/main" id="{BA3B0B65-AECB-4BEA-B431-F3C829417DF9}"/>
            </a:ext>
          </a:extLst>
        </xdr:cNvPr>
        <xdr:cNvSpPr>
          <a:spLocks noChangeAspect="1"/>
        </xdr:cNvSpPr>
      </xdr:nvSpPr>
      <xdr:spPr>
        <a:xfrm>
          <a:off x="152243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53</xdr:row>
      <xdr:rowOff>114450</xdr:rowOff>
    </xdr:from>
    <xdr:to>
      <xdr:col>22</xdr:col>
      <xdr:colOff>658801</xdr:colOff>
      <xdr:row>58</xdr:row>
      <xdr:rowOff>157201</xdr:rowOff>
    </xdr:to>
    <xdr:sp macro="" textlink="">
      <xdr:nvSpPr>
        <xdr:cNvPr id="246285" name="フリーフォーム: 図形 246284">
          <a:extLst>
            <a:ext uri="{FF2B5EF4-FFF2-40B4-BE49-F238E27FC236}">
              <a16:creationId xmlns:a16="http://schemas.microsoft.com/office/drawing/2014/main" id="{7550E4BA-0207-4C1B-B6A3-5AECED127F44}"/>
            </a:ext>
          </a:extLst>
        </xdr:cNvPr>
        <xdr:cNvSpPr>
          <a:spLocks noChangeAspect="1"/>
        </xdr:cNvSpPr>
      </xdr:nvSpPr>
      <xdr:spPr>
        <a:xfrm>
          <a:off x="154944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54</xdr:row>
      <xdr:rowOff>69000</xdr:rowOff>
    </xdr:from>
    <xdr:to>
      <xdr:col>23</xdr:col>
      <xdr:colOff>297001</xdr:colOff>
      <xdr:row>59</xdr:row>
      <xdr:rowOff>3751</xdr:rowOff>
    </xdr:to>
    <xdr:sp macro="" textlink="">
      <xdr:nvSpPr>
        <xdr:cNvPr id="246286" name="フリーフォーム: 図形 246285">
          <a:extLst>
            <a:ext uri="{FF2B5EF4-FFF2-40B4-BE49-F238E27FC236}">
              <a16:creationId xmlns:a16="http://schemas.microsoft.com/office/drawing/2014/main" id="{20536118-E11C-4FD2-BF60-F4A68D651CAA}"/>
            </a:ext>
          </a:extLst>
        </xdr:cNvPr>
        <xdr:cNvSpPr>
          <a:spLocks noChangeAspect="1"/>
        </xdr:cNvSpPr>
      </xdr:nvSpPr>
      <xdr:spPr>
        <a:xfrm>
          <a:off x="155484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59</xdr:row>
      <xdr:rowOff>75750</xdr:rowOff>
    </xdr:from>
    <xdr:to>
      <xdr:col>23</xdr:col>
      <xdr:colOff>9000</xdr:colOff>
      <xdr:row>63</xdr:row>
      <xdr:rowOff>163951</xdr:rowOff>
    </xdr:to>
    <xdr:sp macro="" textlink="">
      <xdr:nvSpPr>
        <xdr:cNvPr id="246287" name="フリーフォーム: 図形 246286">
          <a:extLst>
            <a:ext uri="{FF2B5EF4-FFF2-40B4-BE49-F238E27FC236}">
              <a16:creationId xmlns:a16="http://schemas.microsoft.com/office/drawing/2014/main" id="{2DFEE829-2684-4453-AEBF-217AC7CCEC18}"/>
            </a:ext>
          </a:extLst>
        </xdr:cNvPr>
        <xdr:cNvSpPr>
          <a:spLocks noChangeAspect="1"/>
        </xdr:cNvSpPr>
      </xdr:nvSpPr>
      <xdr:spPr>
        <a:xfrm>
          <a:off x="155124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59</xdr:row>
      <xdr:rowOff>93750</xdr:rowOff>
    </xdr:from>
    <xdr:to>
      <xdr:col>22</xdr:col>
      <xdr:colOff>424801</xdr:colOff>
      <xdr:row>64</xdr:row>
      <xdr:rowOff>118501</xdr:rowOff>
    </xdr:to>
    <xdr:sp macro="" textlink="">
      <xdr:nvSpPr>
        <xdr:cNvPr id="246288" name="フリーフォーム: 図形 246287">
          <a:extLst>
            <a:ext uri="{FF2B5EF4-FFF2-40B4-BE49-F238E27FC236}">
              <a16:creationId xmlns:a16="http://schemas.microsoft.com/office/drawing/2014/main" id="{0F03C67E-A985-40A8-9B87-4F697BD8916E}"/>
            </a:ext>
          </a:extLst>
        </xdr:cNvPr>
        <xdr:cNvSpPr>
          <a:spLocks noChangeAspect="1"/>
        </xdr:cNvSpPr>
      </xdr:nvSpPr>
      <xdr:spPr>
        <a:xfrm>
          <a:off x="152784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59</xdr:row>
      <xdr:rowOff>75750</xdr:rowOff>
    </xdr:from>
    <xdr:to>
      <xdr:col>22</xdr:col>
      <xdr:colOff>388801</xdr:colOff>
      <xdr:row>64</xdr:row>
      <xdr:rowOff>10501</xdr:rowOff>
    </xdr:to>
    <xdr:sp macro="" textlink="">
      <xdr:nvSpPr>
        <xdr:cNvPr id="246289" name="フリーフォーム: 図形 246288">
          <a:extLst>
            <a:ext uri="{FF2B5EF4-FFF2-40B4-BE49-F238E27FC236}">
              <a16:creationId xmlns:a16="http://schemas.microsoft.com/office/drawing/2014/main" id="{F4CB3E29-88D4-4A32-967D-238EC7B7A5D6}"/>
            </a:ext>
          </a:extLst>
        </xdr:cNvPr>
        <xdr:cNvSpPr>
          <a:spLocks noChangeAspect="1"/>
        </xdr:cNvSpPr>
      </xdr:nvSpPr>
      <xdr:spPr>
        <a:xfrm>
          <a:off x="149544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53</xdr:row>
      <xdr:rowOff>42450</xdr:rowOff>
    </xdr:from>
    <xdr:to>
      <xdr:col>25</xdr:col>
      <xdr:colOff>322201</xdr:colOff>
      <xdr:row>54</xdr:row>
      <xdr:rowOff>15001</xdr:rowOff>
    </xdr:to>
    <xdr:sp macro="" textlink="">
      <xdr:nvSpPr>
        <xdr:cNvPr id="246290" name="フリーフォーム: 図形 246289">
          <a:extLst>
            <a:ext uri="{FF2B5EF4-FFF2-40B4-BE49-F238E27FC236}">
              <a16:creationId xmlns:a16="http://schemas.microsoft.com/office/drawing/2014/main" id="{FC718EAE-265A-415D-B23A-9752C4D272C0}"/>
            </a:ext>
          </a:extLst>
        </xdr:cNvPr>
        <xdr:cNvSpPr>
          <a:spLocks noChangeAspect="1"/>
        </xdr:cNvSpPr>
      </xdr:nvSpPr>
      <xdr:spPr>
        <a:xfrm>
          <a:off x="169992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53</xdr:row>
      <xdr:rowOff>42450</xdr:rowOff>
    </xdr:from>
    <xdr:to>
      <xdr:col>26</xdr:col>
      <xdr:colOff>176401</xdr:colOff>
      <xdr:row>54</xdr:row>
      <xdr:rowOff>15001</xdr:rowOff>
    </xdr:to>
    <xdr:sp macro="" textlink="">
      <xdr:nvSpPr>
        <xdr:cNvPr id="246291" name="フリーフォーム: 図形 246290">
          <a:extLst>
            <a:ext uri="{FF2B5EF4-FFF2-40B4-BE49-F238E27FC236}">
              <a16:creationId xmlns:a16="http://schemas.microsoft.com/office/drawing/2014/main" id="{C952EF50-5404-4608-A36E-14CE5B309118}"/>
            </a:ext>
          </a:extLst>
        </xdr:cNvPr>
        <xdr:cNvSpPr>
          <a:spLocks noChangeAspect="1"/>
        </xdr:cNvSpPr>
      </xdr:nvSpPr>
      <xdr:spPr>
        <a:xfrm>
          <a:off x="175392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53</xdr:row>
      <xdr:rowOff>114450</xdr:rowOff>
    </xdr:from>
    <xdr:to>
      <xdr:col>26</xdr:col>
      <xdr:colOff>248401</xdr:colOff>
      <xdr:row>59</xdr:row>
      <xdr:rowOff>21751</xdr:rowOff>
    </xdr:to>
    <xdr:sp macro="" textlink="">
      <xdr:nvSpPr>
        <xdr:cNvPr id="246292" name="フリーフォーム: 図形 246291">
          <a:extLst>
            <a:ext uri="{FF2B5EF4-FFF2-40B4-BE49-F238E27FC236}">
              <a16:creationId xmlns:a16="http://schemas.microsoft.com/office/drawing/2014/main" id="{5A977E7A-CBDE-4081-94CA-792A19CA368B}"/>
            </a:ext>
          </a:extLst>
        </xdr:cNvPr>
        <xdr:cNvSpPr>
          <a:spLocks noChangeAspect="1"/>
        </xdr:cNvSpPr>
      </xdr:nvSpPr>
      <xdr:spPr>
        <a:xfrm>
          <a:off x="177911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59</xdr:row>
      <xdr:rowOff>75750</xdr:rowOff>
    </xdr:from>
    <xdr:to>
      <xdr:col>26</xdr:col>
      <xdr:colOff>68401</xdr:colOff>
      <xdr:row>64</xdr:row>
      <xdr:rowOff>136501</xdr:rowOff>
    </xdr:to>
    <xdr:sp macro="" textlink="">
      <xdr:nvSpPr>
        <xdr:cNvPr id="246293" name="フリーフォーム: 図形 246292">
          <a:extLst>
            <a:ext uri="{FF2B5EF4-FFF2-40B4-BE49-F238E27FC236}">
              <a16:creationId xmlns:a16="http://schemas.microsoft.com/office/drawing/2014/main" id="{A433F169-12D3-48C5-BA0A-34025D202D8A}"/>
            </a:ext>
          </a:extLst>
        </xdr:cNvPr>
        <xdr:cNvSpPr>
          <a:spLocks noChangeAspect="1"/>
        </xdr:cNvSpPr>
      </xdr:nvSpPr>
      <xdr:spPr>
        <a:xfrm>
          <a:off x="176111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64</xdr:row>
      <xdr:rowOff>64500</xdr:rowOff>
    </xdr:from>
    <xdr:to>
      <xdr:col>24</xdr:col>
      <xdr:colOff>684001</xdr:colOff>
      <xdr:row>65</xdr:row>
      <xdr:rowOff>37051</xdr:rowOff>
    </xdr:to>
    <xdr:sp macro="" textlink="">
      <xdr:nvSpPr>
        <xdr:cNvPr id="246294" name="フリーフォーム: 図形 246293">
          <a:extLst>
            <a:ext uri="{FF2B5EF4-FFF2-40B4-BE49-F238E27FC236}">
              <a16:creationId xmlns:a16="http://schemas.microsoft.com/office/drawing/2014/main" id="{14FACA8B-0617-4187-9699-B7B17FB8C634}"/>
            </a:ext>
          </a:extLst>
        </xdr:cNvPr>
        <xdr:cNvSpPr>
          <a:spLocks noChangeAspect="1"/>
        </xdr:cNvSpPr>
      </xdr:nvSpPr>
      <xdr:spPr>
        <a:xfrm>
          <a:off x="166572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64</xdr:row>
      <xdr:rowOff>64500</xdr:rowOff>
    </xdr:from>
    <xdr:to>
      <xdr:col>25</xdr:col>
      <xdr:colOff>502201</xdr:colOff>
      <xdr:row>65</xdr:row>
      <xdr:rowOff>37051</xdr:rowOff>
    </xdr:to>
    <xdr:sp macro="" textlink="">
      <xdr:nvSpPr>
        <xdr:cNvPr id="246295" name="フリーフォーム: 図形 246294">
          <a:extLst>
            <a:ext uri="{FF2B5EF4-FFF2-40B4-BE49-F238E27FC236}">
              <a16:creationId xmlns:a16="http://schemas.microsoft.com/office/drawing/2014/main" id="{E323E0C5-081C-4DBF-8228-16B170CD93B8}"/>
            </a:ext>
          </a:extLst>
        </xdr:cNvPr>
        <xdr:cNvSpPr>
          <a:spLocks noChangeAspect="1"/>
        </xdr:cNvSpPr>
      </xdr:nvSpPr>
      <xdr:spPr>
        <a:xfrm>
          <a:off x="171791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59</xdr:row>
      <xdr:rowOff>75750</xdr:rowOff>
    </xdr:from>
    <xdr:to>
      <xdr:col>24</xdr:col>
      <xdr:colOff>432001</xdr:colOff>
      <xdr:row>64</xdr:row>
      <xdr:rowOff>136501</xdr:rowOff>
    </xdr:to>
    <xdr:sp macro="" textlink="">
      <xdr:nvSpPr>
        <xdr:cNvPr id="246296" name="フリーフォーム: 図形 246295">
          <a:extLst>
            <a:ext uri="{FF2B5EF4-FFF2-40B4-BE49-F238E27FC236}">
              <a16:creationId xmlns:a16="http://schemas.microsoft.com/office/drawing/2014/main" id="{248F5CD2-25CF-4B96-B976-20932DE00EB3}"/>
            </a:ext>
          </a:extLst>
        </xdr:cNvPr>
        <xdr:cNvSpPr>
          <a:spLocks noChangeAspect="1"/>
        </xdr:cNvSpPr>
      </xdr:nvSpPr>
      <xdr:spPr>
        <a:xfrm>
          <a:off x="16603201" y="104580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53</xdr:row>
      <xdr:rowOff>114450</xdr:rowOff>
    </xdr:from>
    <xdr:to>
      <xdr:col>24</xdr:col>
      <xdr:colOff>576002</xdr:colOff>
      <xdr:row>59</xdr:row>
      <xdr:rowOff>21751</xdr:rowOff>
    </xdr:to>
    <xdr:sp macro="" textlink="">
      <xdr:nvSpPr>
        <xdr:cNvPr id="246297" name="フリーフォーム: 図形 246296">
          <a:extLst>
            <a:ext uri="{FF2B5EF4-FFF2-40B4-BE49-F238E27FC236}">
              <a16:creationId xmlns:a16="http://schemas.microsoft.com/office/drawing/2014/main" id="{68957A4E-E570-4A3C-9350-F852B969C6F8}"/>
            </a:ext>
          </a:extLst>
        </xdr:cNvPr>
        <xdr:cNvSpPr>
          <a:spLocks noChangeAspect="1"/>
        </xdr:cNvSpPr>
      </xdr:nvSpPr>
      <xdr:spPr>
        <a:xfrm>
          <a:off x="167832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58</xdr:row>
      <xdr:rowOff>139200</xdr:rowOff>
    </xdr:from>
    <xdr:to>
      <xdr:col>25</xdr:col>
      <xdr:colOff>160201</xdr:colOff>
      <xdr:row>59</xdr:row>
      <xdr:rowOff>111751</xdr:rowOff>
    </xdr:to>
    <xdr:sp macro="" textlink="">
      <xdr:nvSpPr>
        <xdr:cNvPr id="246298" name="フリーフォーム: 図形 246297">
          <a:extLst>
            <a:ext uri="{FF2B5EF4-FFF2-40B4-BE49-F238E27FC236}">
              <a16:creationId xmlns:a16="http://schemas.microsoft.com/office/drawing/2014/main" id="{8DC47035-71F2-4AC4-9A01-1F3090737BAB}"/>
            </a:ext>
          </a:extLst>
        </xdr:cNvPr>
        <xdr:cNvSpPr>
          <a:spLocks noChangeAspect="1"/>
        </xdr:cNvSpPr>
      </xdr:nvSpPr>
      <xdr:spPr>
        <a:xfrm>
          <a:off x="168552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58</xdr:row>
      <xdr:rowOff>139200</xdr:rowOff>
    </xdr:from>
    <xdr:to>
      <xdr:col>25</xdr:col>
      <xdr:colOff>664201</xdr:colOff>
      <xdr:row>59</xdr:row>
      <xdr:rowOff>111751</xdr:rowOff>
    </xdr:to>
    <xdr:sp macro="" textlink="">
      <xdr:nvSpPr>
        <xdr:cNvPr id="246299" name="フリーフォーム: 図形 246298">
          <a:extLst>
            <a:ext uri="{FF2B5EF4-FFF2-40B4-BE49-F238E27FC236}">
              <a16:creationId xmlns:a16="http://schemas.microsoft.com/office/drawing/2014/main" id="{3046E6C3-ABE1-4A19-B7CA-28D676469927}"/>
            </a:ext>
          </a:extLst>
        </xdr:cNvPr>
        <xdr:cNvSpPr>
          <a:spLocks noChangeAspect="1"/>
        </xdr:cNvSpPr>
      </xdr:nvSpPr>
      <xdr:spPr>
        <a:xfrm>
          <a:off x="173591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54</xdr:row>
      <xdr:rowOff>51000</xdr:rowOff>
    </xdr:from>
    <xdr:to>
      <xdr:col>25</xdr:col>
      <xdr:colOff>178201</xdr:colOff>
      <xdr:row>59</xdr:row>
      <xdr:rowOff>3751</xdr:rowOff>
    </xdr:to>
    <xdr:sp macro="" textlink="">
      <xdr:nvSpPr>
        <xdr:cNvPr id="246300" name="フリーフォーム: 図形 246299">
          <a:extLst>
            <a:ext uri="{FF2B5EF4-FFF2-40B4-BE49-F238E27FC236}">
              <a16:creationId xmlns:a16="http://schemas.microsoft.com/office/drawing/2014/main" id="{D6F32B10-3618-41EC-93F8-9BA98A6841BC}"/>
            </a:ext>
          </a:extLst>
        </xdr:cNvPr>
        <xdr:cNvSpPr>
          <a:spLocks noChangeAspect="1"/>
        </xdr:cNvSpPr>
      </xdr:nvSpPr>
      <xdr:spPr>
        <a:xfrm>
          <a:off x="170531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53</xdr:row>
      <xdr:rowOff>114450</xdr:rowOff>
    </xdr:from>
    <xdr:to>
      <xdr:col>25</xdr:col>
      <xdr:colOff>430201</xdr:colOff>
      <xdr:row>58</xdr:row>
      <xdr:rowOff>157201</xdr:rowOff>
    </xdr:to>
    <xdr:sp macro="" textlink="">
      <xdr:nvSpPr>
        <xdr:cNvPr id="246301" name="フリーフォーム: 図形 246300">
          <a:extLst>
            <a:ext uri="{FF2B5EF4-FFF2-40B4-BE49-F238E27FC236}">
              <a16:creationId xmlns:a16="http://schemas.microsoft.com/office/drawing/2014/main" id="{D699F1AF-247C-4831-8B52-C645FC45D8FB}"/>
            </a:ext>
          </a:extLst>
        </xdr:cNvPr>
        <xdr:cNvSpPr>
          <a:spLocks noChangeAspect="1"/>
        </xdr:cNvSpPr>
      </xdr:nvSpPr>
      <xdr:spPr>
        <a:xfrm>
          <a:off x="173232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54</xdr:row>
      <xdr:rowOff>69000</xdr:rowOff>
    </xdr:from>
    <xdr:to>
      <xdr:col>26</xdr:col>
      <xdr:colOff>68401</xdr:colOff>
      <xdr:row>59</xdr:row>
      <xdr:rowOff>3751</xdr:rowOff>
    </xdr:to>
    <xdr:sp macro="" textlink="">
      <xdr:nvSpPr>
        <xdr:cNvPr id="246302" name="フリーフォーム: 図形 246301">
          <a:extLst>
            <a:ext uri="{FF2B5EF4-FFF2-40B4-BE49-F238E27FC236}">
              <a16:creationId xmlns:a16="http://schemas.microsoft.com/office/drawing/2014/main" id="{FA0969C1-2811-4C4B-9861-36919A012A7B}"/>
            </a:ext>
          </a:extLst>
        </xdr:cNvPr>
        <xdr:cNvSpPr>
          <a:spLocks noChangeAspect="1"/>
        </xdr:cNvSpPr>
      </xdr:nvSpPr>
      <xdr:spPr>
        <a:xfrm>
          <a:off x="173772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59</xdr:row>
      <xdr:rowOff>75750</xdr:rowOff>
    </xdr:from>
    <xdr:to>
      <xdr:col>25</xdr:col>
      <xdr:colOff>466200</xdr:colOff>
      <xdr:row>63</xdr:row>
      <xdr:rowOff>163951</xdr:rowOff>
    </xdr:to>
    <xdr:sp macro="" textlink="">
      <xdr:nvSpPr>
        <xdr:cNvPr id="246303" name="フリーフォーム: 図形 246302">
          <a:extLst>
            <a:ext uri="{FF2B5EF4-FFF2-40B4-BE49-F238E27FC236}">
              <a16:creationId xmlns:a16="http://schemas.microsoft.com/office/drawing/2014/main" id="{31F13788-7EB0-447F-8419-B3A353841C2D}"/>
            </a:ext>
          </a:extLst>
        </xdr:cNvPr>
        <xdr:cNvSpPr>
          <a:spLocks noChangeAspect="1"/>
        </xdr:cNvSpPr>
      </xdr:nvSpPr>
      <xdr:spPr>
        <a:xfrm>
          <a:off x="173412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59</xdr:row>
      <xdr:rowOff>93750</xdr:rowOff>
    </xdr:from>
    <xdr:to>
      <xdr:col>25</xdr:col>
      <xdr:colOff>196201</xdr:colOff>
      <xdr:row>64</xdr:row>
      <xdr:rowOff>118501</xdr:rowOff>
    </xdr:to>
    <xdr:sp macro="" textlink="">
      <xdr:nvSpPr>
        <xdr:cNvPr id="246304" name="フリーフォーム: 図形 246303">
          <a:extLst>
            <a:ext uri="{FF2B5EF4-FFF2-40B4-BE49-F238E27FC236}">
              <a16:creationId xmlns:a16="http://schemas.microsoft.com/office/drawing/2014/main" id="{1A8DD64D-C5B6-49F0-9749-082CEE8C6E27}"/>
            </a:ext>
          </a:extLst>
        </xdr:cNvPr>
        <xdr:cNvSpPr>
          <a:spLocks noChangeAspect="1"/>
        </xdr:cNvSpPr>
      </xdr:nvSpPr>
      <xdr:spPr>
        <a:xfrm>
          <a:off x="171072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59</xdr:row>
      <xdr:rowOff>75750</xdr:rowOff>
    </xdr:from>
    <xdr:to>
      <xdr:col>25</xdr:col>
      <xdr:colOff>160201</xdr:colOff>
      <xdr:row>64</xdr:row>
      <xdr:rowOff>10501</xdr:rowOff>
    </xdr:to>
    <xdr:sp macro="" textlink="">
      <xdr:nvSpPr>
        <xdr:cNvPr id="246305" name="フリーフォーム: 図形 246304">
          <a:extLst>
            <a:ext uri="{FF2B5EF4-FFF2-40B4-BE49-F238E27FC236}">
              <a16:creationId xmlns:a16="http://schemas.microsoft.com/office/drawing/2014/main" id="{D9824D10-3EE6-4670-83EE-6A386874804E}"/>
            </a:ext>
          </a:extLst>
        </xdr:cNvPr>
        <xdr:cNvSpPr>
          <a:spLocks noChangeAspect="1"/>
        </xdr:cNvSpPr>
      </xdr:nvSpPr>
      <xdr:spPr>
        <a:xfrm>
          <a:off x="167832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53</xdr:row>
      <xdr:rowOff>42450</xdr:rowOff>
    </xdr:from>
    <xdr:to>
      <xdr:col>28</xdr:col>
      <xdr:colOff>93601</xdr:colOff>
      <xdr:row>54</xdr:row>
      <xdr:rowOff>15001</xdr:rowOff>
    </xdr:to>
    <xdr:sp macro="" textlink="">
      <xdr:nvSpPr>
        <xdr:cNvPr id="246306" name="フリーフォーム: 図形 246305">
          <a:extLst>
            <a:ext uri="{FF2B5EF4-FFF2-40B4-BE49-F238E27FC236}">
              <a16:creationId xmlns:a16="http://schemas.microsoft.com/office/drawing/2014/main" id="{11355206-21BE-4B4D-BA9B-A77D35DF435B}"/>
            </a:ext>
          </a:extLst>
        </xdr:cNvPr>
        <xdr:cNvSpPr>
          <a:spLocks noChangeAspect="1"/>
        </xdr:cNvSpPr>
      </xdr:nvSpPr>
      <xdr:spPr>
        <a:xfrm>
          <a:off x="188280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53</xdr:row>
      <xdr:rowOff>42450</xdr:rowOff>
    </xdr:from>
    <xdr:to>
      <xdr:col>28</xdr:col>
      <xdr:colOff>633601</xdr:colOff>
      <xdr:row>54</xdr:row>
      <xdr:rowOff>15001</xdr:rowOff>
    </xdr:to>
    <xdr:sp macro="" textlink="">
      <xdr:nvSpPr>
        <xdr:cNvPr id="246307" name="フリーフォーム: 図形 246306">
          <a:extLst>
            <a:ext uri="{FF2B5EF4-FFF2-40B4-BE49-F238E27FC236}">
              <a16:creationId xmlns:a16="http://schemas.microsoft.com/office/drawing/2014/main" id="{D927269E-4909-4784-B600-C4BC5344597D}"/>
            </a:ext>
          </a:extLst>
        </xdr:cNvPr>
        <xdr:cNvSpPr>
          <a:spLocks noChangeAspect="1"/>
        </xdr:cNvSpPr>
      </xdr:nvSpPr>
      <xdr:spPr>
        <a:xfrm>
          <a:off x="193680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53</xdr:row>
      <xdr:rowOff>114450</xdr:rowOff>
    </xdr:from>
    <xdr:to>
      <xdr:col>29</xdr:col>
      <xdr:colOff>19801</xdr:colOff>
      <xdr:row>59</xdr:row>
      <xdr:rowOff>21751</xdr:rowOff>
    </xdr:to>
    <xdr:sp macro="" textlink="">
      <xdr:nvSpPr>
        <xdr:cNvPr id="246308" name="フリーフォーム: 図形 246307">
          <a:extLst>
            <a:ext uri="{FF2B5EF4-FFF2-40B4-BE49-F238E27FC236}">
              <a16:creationId xmlns:a16="http://schemas.microsoft.com/office/drawing/2014/main" id="{1ED8F545-0D7F-4783-8F28-E44BF23BC948}"/>
            </a:ext>
          </a:extLst>
        </xdr:cNvPr>
        <xdr:cNvSpPr>
          <a:spLocks noChangeAspect="1"/>
        </xdr:cNvSpPr>
      </xdr:nvSpPr>
      <xdr:spPr>
        <a:xfrm>
          <a:off x="196199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59</xdr:row>
      <xdr:rowOff>75750</xdr:rowOff>
    </xdr:from>
    <xdr:to>
      <xdr:col>28</xdr:col>
      <xdr:colOff>525601</xdr:colOff>
      <xdr:row>64</xdr:row>
      <xdr:rowOff>136501</xdr:rowOff>
    </xdr:to>
    <xdr:sp macro="" textlink="">
      <xdr:nvSpPr>
        <xdr:cNvPr id="246309" name="フリーフォーム: 図形 246308">
          <a:extLst>
            <a:ext uri="{FF2B5EF4-FFF2-40B4-BE49-F238E27FC236}">
              <a16:creationId xmlns:a16="http://schemas.microsoft.com/office/drawing/2014/main" id="{0BCEEC85-7B53-4BFA-93BA-9FC3F1EB122C}"/>
            </a:ext>
          </a:extLst>
        </xdr:cNvPr>
        <xdr:cNvSpPr>
          <a:spLocks noChangeAspect="1"/>
        </xdr:cNvSpPr>
      </xdr:nvSpPr>
      <xdr:spPr>
        <a:xfrm>
          <a:off x="194399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64</xdr:row>
      <xdr:rowOff>64500</xdr:rowOff>
    </xdr:from>
    <xdr:to>
      <xdr:col>27</xdr:col>
      <xdr:colOff>455401</xdr:colOff>
      <xdr:row>65</xdr:row>
      <xdr:rowOff>37051</xdr:rowOff>
    </xdr:to>
    <xdr:sp macro="" textlink="">
      <xdr:nvSpPr>
        <xdr:cNvPr id="246310" name="フリーフォーム: 図形 246309">
          <a:extLst>
            <a:ext uri="{FF2B5EF4-FFF2-40B4-BE49-F238E27FC236}">
              <a16:creationId xmlns:a16="http://schemas.microsoft.com/office/drawing/2014/main" id="{2ABD8F4E-A80C-4EA0-A6B1-2A85DED57402}"/>
            </a:ext>
          </a:extLst>
        </xdr:cNvPr>
        <xdr:cNvSpPr>
          <a:spLocks noChangeAspect="1"/>
        </xdr:cNvSpPr>
      </xdr:nvSpPr>
      <xdr:spPr>
        <a:xfrm>
          <a:off x="184860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64</xdr:row>
      <xdr:rowOff>64500</xdr:rowOff>
    </xdr:from>
    <xdr:to>
      <xdr:col>28</xdr:col>
      <xdr:colOff>273601</xdr:colOff>
      <xdr:row>65</xdr:row>
      <xdr:rowOff>37051</xdr:rowOff>
    </xdr:to>
    <xdr:sp macro="" textlink="">
      <xdr:nvSpPr>
        <xdr:cNvPr id="246311" name="フリーフォーム: 図形 246310">
          <a:extLst>
            <a:ext uri="{FF2B5EF4-FFF2-40B4-BE49-F238E27FC236}">
              <a16:creationId xmlns:a16="http://schemas.microsoft.com/office/drawing/2014/main" id="{7C1911D0-D0C1-44B2-8C09-3C7E88F653A4}"/>
            </a:ext>
          </a:extLst>
        </xdr:cNvPr>
        <xdr:cNvSpPr>
          <a:spLocks noChangeAspect="1"/>
        </xdr:cNvSpPr>
      </xdr:nvSpPr>
      <xdr:spPr>
        <a:xfrm>
          <a:off x="190079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59</xdr:row>
      <xdr:rowOff>75750</xdr:rowOff>
    </xdr:from>
    <xdr:to>
      <xdr:col>27</xdr:col>
      <xdr:colOff>203401</xdr:colOff>
      <xdr:row>64</xdr:row>
      <xdr:rowOff>136501</xdr:rowOff>
    </xdr:to>
    <xdr:sp macro="" textlink="">
      <xdr:nvSpPr>
        <xdr:cNvPr id="246312" name="フリーフォーム: 図形 246311">
          <a:extLst>
            <a:ext uri="{FF2B5EF4-FFF2-40B4-BE49-F238E27FC236}">
              <a16:creationId xmlns:a16="http://schemas.microsoft.com/office/drawing/2014/main" id="{53359474-1F43-4FDE-B6CA-1BD02B04EF74}"/>
            </a:ext>
          </a:extLst>
        </xdr:cNvPr>
        <xdr:cNvSpPr>
          <a:spLocks noChangeAspect="1"/>
        </xdr:cNvSpPr>
      </xdr:nvSpPr>
      <xdr:spPr>
        <a:xfrm>
          <a:off x="18432001" y="104580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53</xdr:row>
      <xdr:rowOff>114450</xdr:rowOff>
    </xdr:from>
    <xdr:to>
      <xdr:col>27</xdr:col>
      <xdr:colOff>347402</xdr:colOff>
      <xdr:row>59</xdr:row>
      <xdr:rowOff>21751</xdr:rowOff>
    </xdr:to>
    <xdr:sp macro="" textlink="">
      <xdr:nvSpPr>
        <xdr:cNvPr id="246313" name="フリーフォーム: 図形 246312">
          <a:extLst>
            <a:ext uri="{FF2B5EF4-FFF2-40B4-BE49-F238E27FC236}">
              <a16:creationId xmlns:a16="http://schemas.microsoft.com/office/drawing/2014/main" id="{882C539D-8D67-4B1C-8CE1-4917BB107BCD}"/>
            </a:ext>
          </a:extLst>
        </xdr:cNvPr>
        <xdr:cNvSpPr>
          <a:spLocks noChangeAspect="1"/>
        </xdr:cNvSpPr>
      </xdr:nvSpPr>
      <xdr:spPr>
        <a:xfrm>
          <a:off x="186120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58</xdr:row>
      <xdr:rowOff>139200</xdr:rowOff>
    </xdr:from>
    <xdr:to>
      <xdr:col>27</xdr:col>
      <xdr:colOff>617401</xdr:colOff>
      <xdr:row>59</xdr:row>
      <xdr:rowOff>111751</xdr:rowOff>
    </xdr:to>
    <xdr:sp macro="" textlink="">
      <xdr:nvSpPr>
        <xdr:cNvPr id="246314" name="フリーフォーム: 図形 246313">
          <a:extLst>
            <a:ext uri="{FF2B5EF4-FFF2-40B4-BE49-F238E27FC236}">
              <a16:creationId xmlns:a16="http://schemas.microsoft.com/office/drawing/2014/main" id="{E9679FCB-EB75-4E53-9708-5DE9337BA019}"/>
            </a:ext>
          </a:extLst>
        </xdr:cNvPr>
        <xdr:cNvSpPr>
          <a:spLocks noChangeAspect="1"/>
        </xdr:cNvSpPr>
      </xdr:nvSpPr>
      <xdr:spPr>
        <a:xfrm>
          <a:off x="186840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58</xdr:row>
      <xdr:rowOff>139200</xdr:rowOff>
    </xdr:from>
    <xdr:to>
      <xdr:col>28</xdr:col>
      <xdr:colOff>435601</xdr:colOff>
      <xdr:row>59</xdr:row>
      <xdr:rowOff>111751</xdr:rowOff>
    </xdr:to>
    <xdr:sp macro="" textlink="">
      <xdr:nvSpPr>
        <xdr:cNvPr id="246315" name="フリーフォーム: 図形 246314">
          <a:extLst>
            <a:ext uri="{FF2B5EF4-FFF2-40B4-BE49-F238E27FC236}">
              <a16:creationId xmlns:a16="http://schemas.microsoft.com/office/drawing/2014/main" id="{2AF1F4A3-1EF7-4093-B74C-D83F5CCFCDC2}"/>
            </a:ext>
          </a:extLst>
        </xdr:cNvPr>
        <xdr:cNvSpPr>
          <a:spLocks noChangeAspect="1"/>
        </xdr:cNvSpPr>
      </xdr:nvSpPr>
      <xdr:spPr>
        <a:xfrm>
          <a:off x="191879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54</xdr:row>
      <xdr:rowOff>51000</xdr:rowOff>
    </xdr:from>
    <xdr:to>
      <xdr:col>27</xdr:col>
      <xdr:colOff>635401</xdr:colOff>
      <xdr:row>59</xdr:row>
      <xdr:rowOff>3751</xdr:rowOff>
    </xdr:to>
    <xdr:sp macro="" textlink="">
      <xdr:nvSpPr>
        <xdr:cNvPr id="246316" name="フリーフォーム: 図形 246315">
          <a:extLst>
            <a:ext uri="{FF2B5EF4-FFF2-40B4-BE49-F238E27FC236}">
              <a16:creationId xmlns:a16="http://schemas.microsoft.com/office/drawing/2014/main" id="{2F63E2EA-5657-4124-A69C-4564D255EB55}"/>
            </a:ext>
          </a:extLst>
        </xdr:cNvPr>
        <xdr:cNvSpPr>
          <a:spLocks noChangeAspect="1"/>
        </xdr:cNvSpPr>
      </xdr:nvSpPr>
      <xdr:spPr>
        <a:xfrm>
          <a:off x="188819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53</xdr:row>
      <xdr:rowOff>114450</xdr:rowOff>
    </xdr:from>
    <xdr:to>
      <xdr:col>28</xdr:col>
      <xdr:colOff>201601</xdr:colOff>
      <xdr:row>58</xdr:row>
      <xdr:rowOff>157201</xdr:rowOff>
    </xdr:to>
    <xdr:sp macro="" textlink="">
      <xdr:nvSpPr>
        <xdr:cNvPr id="246317" name="フリーフォーム: 図形 246316">
          <a:extLst>
            <a:ext uri="{FF2B5EF4-FFF2-40B4-BE49-F238E27FC236}">
              <a16:creationId xmlns:a16="http://schemas.microsoft.com/office/drawing/2014/main" id="{6B327C24-4D0F-4A19-A010-242368652C60}"/>
            </a:ext>
          </a:extLst>
        </xdr:cNvPr>
        <xdr:cNvSpPr>
          <a:spLocks noChangeAspect="1"/>
        </xdr:cNvSpPr>
      </xdr:nvSpPr>
      <xdr:spPr>
        <a:xfrm>
          <a:off x="191520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54</xdr:row>
      <xdr:rowOff>69000</xdr:rowOff>
    </xdr:from>
    <xdr:to>
      <xdr:col>28</xdr:col>
      <xdr:colOff>525601</xdr:colOff>
      <xdr:row>59</xdr:row>
      <xdr:rowOff>3751</xdr:rowOff>
    </xdr:to>
    <xdr:sp macro="" textlink="">
      <xdr:nvSpPr>
        <xdr:cNvPr id="246318" name="フリーフォーム: 図形 246317">
          <a:extLst>
            <a:ext uri="{FF2B5EF4-FFF2-40B4-BE49-F238E27FC236}">
              <a16:creationId xmlns:a16="http://schemas.microsoft.com/office/drawing/2014/main" id="{F030E74E-56B8-4522-80F8-97D79DB2235F}"/>
            </a:ext>
          </a:extLst>
        </xdr:cNvPr>
        <xdr:cNvSpPr>
          <a:spLocks noChangeAspect="1"/>
        </xdr:cNvSpPr>
      </xdr:nvSpPr>
      <xdr:spPr>
        <a:xfrm>
          <a:off x="192060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59</xdr:row>
      <xdr:rowOff>75750</xdr:rowOff>
    </xdr:from>
    <xdr:to>
      <xdr:col>28</xdr:col>
      <xdr:colOff>237600</xdr:colOff>
      <xdr:row>63</xdr:row>
      <xdr:rowOff>163951</xdr:rowOff>
    </xdr:to>
    <xdr:sp macro="" textlink="">
      <xdr:nvSpPr>
        <xdr:cNvPr id="246319" name="フリーフォーム: 図形 246318">
          <a:extLst>
            <a:ext uri="{FF2B5EF4-FFF2-40B4-BE49-F238E27FC236}">
              <a16:creationId xmlns:a16="http://schemas.microsoft.com/office/drawing/2014/main" id="{1F50758F-8321-46F2-9F8A-E1FE0D5F184A}"/>
            </a:ext>
          </a:extLst>
        </xdr:cNvPr>
        <xdr:cNvSpPr>
          <a:spLocks noChangeAspect="1"/>
        </xdr:cNvSpPr>
      </xdr:nvSpPr>
      <xdr:spPr>
        <a:xfrm>
          <a:off x="191700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59</xdr:row>
      <xdr:rowOff>93750</xdr:rowOff>
    </xdr:from>
    <xdr:to>
      <xdr:col>27</xdr:col>
      <xdr:colOff>653401</xdr:colOff>
      <xdr:row>64</xdr:row>
      <xdr:rowOff>118501</xdr:rowOff>
    </xdr:to>
    <xdr:sp macro="" textlink="">
      <xdr:nvSpPr>
        <xdr:cNvPr id="246320" name="フリーフォーム: 図形 246319">
          <a:extLst>
            <a:ext uri="{FF2B5EF4-FFF2-40B4-BE49-F238E27FC236}">
              <a16:creationId xmlns:a16="http://schemas.microsoft.com/office/drawing/2014/main" id="{5ED73866-4A26-4D7C-B1A2-3DF4CCB59B88}"/>
            </a:ext>
          </a:extLst>
        </xdr:cNvPr>
        <xdr:cNvSpPr>
          <a:spLocks noChangeAspect="1"/>
        </xdr:cNvSpPr>
      </xdr:nvSpPr>
      <xdr:spPr>
        <a:xfrm>
          <a:off x="189360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59</xdr:row>
      <xdr:rowOff>75750</xdr:rowOff>
    </xdr:from>
    <xdr:to>
      <xdr:col>27</xdr:col>
      <xdr:colOff>617401</xdr:colOff>
      <xdr:row>64</xdr:row>
      <xdr:rowOff>10501</xdr:rowOff>
    </xdr:to>
    <xdr:sp macro="" textlink="">
      <xdr:nvSpPr>
        <xdr:cNvPr id="246321" name="フリーフォーム: 図形 246320">
          <a:extLst>
            <a:ext uri="{FF2B5EF4-FFF2-40B4-BE49-F238E27FC236}">
              <a16:creationId xmlns:a16="http://schemas.microsoft.com/office/drawing/2014/main" id="{A54DDF50-80C4-4F75-9DF8-7BF735D51ED9}"/>
            </a:ext>
          </a:extLst>
        </xdr:cNvPr>
        <xdr:cNvSpPr>
          <a:spLocks noChangeAspect="1"/>
        </xdr:cNvSpPr>
      </xdr:nvSpPr>
      <xdr:spPr>
        <a:xfrm>
          <a:off x="186120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53</xdr:row>
      <xdr:rowOff>42450</xdr:rowOff>
    </xdr:from>
    <xdr:to>
      <xdr:col>30</xdr:col>
      <xdr:colOff>550801</xdr:colOff>
      <xdr:row>54</xdr:row>
      <xdr:rowOff>15001</xdr:rowOff>
    </xdr:to>
    <xdr:sp macro="" textlink="">
      <xdr:nvSpPr>
        <xdr:cNvPr id="246322" name="フリーフォーム: 図形 246321">
          <a:extLst>
            <a:ext uri="{FF2B5EF4-FFF2-40B4-BE49-F238E27FC236}">
              <a16:creationId xmlns:a16="http://schemas.microsoft.com/office/drawing/2014/main" id="{7813F813-8B4E-4851-BE44-741EB7DE5C10}"/>
            </a:ext>
          </a:extLst>
        </xdr:cNvPr>
        <xdr:cNvSpPr>
          <a:spLocks noChangeAspect="1"/>
        </xdr:cNvSpPr>
      </xdr:nvSpPr>
      <xdr:spPr>
        <a:xfrm>
          <a:off x="206568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53</xdr:row>
      <xdr:rowOff>42450</xdr:rowOff>
    </xdr:from>
    <xdr:to>
      <xdr:col>31</xdr:col>
      <xdr:colOff>405001</xdr:colOff>
      <xdr:row>54</xdr:row>
      <xdr:rowOff>15001</xdr:rowOff>
    </xdr:to>
    <xdr:sp macro="" textlink="">
      <xdr:nvSpPr>
        <xdr:cNvPr id="246323" name="フリーフォーム: 図形 246322">
          <a:extLst>
            <a:ext uri="{FF2B5EF4-FFF2-40B4-BE49-F238E27FC236}">
              <a16:creationId xmlns:a16="http://schemas.microsoft.com/office/drawing/2014/main" id="{7040C3C9-D8B5-43F5-A1D8-EC3739F4C706}"/>
            </a:ext>
          </a:extLst>
        </xdr:cNvPr>
        <xdr:cNvSpPr>
          <a:spLocks noChangeAspect="1"/>
        </xdr:cNvSpPr>
      </xdr:nvSpPr>
      <xdr:spPr>
        <a:xfrm>
          <a:off x="211968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53</xdr:row>
      <xdr:rowOff>114450</xdr:rowOff>
    </xdr:from>
    <xdr:to>
      <xdr:col>31</xdr:col>
      <xdr:colOff>477001</xdr:colOff>
      <xdr:row>59</xdr:row>
      <xdr:rowOff>21751</xdr:rowOff>
    </xdr:to>
    <xdr:sp macro="" textlink="">
      <xdr:nvSpPr>
        <xdr:cNvPr id="246324" name="フリーフォーム: 図形 246323">
          <a:extLst>
            <a:ext uri="{FF2B5EF4-FFF2-40B4-BE49-F238E27FC236}">
              <a16:creationId xmlns:a16="http://schemas.microsoft.com/office/drawing/2014/main" id="{24C39C5A-B5DF-4073-8069-D634796BD7EA}"/>
            </a:ext>
          </a:extLst>
        </xdr:cNvPr>
        <xdr:cNvSpPr>
          <a:spLocks noChangeAspect="1"/>
        </xdr:cNvSpPr>
      </xdr:nvSpPr>
      <xdr:spPr>
        <a:xfrm>
          <a:off x="214487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59</xdr:row>
      <xdr:rowOff>75750</xdr:rowOff>
    </xdr:from>
    <xdr:to>
      <xdr:col>31</xdr:col>
      <xdr:colOff>297001</xdr:colOff>
      <xdr:row>64</xdr:row>
      <xdr:rowOff>136501</xdr:rowOff>
    </xdr:to>
    <xdr:sp macro="" textlink="">
      <xdr:nvSpPr>
        <xdr:cNvPr id="246325" name="フリーフォーム: 図形 246324">
          <a:extLst>
            <a:ext uri="{FF2B5EF4-FFF2-40B4-BE49-F238E27FC236}">
              <a16:creationId xmlns:a16="http://schemas.microsoft.com/office/drawing/2014/main" id="{47C5570F-357D-4694-ABFA-4AD1AD4BF7C9}"/>
            </a:ext>
          </a:extLst>
        </xdr:cNvPr>
        <xdr:cNvSpPr>
          <a:spLocks noChangeAspect="1"/>
        </xdr:cNvSpPr>
      </xdr:nvSpPr>
      <xdr:spPr>
        <a:xfrm>
          <a:off x="212687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64</xdr:row>
      <xdr:rowOff>64500</xdr:rowOff>
    </xdr:from>
    <xdr:to>
      <xdr:col>30</xdr:col>
      <xdr:colOff>226801</xdr:colOff>
      <xdr:row>65</xdr:row>
      <xdr:rowOff>37051</xdr:rowOff>
    </xdr:to>
    <xdr:sp macro="" textlink="">
      <xdr:nvSpPr>
        <xdr:cNvPr id="246326" name="フリーフォーム: 図形 246325">
          <a:extLst>
            <a:ext uri="{FF2B5EF4-FFF2-40B4-BE49-F238E27FC236}">
              <a16:creationId xmlns:a16="http://schemas.microsoft.com/office/drawing/2014/main" id="{F9F8D300-EF25-4108-9EA3-DC9A39C2BC91}"/>
            </a:ext>
          </a:extLst>
        </xdr:cNvPr>
        <xdr:cNvSpPr>
          <a:spLocks noChangeAspect="1"/>
        </xdr:cNvSpPr>
      </xdr:nvSpPr>
      <xdr:spPr>
        <a:xfrm>
          <a:off x="203148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64</xdr:row>
      <xdr:rowOff>64500</xdr:rowOff>
    </xdr:from>
    <xdr:to>
      <xdr:col>31</xdr:col>
      <xdr:colOff>45001</xdr:colOff>
      <xdr:row>65</xdr:row>
      <xdr:rowOff>37051</xdr:rowOff>
    </xdr:to>
    <xdr:sp macro="" textlink="">
      <xdr:nvSpPr>
        <xdr:cNvPr id="246327" name="フリーフォーム: 図形 246326">
          <a:extLst>
            <a:ext uri="{FF2B5EF4-FFF2-40B4-BE49-F238E27FC236}">
              <a16:creationId xmlns:a16="http://schemas.microsoft.com/office/drawing/2014/main" id="{BCEB368A-992E-4FC3-A32B-1A653995CDB7}"/>
            </a:ext>
          </a:extLst>
        </xdr:cNvPr>
        <xdr:cNvSpPr>
          <a:spLocks noChangeAspect="1"/>
        </xdr:cNvSpPr>
      </xdr:nvSpPr>
      <xdr:spPr>
        <a:xfrm>
          <a:off x="208367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59</xdr:row>
      <xdr:rowOff>75750</xdr:rowOff>
    </xdr:from>
    <xdr:to>
      <xdr:col>29</xdr:col>
      <xdr:colOff>660601</xdr:colOff>
      <xdr:row>64</xdr:row>
      <xdr:rowOff>136501</xdr:rowOff>
    </xdr:to>
    <xdr:sp macro="" textlink="">
      <xdr:nvSpPr>
        <xdr:cNvPr id="246328" name="フリーフォーム: 図形 246327">
          <a:extLst>
            <a:ext uri="{FF2B5EF4-FFF2-40B4-BE49-F238E27FC236}">
              <a16:creationId xmlns:a16="http://schemas.microsoft.com/office/drawing/2014/main" id="{D5C4A688-8118-4DC4-8E9B-6C58C50D8574}"/>
            </a:ext>
          </a:extLst>
        </xdr:cNvPr>
        <xdr:cNvSpPr>
          <a:spLocks noChangeAspect="1"/>
        </xdr:cNvSpPr>
      </xdr:nvSpPr>
      <xdr:spPr>
        <a:xfrm>
          <a:off x="20260801" y="104580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53</xdr:row>
      <xdr:rowOff>114450</xdr:rowOff>
    </xdr:from>
    <xdr:to>
      <xdr:col>30</xdr:col>
      <xdr:colOff>118802</xdr:colOff>
      <xdr:row>59</xdr:row>
      <xdr:rowOff>21751</xdr:rowOff>
    </xdr:to>
    <xdr:sp macro="" textlink="">
      <xdr:nvSpPr>
        <xdr:cNvPr id="246329" name="フリーフォーム: 図形 246328">
          <a:extLst>
            <a:ext uri="{FF2B5EF4-FFF2-40B4-BE49-F238E27FC236}">
              <a16:creationId xmlns:a16="http://schemas.microsoft.com/office/drawing/2014/main" id="{64BB2051-28AB-4F93-8892-D9B0BCC91848}"/>
            </a:ext>
          </a:extLst>
        </xdr:cNvPr>
        <xdr:cNvSpPr>
          <a:spLocks noChangeAspect="1"/>
        </xdr:cNvSpPr>
      </xdr:nvSpPr>
      <xdr:spPr>
        <a:xfrm>
          <a:off x="204408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58</xdr:row>
      <xdr:rowOff>139200</xdr:rowOff>
    </xdr:from>
    <xdr:to>
      <xdr:col>30</xdr:col>
      <xdr:colOff>388801</xdr:colOff>
      <xdr:row>59</xdr:row>
      <xdr:rowOff>111751</xdr:rowOff>
    </xdr:to>
    <xdr:sp macro="" textlink="">
      <xdr:nvSpPr>
        <xdr:cNvPr id="246330" name="フリーフォーム: 図形 246329">
          <a:extLst>
            <a:ext uri="{FF2B5EF4-FFF2-40B4-BE49-F238E27FC236}">
              <a16:creationId xmlns:a16="http://schemas.microsoft.com/office/drawing/2014/main" id="{0988BFA4-8866-49BE-BDC2-04F8A4E97256}"/>
            </a:ext>
          </a:extLst>
        </xdr:cNvPr>
        <xdr:cNvSpPr>
          <a:spLocks noChangeAspect="1"/>
        </xdr:cNvSpPr>
      </xdr:nvSpPr>
      <xdr:spPr>
        <a:xfrm>
          <a:off x="205128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58</xdr:row>
      <xdr:rowOff>139200</xdr:rowOff>
    </xdr:from>
    <xdr:to>
      <xdr:col>31</xdr:col>
      <xdr:colOff>207001</xdr:colOff>
      <xdr:row>59</xdr:row>
      <xdr:rowOff>111751</xdr:rowOff>
    </xdr:to>
    <xdr:sp macro="" textlink="">
      <xdr:nvSpPr>
        <xdr:cNvPr id="246331" name="フリーフォーム: 図形 246330">
          <a:extLst>
            <a:ext uri="{FF2B5EF4-FFF2-40B4-BE49-F238E27FC236}">
              <a16:creationId xmlns:a16="http://schemas.microsoft.com/office/drawing/2014/main" id="{9CBDB430-DB87-4BD1-8E99-3B3420926039}"/>
            </a:ext>
          </a:extLst>
        </xdr:cNvPr>
        <xdr:cNvSpPr>
          <a:spLocks noChangeAspect="1"/>
        </xdr:cNvSpPr>
      </xdr:nvSpPr>
      <xdr:spPr>
        <a:xfrm>
          <a:off x="210167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54</xdr:row>
      <xdr:rowOff>51000</xdr:rowOff>
    </xdr:from>
    <xdr:to>
      <xdr:col>30</xdr:col>
      <xdr:colOff>406801</xdr:colOff>
      <xdr:row>59</xdr:row>
      <xdr:rowOff>3751</xdr:rowOff>
    </xdr:to>
    <xdr:sp macro="" textlink="">
      <xdr:nvSpPr>
        <xdr:cNvPr id="246332" name="フリーフォーム: 図形 246331">
          <a:extLst>
            <a:ext uri="{FF2B5EF4-FFF2-40B4-BE49-F238E27FC236}">
              <a16:creationId xmlns:a16="http://schemas.microsoft.com/office/drawing/2014/main" id="{7C6D6A5B-2E57-4110-AB8C-D7038963786A}"/>
            </a:ext>
          </a:extLst>
        </xdr:cNvPr>
        <xdr:cNvSpPr>
          <a:spLocks noChangeAspect="1"/>
        </xdr:cNvSpPr>
      </xdr:nvSpPr>
      <xdr:spPr>
        <a:xfrm>
          <a:off x="207107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53</xdr:row>
      <xdr:rowOff>114450</xdr:rowOff>
    </xdr:from>
    <xdr:to>
      <xdr:col>30</xdr:col>
      <xdr:colOff>658801</xdr:colOff>
      <xdr:row>58</xdr:row>
      <xdr:rowOff>157201</xdr:rowOff>
    </xdr:to>
    <xdr:sp macro="" textlink="">
      <xdr:nvSpPr>
        <xdr:cNvPr id="246333" name="フリーフォーム: 図形 246332">
          <a:extLst>
            <a:ext uri="{FF2B5EF4-FFF2-40B4-BE49-F238E27FC236}">
              <a16:creationId xmlns:a16="http://schemas.microsoft.com/office/drawing/2014/main" id="{56716406-1D46-4A9A-93AF-4CADEB38A19E}"/>
            </a:ext>
          </a:extLst>
        </xdr:cNvPr>
        <xdr:cNvSpPr>
          <a:spLocks noChangeAspect="1"/>
        </xdr:cNvSpPr>
      </xdr:nvSpPr>
      <xdr:spPr>
        <a:xfrm>
          <a:off x="209808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54</xdr:row>
      <xdr:rowOff>69000</xdr:rowOff>
    </xdr:from>
    <xdr:to>
      <xdr:col>31</xdr:col>
      <xdr:colOff>297001</xdr:colOff>
      <xdr:row>59</xdr:row>
      <xdr:rowOff>3751</xdr:rowOff>
    </xdr:to>
    <xdr:sp macro="" textlink="">
      <xdr:nvSpPr>
        <xdr:cNvPr id="246334" name="フリーフォーム: 図形 246333">
          <a:extLst>
            <a:ext uri="{FF2B5EF4-FFF2-40B4-BE49-F238E27FC236}">
              <a16:creationId xmlns:a16="http://schemas.microsoft.com/office/drawing/2014/main" id="{01053B69-128B-4DD8-A9D2-9969C687C6F9}"/>
            </a:ext>
          </a:extLst>
        </xdr:cNvPr>
        <xdr:cNvSpPr>
          <a:spLocks noChangeAspect="1"/>
        </xdr:cNvSpPr>
      </xdr:nvSpPr>
      <xdr:spPr>
        <a:xfrm>
          <a:off x="210348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59</xdr:row>
      <xdr:rowOff>75750</xdr:rowOff>
    </xdr:from>
    <xdr:to>
      <xdr:col>31</xdr:col>
      <xdr:colOff>9000</xdr:colOff>
      <xdr:row>63</xdr:row>
      <xdr:rowOff>163951</xdr:rowOff>
    </xdr:to>
    <xdr:sp macro="" textlink="">
      <xdr:nvSpPr>
        <xdr:cNvPr id="246335" name="フリーフォーム: 図形 246334">
          <a:extLst>
            <a:ext uri="{FF2B5EF4-FFF2-40B4-BE49-F238E27FC236}">
              <a16:creationId xmlns:a16="http://schemas.microsoft.com/office/drawing/2014/main" id="{82FE52E6-05A1-4DF5-9485-277D7DDAA259}"/>
            </a:ext>
          </a:extLst>
        </xdr:cNvPr>
        <xdr:cNvSpPr>
          <a:spLocks noChangeAspect="1"/>
        </xdr:cNvSpPr>
      </xdr:nvSpPr>
      <xdr:spPr>
        <a:xfrm>
          <a:off x="209988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59</xdr:row>
      <xdr:rowOff>93750</xdr:rowOff>
    </xdr:from>
    <xdr:to>
      <xdr:col>30</xdr:col>
      <xdr:colOff>424801</xdr:colOff>
      <xdr:row>64</xdr:row>
      <xdr:rowOff>118501</xdr:rowOff>
    </xdr:to>
    <xdr:sp macro="" textlink="">
      <xdr:nvSpPr>
        <xdr:cNvPr id="246336" name="フリーフォーム: 図形 246335">
          <a:extLst>
            <a:ext uri="{FF2B5EF4-FFF2-40B4-BE49-F238E27FC236}">
              <a16:creationId xmlns:a16="http://schemas.microsoft.com/office/drawing/2014/main" id="{93A2C5A8-F616-42D1-BF21-F0511FBC9026}"/>
            </a:ext>
          </a:extLst>
        </xdr:cNvPr>
        <xdr:cNvSpPr>
          <a:spLocks noChangeAspect="1"/>
        </xdr:cNvSpPr>
      </xdr:nvSpPr>
      <xdr:spPr>
        <a:xfrm>
          <a:off x="207648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59</xdr:row>
      <xdr:rowOff>75750</xdr:rowOff>
    </xdr:from>
    <xdr:to>
      <xdr:col>30</xdr:col>
      <xdr:colOff>388801</xdr:colOff>
      <xdr:row>64</xdr:row>
      <xdr:rowOff>10501</xdr:rowOff>
    </xdr:to>
    <xdr:sp macro="" textlink="">
      <xdr:nvSpPr>
        <xdr:cNvPr id="246337" name="フリーフォーム: 図形 246336">
          <a:extLst>
            <a:ext uri="{FF2B5EF4-FFF2-40B4-BE49-F238E27FC236}">
              <a16:creationId xmlns:a16="http://schemas.microsoft.com/office/drawing/2014/main" id="{32633E1C-6350-4A03-B5A2-17ACD8C8AA90}"/>
            </a:ext>
          </a:extLst>
        </xdr:cNvPr>
        <xdr:cNvSpPr>
          <a:spLocks noChangeAspect="1"/>
        </xdr:cNvSpPr>
      </xdr:nvSpPr>
      <xdr:spPr>
        <a:xfrm>
          <a:off x="204408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53</xdr:row>
      <xdr:rowOff>42450</xdr:rowOff>
    </xdr:from>
    <xdr:to>
      <xdr:col>33</xdr:col>
      <xdr:colOff>322201</xdr:colOff>
      <xdr:row>54</xdr:row>
      <xdr:rowOff>15001</xdr:rowOff>
    </xdr:to>
    <xdr:sp macro="" textlink="">
      <xdr:nvSpPr>
        <xdr:cNvPr id="246338" name="フリーフォーム: 図形 246337">
          <a:extLst>
            <a:ext uri="{FF2B5EF4-FFF2-40B4-BE49-F238E27FC236}">
              <a16:creationId xmlns:a16="http://schemas.microsoft.com/office/drawing/2014/main" id="{C7173413-C6F2-48D6-AB0B-6A1DA03732B8}"/>
            </a:ext>
          </a:extLst>
        </xdr:cNvPr>
        <xdr:cNvSpPr>
          <a:spLocks noChangeAspect="1"/>
        </xdr:cNvSpPr>
      </xdr:nvSpPr>
      <xdr:spPr>
        <a:xfrm>
          <a:off x="224856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53</xdr:row>
      <xdr:rowOff>42450</xdr:rowOff>
    </xdr:from>
    <xdr:to>
      <xdr:col>34</xdr:col>
      <xdr:colOff>176401</xdr:colOff>
      <xdr:row>54</xdr:row>
      <xdr:rowOff>15001</xdr:rowOff>
    </xdr:to>
    <xdr:sp macro="" textlink="">
      <xdr:nvSpPr>
        <xdr:cNvPr id="246339" name="フリーフォーム: 図形 246338">
          <a:extLst>
            <a:ext uri="{FF2B5EF4-FFF2-40B4-BE49-F238E27FC236}">
              <a16:creationId xmlns:a16="http://schemas.microsoft.com/office/drawing/2014/main" id="{174937B5-7C3A-43B4-B9FC-64F3376D42C3}"/>
            </a:ext>
          </a:extLst>
        </xdr:cNvPr>
        <xdr:cNvSpPr>
          <a:spLocks noChangeAspect="1"/>
        </xdr:cNvSpPr>
      </xdr:nvSpPr>
      <xdr:spPr>
        <a:xfrm>
          <a:off x="230256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53</xdr:row>
      <xdr:rowOff>114450</xdr:rowOff>
    </xdr:from>
    <xdr:to>
      <xdr:col>34</xdr:col>
      <xdr:colOff>248401</xdr:colOff>
      <xdr:row>59</xdr:row>
      <xdr:rowOff>21751</xdr:rowOff>
    </xdr:to>
    <xdr:sp macro="" textlink="">
      <xdr:nvSpPr>
        <xdr:cNvPr id="246340" name="フリーフォーム: 図形 246339">
          <a:extLst>
            <a:ext uri="{FF2B5EF4-FFF2-40B4-BE49-F238E27FC236}">
              <a16:creationId xmlns:a16="http://schemas.microsoft.com/office/drawing/2014/main" id="{B27CDF5D-D183-41AE-86F3-101271C9EE34}"/>
            </a:ext>
          </a:extLst>
        </xdr:cNvPr>
        <xdr:cNvSpPr>
          <a:spLocks noChangeAspect="1"/>
        </xdr:cNvSpPr>
      </xdr:nvSpPr>
      <xdr:spPr>
        <a:xfrm>
          <a:off x="232775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59</xdr:row>
      <xdr:rowOff>75750</xdr:rowOff>
    </xdr:from>
    <xdr:to>
      <xdr:col>34</xdr:col>
      <xdr:colOff>68401</xdr:colOff>
      <xdr:row>64</xdr:row>
      <xdr:rowOff>136501</xdr:rowOff>
    </xdr:to>
    <xdr:sp macro="" textlink="">
      <xdr:nvSpPr>
        <xdr:cNvPr id="246341" name="フリーフォーム: 図形 246340">
          <a:extLst>
            <a:ext uri="{FF2B5EF4-FFF2-40B4-BE49-F238E27FC236}">
              <a16:creationId xmlns:a16="http://schemas.microsoft.com/office/drawing/2014/main" id="{C3C6E61E-A7F7-469F-A270-1796477F18F7}"/>
            </a:ext>
          </a:extLst>
        </xdr:cNvPr>
        <xdr:cNvSpPr>
          <a:spLocks noChangeAspect="1"/>
        </xdr:cNvSpPr>
      </xdr:nvSpPr>
      <xdr:spPr>
        <a:xfrm>
          <a:off x="230975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64</xdr:row>
      <xdr:rowOff>64500</xdr:rowOff>
    </xdr:from>
    <xdr:to>
      <xdr:col>32</xdr:col>
      <xdr:colOff>684001</xdr:colOff>
      <xdr:row>65</xdr:row>
      <xdr:rowOff>37051</xdr:rowOff>
    </xdr:to>
    <xdr:sp macro="" textlink="">
      <xdr:nvSpPr>
        <xdr:cNvPr id="246342" name="フリーフォーム: 図形 246341">
          <a:extLst>
            <a:ext uri="{FF2B5EF4-FFF2-40B4-BE49-F238E27FC236}">
              <a16:creationId xmlns:a16="http://schemas.microsoft.com/office/drawing/2014/main" id="{253638AE-59C1-4BC1-A42B-69FF4BF3EFB6}"/>
            </a:ext>
          </a:extLst>
        </xdr:cNvPr>
        <xdr:cNvSpPr>
          <a:spLocks noChangeAspect="1"/>
        </xdr:cNvSpPr>
      </xdr:nvSpPr>
      <xdr:spPr>
        <a:xfrm>
          <a:off x="221436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64</xdr:row>
      <xdr:rowOff>64500</xdr:rowOff>
    </xdr:from>
    <xdr:to>
      <xdr:col>33</xdr:col>
      <xdr:colOff>502201</xdr:colOff>
      <xdr:row>65</xdr:row>
      <xdr:rowOff>37051</xdr:rowOff>
    </xdr:to>
    <xdr:sp macro="" textlink="">
      <xdr:nvSpPr>
        <xdr:cNvPr id="246343" name="フリーフォーム: 図形 246342">
          <a:extLst>
            <a:ext uri="{FF2B5EF4-FFF2-40B4-BE49-F238E27FC236}">
              <a16:creationId xmlns:a16="http://schemas.microsoft.com/office/drawing/2014/main" id="{F42B29B3-A5F2-49EA-9EF6-E3FD0B395443}"/>
            </a:ext>
          </a:extLst>
        </xdr:cNvPr>
        <xdr:cNvSpPr>
          <a:spLocks noChangeAspect="1"/>
        </xdr:cNvSpPr>
      </xdr:nvSpPr>
      <xdr:spPr>
        <a:xfrm>
          <a:off x="226655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59</xdr:row>
      <xdr:rowOff>75750</xdr:rowOff>
    </xdr:from>
    <xdr:to>
      <xdr:col>32</xdr:col>
      <xdr:colOff>432001</xdr:colOff>
      <xdr:row>64</xdr:row>
      <xdr:rowOff>136501</xdr:rowOff>
    </xdr:to>
    <xdr:sp macro="" textlink="">
      <xdr:nvSpPr>
        <xdr:cNvPr id="246344" name="フリーフォーム: 図形 246343">
          <a:extLst>
            <a:ext uri="{FF2B5EF4-FFF2-40B4-BE49-F238E27FC236}">
              <a16:creationId xmlns:a16="http://schemas.microsoft.com/office/drawing/2014/main" id="{4349A82B-DA15-4EAD-A2B0-012F6B0AB848}"/>
            </a:ext>
          </a:extLst>
        </xdr:cNvPr>
        <xdr:cNvSpPr>
          <a:spLocks noChangeAspect="1"/>
        </xdr:cNvSpPr>
      </xdr:nvSpPr>
      <xdr:spPr>
        <a:xfrm>
          <a:off x="22089601" y="104580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53</xdr:row>
      <xdr:rowOff>114450</xdr:rowOff>
    </xdr:from>
    <xdr:to>
      <xdr:col>32</xdr:col>
      <xdr:colOff>576002</xdr:colOff>
      <xdr:row>59</xdr:row>
      <xdr:rowOff>21751</xdr:rowOff>
    </xdr:to>
    <xdr:sp macro="" textlink="">
      <xdr:nvSpPr>
        <xdr:cNvPr id="246345" name="フリーフォーム: 図形 246344">
          <a:extLst>
            <a:ext uri="{FF2B5EF4-FFF2-40B4-BE49-F238E27FC236}">
              <a16:creationId xmlns:a16="http://schemas.microsoft.com/office/drawing/2014/main" id="{8EAB4C8C-917D-4FB1-BBB2-4C682E0F4632}"/>
            </a:ext>
          </a:extLst>
        </xdr:cNvPr>
        <xdr:cNvSpPr>
          <a:spLocks noChangeAspect="1"/>
        </xdr:cNvSpPr>
      </xdr:nvSpPr>
      <xdr:spPr>
        <a:xfrm>
          <a:off x="222696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58</xdr:row>
      <xdr:rowOff>139200</xdr:rowOff>
    </xdr:from>
    <xdr:to>
      <xdr:col>33</xdr:col>
      <xdr:colOff>160201</xdr:colOff>
      <xdr:row>59</xdr:row>
      <xdr:rowOff>111751</xdr:rowOff>
    </xdr:to>
    <xdr:sp macro="" textlink="">
      <xdr:nvSpPr>
        <xdr:cNvPr id="246346" name="フリーフォーム: 図形 246345">
          <a:extLst>
            <a:ext uri="{FF2B5EF4-FFF2-40B4-BE49-F238E27FC236}">
              <a16:creationId xmlns:a16="http://schemas.microsoft.com/office/drawing/2014/main" id="{33FC60B1-E1FC-4D64-BDD3-685698005E4E}"/>
            </a:ext>
          </a:extLst>
        </xdr:cNvPr>
        <xdr:cNvSpPr>
          <a:spLocks noChangeAspect="1"/>
        </xdr:cNvSpPr>
      </xdr:nvSpPr>
      <xdr:spPr>
        <a:xfrm>
          <a:off x="223416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58</xdr:row>
      <xdr:rowOff>139200</xdr:rowOff>
    </xdr:from>
    <xdr:to>
      <xdr:col>33</xdr:col>
      <xdr:colOff>664201</xdr:colOff>
      <xdr:row>59</xdr:row>
      <xdr:rowOff>111751</xdr:rowOff>
    </xdr:to>
    <xdr:sp macro="" textlink="">
      <xdr:nvSpPr>
        <xdr:cNvPr id="246347" name="フリーフォーム: 図形 246346">
          <a:extLst>
            <a:ext uri="{FF2B5EF4-FFF2-40B4-BE49-F238E27FC236}">
              <a16:creationId xmlns:a16="http://schemas.microsoft.com/office/drawing/2014/main" id="{CF1533FD-A158-4C61-993E-20862889EDE9}"/>
            </a:ext>
          </a:extLst>
        </xdr:cNvPr>
        <xdr:cNvSpPr>
          <a:spLocks noChangeAspect="1"/>
        </xdr:cNvSpPr>
      </xdr:nvSpPr>
      <xdr:spPr>
        <a:xfrm>
          <a:off x="228455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54</xdr:row>
      <xdr:rowOff>51000</xdr:rowOff>
    </xdr:from>
    <xdr:to>
      <xdr:col>33</xdr:col>
      <xdr:colOff>178201</xdr:colOff>
      <xdr:row>59</xdr:row>
      <xdr:rowOff>3751</xdr:rowOff>
    </xdr:to>
    <xdr:sp macro="" textlink="">
      <xdr:nvSpPr>
        <xdr:cNvPr id="246348" name="フリーフォーム: 図形 246347">
          <a:extLst>
            <a:ext uri="{FF2B5EF4-FFF2-40B4-BE49-F238E27FC236}">
              <a16:creationId xmlns:a16="http://schemas.microsoft.com/office/drawing/2014/main" id="{9E1BBCB3-95AD-447A-BD33-55ACCF7EF7B8}"/>
            </a:ext>
          </a:extLst>
        </xdr:cNvPr>
        <xdr:cNvSpPr>
          <a:spLocks noChangeAspect="1"/>
        </xdr:cNvSpPr>
      </xdr:nvSpPr>
      <xdr:spPr>
        <a:xfrm>
          <a:off x="225395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53</xdr:row>
      <xdr:rowOff>114450</xdr:rowOff>
    </xdr:from>
    <xdr:to>
      <xdr:col>33</xdr:col>
      <xdr:colOff>430201</xdr:colOff>
      <xdr:row>58</xdr:row>
      <xdr:rowOff>157201</xdr:rowOff>
    </xdr:to>
    <xdr:sp macro="" textlink="">
      <xdr:nvSpPr>
        <xdr:cNvPr id="246349" name="フリーフォーム: 図形 246348">
          <a:extLst>
            <a:ext uri="{FF2B5EF4-FFF2-40B4-BE49-F238E27FC236}">
              <a16:creationId xmlns:a16="http://schemas.microsoft.com/office/drawing/2014/main" id="{26B5F218-805E-40B7-A32D-E17395F2F9A8}"/>
            </a:ext>
          </a:extLst>
        </xdr:cNvPr>
        <xdr:cNvSpPr>
          <a:spLocks noChangeAspect="1"/>
        </xdr:cNvSpPr>
      </xdr:nvSpPr>
      <xdr:spPr>
        <a:xfrm>
          <a:off x="228096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54</xdr:row>
      <xdr:rowOff>69000</xdr:rowOff>
    </xdr:from>
    <xdr:to>
      <xdr:col>34</xdr:col>
      <xdr:colOff>68401</xdr:colOff>
      <xdr:row>59</xdr:row>
      <xdr:rowOff>3751</xdr:rowOff>
    </xdr:to>
    <xdr:sp macro="" textlink="">
      <xdr:nvSpPr>
        <xdr:cNvPr id="246350" name="フリーフォーム: 図形 246349">
          <a:extLst>
            <a:ext uri="{FF2B5EF4-FFF2-40B4-BE49-F238E27FC236}">
              <a16:creationId xmlns:a16="http://schemas.microsoft.com/office/drawing/2014/main" id="{E7AC70F4-E0C5-431F-9655-00EDC5EBEC54}"/>
            </a:ext>
          </a:extLst>
        </xdr:cNvPr>
        <xdr:cNvSpPr>
          <a:spLocks noChangeAspect="1"/>
        </xdr:cNvSpPr>
      </xdr:nvSpPr>
      <xdr:spPr>
        <a:xfrm>
          <a:off x="228636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59</xdr:row>
      <xdr:rowOff>75750</xdr:rowOff>
    </xdr:from>
    <xdr:to>
      <xdr:col>33</xdr:col>
      <xdr:colOff>466200</xdr:colOff>
      <xdr:row>63</xdr:row>
      <xdr:rowOff>163951</xdr:rowOff>
    </xdr:to>
    <xdr:sp macro="" textlink="">
      <xdr:nvSpPr>
        <xdr:cNvPr id="246351" name="フリーフォーム: 図形 246350">
          <a:extLst>
            <a:ext uri="{FF2B5EF4-FFF2-40B4-BE49-F238E27FC236}">
              <a16:creationId xmlns:a16="http://schemas.microsoft.com/office/drawing/2014/main" id="{1CD64978-A8D3-4C97-B2C3-F0F33188D062}"/>
            </a:ext>
          </a:extLst>
        </xdr:cNvPr>
        <xdr:cNvSpPr>
          <a:spLocks noChangeAspect="1"/>
        </xdr:cNvSpPr>
      </xdr:nvSpPr>
      <xdr:spPr>
        <a:xfrm>
          <a:off x="228276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59</xdr:row>
      <xdr:rowOff>93750</xdr:rowOff>
    </xdr:from>
    <xdr:to>
      <xdr:col>33</xdr:col>
      <xdr:colOff>196201</xdr:colOff>
      <xdr:row>64</xdr:row>
      <xdr:rowOff>118501</xdr:rowOff>
    </xdr:to>
    <xdr:sp macro="" textlink="">
      <xdr:nvSpPr>
        <xdr:cNvPr id="246352" name="フリーフォーム: 図形 246351">
          <a:extLst>
            <a:ext uri="{FF2B5EF4-FFF2-40B4-BE49-F238E27FC236}">
              <a16:creationId xmlns:a16="http://schemas.microsoft.com/office/drawing/2014/main" id="{80F906BC-333A-40FE-9DEE-9545F3896321}"/>
            </a:ext>
          </a:extLst>
        </xdr:cNvPr>
        <xdr:cNvSpPr>
          <a:spLocks noChangeAspect="1"/>
        </xdr:cNvSpPr>
      </xdr:nvSpPr>
      <xdr:spPr>
        <a:xfrm>
          <a:off x="225936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59</xdr:row>
      <xdr:rowOff>75750</xdr:rowOff>
    </xdr:from>
    <xdr:to>
      <xdr:col>33</xdr:col>
      <xdr:colOff>160201</xdr:colOff>
      <xdr:row>64</xdr:row>
      <xdr:rowOff>10501</xdr:rowOff>
    </xdr:to>
    <xdr:sp macro="" textlink="">
      <xdr:nvSpPr>
        <xdr:cNvPr id="246353" name="フリーフォーム: 図形 246352">
          <a:extLst>
            <a:ext uri="{FF2B5EF4-FFF2-40B4-BE49-F238E27FC236}">
              <a16:creationId xmlns:a16="http://schemas.microsoft.com/office/drawing/2014/main" id="{059FE918-8C01-4703-87FF-60B20D0709AF}"/>
            </a:ext>
          </a:extLst>
        </xdr:cNvPr>
        <xdr:cNvSpPr>
          <a:spLocks noChangeAspect="1"/>
        </xdr:cNvSpPr>
      </xdr:nvSpPr>
      <xdr:spPr>
        <a:xfrm>
          <a:off x="222696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53</xdr:row>
      <xdr:rowOff>42450</xdr:rowOff>
    </xdr:from>
    <xdr:to>
      <xdr:col>36</xdr:col>
      <xdr:colOff>93601</xdr:colOff>
      <xdr:row>54</xdr:row>
      <xdr:rowOff>15001</xdr:rowOff>
    </xdr:to>
    <xdr:sp macro="" textlink="">
      <xdr:nvSpPr>
        <xdr:cNvPr id="246354" name="フリーフォーム: 図形 246353">
          <a:extLst>
            <a:ext uri="{FF2B5EF4-FFF2-40B4-BE49-F238E27FC236}">
              <a16:creationId xmlns:a16="http://schemas.microsoft.com/office/drawing/2014/main" id="{04E8CD30-C470-41E8-AB31-EE2CACC3C98B}"/>
            </a:ext>
          </a:extLst>
        </xdr:cNvPr>
        <xdr:cNvSpPr>
          <a:spLocks noChangeAspect="1"/>
        </xdr:cNvSpPr>
      </xdr:nvSpPr>
      <xdr:spPr>
        <a:xfrm>
          <a:off x="24314400" y="93960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53</xdr:row>
      <xdr:rowOff>42450</xdr:rowOff>
    </xdr:from>
    <xdr:to>
      <xdr:col>36</xdr:col>
      <xdr:colOff>633601</xdr:colOff>
      <xdr:row>54</xdr:row>
      <xdr:rowOff>15001</xdr:rowOff>
    </xdr:to>
    <xdr:sp macro="" textlink="">
      <xdr:nvSpPr>
        <xdr:cNvPr id="246355" name="フリーフォーム: 図形 246354">
          <a:extLst>
            <a:ext uri="{FF2B5EF4-FFF2-40B4-BE49-F238E27FC236}">
              <a16:creationId xmlns:a16="http://schemas.microsoft.com/office/drawing/2014/main" id="{B38DAD09-FA45-43A9-A903-0D4C0E412117}"/>
            </a:ext>
          </a:extLst>
        </xdr:cNvPr>
        <xdr:cNvSpPr>
          <a:spLocks noChangeAspect="1"/>
        </xdr:cNvSpPr>
      </xdr:nvSpPr>
      <xdr:spPr>
        <a:xfrm>
          <a:off x="24854401" y="93960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53</xdr:row>
      <xdr:rowOff>114450</xdr:rowOff>
    </xdr:from>
    <xdr:to>
      <xdr:col>37</xdr:col>
      <xdr:colOff>19801</xdr:colOff>
      <xdr:row>59</xdr:row>
      <xdr:rowOff>21751</xdr:rowOff>
    </xdr:to>
    <xdr:sp macro="" textlink="">
      <xdr:nvSpPr>
        <xdr:cNvPr id="246356" name="フリーフォーム: 図形 246355">
          <a:extLst>
            <a:ext uri="{FF2B5EF4-FFF2-40B4-BE49-F238E27FC236}">
              <a16:creationId xmlns:a16="http://schemas.microsoft.com/office/drawing/2014/main" id="{DBC0C45D-92F0-417D-80F6-76093D205D24}"/>
            </a:ext>
          </a:extLst>
        </xdr:cNvPr>
        <xdr:cNvSpPr>
          <a:spLocks noChangeAspect="1"/>
        </xdr:cNvSpPr>
      </xdr:nvSpPr>
      <xdr:spPr>
        <a:xfrm>
          <a:off x="25106399" y="9468000"/>
          <a:ext cx="288002" cy="936001"/>
        </a:xfrm>
        <a:custGeom>
          <a:avLst/>
          <a:gdLst/>
          <a:ahLst/>
          <a:cxnLst/>
          <a:rect l="0" t="0" r="0" b="0"/>
          <a:pathLst>
            <a:path w="288002" h="936001">
              <a:moveTo>
                <a:pt x="144001" y="108000"/>
              </a:moveTo>
              <a:lnTo>
                <a:pt x="252000" y="0"/>
              </a:lnTo>
              <a:lnTo>
                <a:pt x="288001" y="72000"/>
              </a:lnTo>
              <a:lnTo>
                <a:pt x="144001" y="864000"/>
              </a:lnTo>
              <a:lnTo>
                <a:pt x="54002"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59</xdr:row>
      <xdr:rowOff>75750</xdr:rowOff>
    </xdr:from>
    <xdr:to>
      <xdr:col>36</xdr:col>
      <xdr:colOff>525601</xdr:colOff>
      <xdr:row>64</xdr:row>
      <xdr:rowOff>136501</xdr:rowOff>
    </xdr:to>
    <xdr:sp macro="" textlink="">
      <xdr:nvSpPr>
        <xdr:cNvPr id="246357" name="フリーフォーム: 図形 246356">
          <a:extLst>
            <a:ext uri="{FF2B5EF4-FFF2-40B4-BE49-F238E27FC236}">
              <a16:creationId xmlns:a16="http://schemas.microsoft.com/office/drawing/2014/main" id="{89CA1FCF-6790-404E-B6D0-5FA0B34478E3}"/>
            </a:ext>
          </a:extLst>
        </xdr:cNvPr>
        <xdr:cNvSpPr>
          <a:spLocks noChangeAspect="1"/>
        </xdr:cNvSpPr>
      </xdr:nvSpPr>
      <xdr:spPr>
        <a:xfrm>
          <a:off x="24926399" y="10458000"/>
          <a:ext cx="288002" cy="918001"/>
        </a:xfrm>
        <a:custGeom>
          <a:avLst/>
          <a:gdLst/>
          <a:ahLst/>
          <a:cxnLst/>
          <a:rect l="0" t="0" r="0" b="0"/>
          <a:pathLst>
            <a:path w="288002" h="918001">
              <a:moveTo>
                <a:pt x="144001" y="72000"/>
              </a:moveTo>
              <a:lnTo>
                <a:pt x="216001" y="0"/>
              </a:lnTo>
              <a:lnTo>
                <a:pt x="288001" y="54000"/>
              </a:lnTo>
              <a:lnTo>
                <a:pt x="144001" y="846000"/>
              </a:lnTo>
              <a:lnTo>
                <a:pt x="72001"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64</xdr:row>
      <xdr:rowOff>64500</xdr:rowOff>
    </xdr:from>
    <xdr:to>
      <xdr:col>35</xdr:col>
      <xdr:colOff>455401</xdr:colOff>
      <xdr:row>65</xdr:row>
      <xdr:rowOff>37051</xdr:rowOff>
    </xdr:to>
    <xdr:sp macro="" textlink="">
      <xdr:nvSpPr>
        <xdr:cNvPr id="246358" name="フリーフォーム: 図形 246357">
          <a:extLst>
            <a:ext uri="{FF2B5EF4-FFF2-40B4-BE49-F238E27FC236}">
              <a16:creationId xmlns:a16="http://schemas.microsoft.com/office/drawing/2014/main" id="{10AD6CB2-7DB7-46A9-BE9E-CF976BD0F1B4}"/>
            </a:ext>
          </a:extLst>
        </xdr:cNvPr>
        <xdr:cNvSpPr>
          <a:spLocks noChangeAspect="1"/>
        </xdr:cNvSpPr>
      </xdr:nvSpPr>
      <xdr:spPr>
        <a:xfrm>
          <a:off x="23972400" y="113040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64</xdr:row>
      <xdr:rowOff>64500</xdr:rowOff>
    </xdr:from>
    <xdr:to>
      <xdr:col>36</xdr:col>
      <xdr:colOff>273601</xdr:colOff>
      <xdr:row>65</xdr:row>
      <xdr:rowOff>37051</xdr:rowOff>
    </xdr:to>
    <xdr:sp macro="" textlink="">
      <xdr:nvSpPr>
        <xdr:cNvPr id="246359" name="フリーフォーム: 図形 246358">
          <a:extLst>
            <a:ext uri="{FF2B5EF4-FFF2-40B4-BE49-F238E27FC236}">
              <a16:creationId xmlns:a16="http://schemas.microsoft.com/office/drawing/2014/main" id="{3F9C5B21-DD78-4A6E-A2C1-1142A3E0107C}"/>
            </a:ext>
          </a:extLst>
        </xdr:cNvPr>
        <xdr:cNvSpPr>
          <a:spLocks noChangeAspect="1"/>
        </xdr:cNvSpPr>
      </xdr:nvSpPr>
      <xdr:spPr>
        <a:xfrm>
          <a:off x="24494399" y="113040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59</xdr:row>
      <xdr:rowOff>75750</xdr:rowOff>
    </xdr:from>
    <xdr:to>
      <xdr:col>35</xdr:col>
      <xdr:colOff>203401</xdr:colOff>
      <xdr:row>64</xdr:row>
      <xdr:rowOff>136501</xdr:rowOff>
    </xdr:to>
    <xdr:sp macro="" textlink="">
      <xdr:nvSpPr>
        <xdr:cNvPr id="246360" name="フリーフォーム: 図形 246359">
          <a:extLst>
            <a:ext uri="{FF2B5EF4-FFF2-40B4-BE49-F238E27FC236}">
              <a16:creationId xmlns:a16="http://schemas.microsoft.com/office/drawing/2014/main" id="{0AB30583-4C87-4A92-809C-BC6087CBD963}"/>
            </a:ext>
          </a:extLst>
        </xdr:cNvPr>
        <xdr:cNvSpPr>
          <a:spLocks noChangeAspect="1"/>
        </xdr:cNvSpPr>
      </xdr:nvSpPr>
      <xdr:spPr>
        <a:xfrm>
          <a:off x="23918401" y="10458000"/>
          <a:ext cx="288000" cy="918001"/>
        </a:xfrm>
        <a:custGeom>
          <a:avLst/>
          <a:gdLst/>
          <a:ahLst/>
          <a:cxnLst/>
          <a:rect l="0" t="0" r="0" b="0"/>
          <a:pathLst>
            <a:path w="288000" h="918001">
              <a:moveTo>
                <a:pt x="143998" y="54000"/>
              </a:moveTo>
              <a:lnTo>
                <a:pt x="215999" y="0"/>
              </a:lnTo>
              <a:lnTo>
                <a:pt x="287999"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53</xdr:row>
      <xdr:rowOff>114450</xdr:rowOff>
    </xdr:from>
    <xdr:to>
      <xdr:col>35</xdr:col>
      <xdr:colOff>347402</xdr:colOff>
      <xdr:row>59</xdr:row>
      <xdr:rowOff>21751</xdr:rowOff>
    </xdr:to>
    <xdr:sp macro="" textlink="">
      <xdr:nvSpPr>
        <xdr:cNvPr id="246361" name="フリーフォーム: 図形 246360">
          <a:extLst>
            <a:ext uri="{FF2B5EF4-FFF2-40B4-BE49-F238E27FC236}">
              <a16:creationId xmlns:a16="http://schemas.microsoft.com/office/drawing/2014/main" id="{8DEF34DB-44E8-4FE4-9F06-23D52D9D0DA6}"/>
            </a:ext>
          </a:extLst>
        </xdr:cNvPr>
        <xdr:cNvSpPr>
          <a:spLocks noChangeAspect="1"/>
        </xdr:cNvSpPr>
      </xdr:nvSpPr>
      <xdr:spPr>
        <a:xfrm>
          <a:off x="24098400" y="9468000"/>
          <a:ext cx="252002" cy="936001"/>
        </a:xfrm>
        <a:custGeom>
          <a:avLst/>
          <a:gdLst/>
          <a:ahLst/>
          <a:cxnLst/>
          <a:rect l="0" t="0" r="0" b="0"/>
          <a:pathLst>
            <a:path w="252002" h="936001">
              <a:moveTo>
                <a:pt x="126000" y="72000"/>
              </a:moveTo>
              <a:lnTo>
                <a:pt x="180000" y="0"/>
              </a:lnTo>
              <a:lnTo>
                <a:pt x="252001"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58</xdr:row>
      <xdr:rowOff>139200</xdr:rowOff>
    </xdr:from>
    <xdr:to>
      <xdr:col>35</xdr:col>
      <xdr:colOff>617401</xdr:colOff>
      <xdr:row>59</xdr:row>
      <xdr:rowOff>111751</xdr:rowOff>
    </xdr:to>
    <xdr:sp macro="" textlink="">
      <xdr:nvSpPr>
        <xdr:cNvPr id="246362" name="フリーフォーム: 図形 246361">
          <a:extLst>
            <a:ext uri="{FF2B5EF4-FFF2-40B4-BE49-F238E27FC236}">
              <a16:creationId xmlns:a16="http://schemas.microsoft.com/office/drawing/2014/main" id="{FEF0C2D6-BD4C-4CE4-A743-8C90C226DE6D}"/>
            </a:ext>
          </a:extLst>
        </xdr:cNvPr>
        <xdr:cNvSpPr>
          <a:spLocks noChangeAspect="1"/>
        </xdr:cNvSpPr>
      </xdr:nvSpPr>
      <xdr:spPr>
        <a:xfrm>
          <a:off x="24170401" y="10350000"/>
          <a:ext cx="450000" cy="144001"/>
        </a:xfrm>
        <a:custGeom>
          <a:avLst/>
          <a:gdLst/>
          <a:ahLst/>
          <a:cxnLst/>
          <a:rect l="0" t="0" r="0" b="0"/>
          <a:pathLst>
            <a:path w="450000" h="144001">
              <a:moveTo>
                <a:pt x="89999" y="0"/>
              </a:moveTo>
              <a:lnTo>
                <a:pt x="359999" y="0"/>
              </a:lnTo>
              <a:lnTo>
                <a:pt x="449999"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58</xdr:row>
      <xdr:rowOff>139200</xdr:rowOff>
    </xdr:from>
    <xdr:to>
      <xdr:col>36</xdr:col>
      <xdr:colOff>435601</xdr:colOff>
      <xdr:row>59</xdr:row>
      <xdr:rowOff>111751</xdr:rowOff>
    </xdr:to>
    <xdr:sp macro="" textlink="">
      <xdr:nvSpPr>
        <xdr:cNvPr id="246363" name="フリーフォーム: 図形 246362">
          <a:extLst>
            <a:ext uri="{FF2B5EF4-FFF2-40B4-BE49-F238E27FC236}">
              <a16:creationId xmlns:a16="http://schemas.microsoft.com/office/drawing/2014/main" id="{E751D195-5DD1-4929-A267-221640B64677}"/>
            </a:ext>
          </a:extLst>
        </xdr:cNvPr>
        <xdr:cNvSpPr>
          <a:spLocks noChangeAspect="1"/>
        </xdr:cNvSpPr>
      </xdr:nvSpPr>
      <xdr:spPr>
        <a:xfrm>
          <a:off x="24674399" y="10350000"/>
          <a:ext cx="450002" cy="144001"/>
        </a:xfrm>
        <a:custGeom>
          <a:avLst/>
          <a:gdLst/>
          <a:ahLst/>
          <a:cxnLst/>
          <a:rect l="0" t="0" r="0" b="0"/>
          <a:pathLst>
            <a:path w="450002" h="144001">
              <a:moveTo>
                <a:pt x="144001" y="0"/>
              </a:moveTo>
              <a:lnTo>
                <a:pt x="396001" y="0"/>
              </a:lnTo>
              <a:lnTo>
                <a:pt x="450001" y="72000"/>
              </a:lnTo>
              <a:lnTo>
                <a:pt x="360002" y="144000"/>
              </a:lnTo>
              <a:lnTo>
                <a:pt x="90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54</xdr:row>
      <xdr:rowOff>51000</xdr:rowOff>
    </xdr:from>
    <xdr:to>
      <xdr:col>35</xdr:col>
      <xdr:colOff>635401</xdr:colOff>
      <xdr:row>59</xdr:row>
      <xdr:rowOff>3751</xdr:rowOff>
    </xdr:to>
    <xdr:sp macro="" textlink="">
      <xdr:nvSpPr>
        <xdr:cNvPr id="246364" name="フリーフォーム: 図形 246363">
          <a:extLst>
            <a:ext uri="{FF2B5EF4-FFF2-40B4-BE49-F238E27FC236}">
              <a16:creationId xmlns:a16="http://schemas.microsoft.com/office/drawing/2014/main" id="{C44F63EB-0E40-41FE-9ADE-52B7B1AAF701}"/>
            </a:ext>
          </a:extLst>
        </xdr:cNvPr>
        <xdr:cNvSpPr>
          <a:spLocks noChangeAspect="1"/>
        </xdr:cNvSpPr>
      </xdr:nvSpPr>
      <xdr:spPr>
        <a:xfrm>
          <a:off x="24368399" y="95760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53</xdr:row>
      <xdr:rowOff>114450</xdr:rowOff>
    </xdr:from>
    <xdr:to>
      <xdr:col>36</xdr:col>
      <xdr:colOff>201601</xdr:colOff>
      <xdr:row>58</xdr:row>
      <xdr:rowOff>157201</xdr:rowOff>
    </xdr:to>
    <xdr:sp macro="" textlink="">
      <xdr:nvSpPr>
        <xdr:cNvPr id="246365" name="フリーフォーム: 図形 246364">
          <a:extLst>
            <a:ext uri="{FF2B5EF4-FFF2-40B4-BE49-F238E27FC236}">
              <a16:creationId xmlns:a16="http://schemas.microsoft.com/office/drawing/2014/main" id="{CF0E51B4-E070-4EF3-9FA5-4F0FFF2EF970}"/>
            </a:ext>
          </a:extLst>
        </xdr:cNvPr>
        <xdr:cNvSpPr>
          <a:spLocks noChangeAspect="1"/>
        </xdr:cNvSpPr>
      </xdr:nvSpPr>
      <xdr:spPr>
        <a:xfrm>
          <a:off x="24638400" y="94680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54</xdr:row>
      <xdr:rowOff>69000</xdr:rowOff>
    </xdr:from>
    <xdr:to>
      <xdr:col>36</xdr:col>
      <xdr:colOff>525601</xdr:colOff>
      <xdr:row>59</xdr:row>
      <xdr:rowOff>3751</xdr:rowOff>
    </xdr:to>
    <xdr:sp macro="" textlink="">
      <xdr:nvSpPr>
        <xdr:cNvPr id="246366" name="フリーフォーム: 図形 246365">
          <a:extLst>
            <a:ext uri="{FF2B5EF4-FFF2-40B4-BE49-F238E27FC236}">
              <a16:creationId xmlns:a16="http://schemas.microsoft.com/office/drawing/2014/main" id="{F4989733-8D74-4828-A687-272AF0A6E583}"/>
            </a:ext>
          </a:extLst>
        </xdr:cNvPr>
        <xdr:cNvSpPr>
          <a:spLocks noChangeAspect="1"/>
        </xdr:cNvSpPr>
      </xdr:nvSpPr>
      <xdr:spPr>
        <a:xfrm>
          <a:off x="24692400" y="95940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59</xdr:row>
      <xdr:rowOff>75750</xdr:rowOff>
    </xdr:from>
    <xdr:to>
      <xdr:col>36</xdr:col>
      <xdr:colOff>237600</xdr:colOff>
      <xdr:row>63</xdr:row>
      <xdr:rowOff>163951</xdr:rowOff>
    </xdr:to>
    <xdr:sp macro="" textlink="">
      <xdr:nvSpPr>
        <xdr:cNvPr id="246367" name="フリーフォーム: 図形 246366">
          <a:extLst>
            <a:ext uri="{FF2B5EF4-FFF2-40B4-BE49-F238E27FC236}">
              <a16:creationId xmlns:a16="http://schemas.microsoft.com/office/drawing/2014/main" id="{D86A68B8-BE0D-417F-80F8-FCD5DA1F7703}"/>
            </a:ext>
          </a:extLst>
        </xdr:cNvPr>
        <xdr:cNvSpPr>
          <a:spLocks noChangeAspect="1"/>
        </xdr:cNvSpPr>
      </xdr:nvSpPr>
      <xdr:spPr>
        <a:xfrm>
          <a:off x="24656400" y="10458000"/>
          <a:ext cx="270000" cy="774001"/>
        </a:xfrm>
        <a:custGeom>
          <a:avLst/>
          <a:gdLst/>
          <a:ahLst/>
          <a:cxnLst/>
          <a:rect l="0" t="0" r="0" b="0"/>
          <a:pathLst>
            <a:path w="270000" h="774001">
              <a:moveTo>
                <a:pt x="54000" y="342000"/>
              </a:moveTo>
              <a:lnTo>
                <a:pt x="0" y="0"/>
              </a:lnTo>
              <a:lnTo>
                <a:pt x="90000" y="72000"/>
              </a:lnTo>
              <a:lnTo>
                <a:pt x="269999" y="630000"/>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59</xdr:row>
      <xdr:rowOff>93750</xdr:rowOff>
    </xdr:from>
    <xdr:to>
      <xdr:col>35</xdr:col>
      <xdr:colOff>653401</xdr:colOff>
      <xdr:row>64</xdr:row>
      <xdr:rowOff>118501</xdr:rowOff>
    </xdr:to>
    <xdr:sp macro="" textlink="">
      <xdr:nvSpPr>
        <xdr:cNvPr id="246368" name="フリーフォーム: 図形 246367">
          <a:extLst>
            <a:ext uri="{FF2B5EF4-FFF2-40B4-BE49-F238E27FC236}">
              <a16:creationId xmlns:a16="http://schemas.microsoft.com/office/drawing/2014/main" id="{E124016D-D042-4150-B563-2537700FB1C0}"/>
            </a:ext>
          </a:extLst>
        </xdr:cNvPr>
        <xdr:cNvSpPr>
          <a:spLocks noChangeAspect="1"/>
        </xdr:cNvSpPr>
      </xdr:nvSpPr>
      <xdr:spPr>
        <a:xfrm>
          <a:off x="24422401" y="10476000"/>
          <a:ext cx="234000" cy="882001"/>
        </a:xfrm>
        <a:custGeom>
          <a:avLst/>
          <a:gdLst/>
          <a:ahLst/>
          <a:cxnLst/>
          <a:rect l="0" t="0" r="0" b="0"/>
          <a:pathLst>
            <a:path w="234000" h="882001">
              <a:moveTo>
                <a:pt x="107999" y="216000"/>
              </a:moveTo>
              <a:lnTo>
                <a:pt x="215999" y="0"/>
              </a:lnTo>
              <a:lnTo>
                <a:pt x="233999" y="216000"/>
              </a:lnTo>
              <a:lnTo>
                <a:pt x="143999"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59</xdr:row>
      <xdr:rowOff>75750</xdr:rowOff>
    </xdr:from>
    <xdr:to>
      <xdr:col>35</xdr:col>
      <xdr:colOff>617401</xdr:colOff>
      <xdr:row>64</xdr:row>
      <xdr:rowOff>10501</xdr:rowOff>
    </xdr:to>
    <xdr:sp macro="" textlink="">
      <xdr:nvSpPr>
        <xdr:cNvPr id="246369" name="フリーフォーム: 図形 246368">
          <a:extLst>
            <a:ext uri="{FF2B5EF4-FFF2-40B4-BE49-F238E27FC236}">
              <a16:creationId xmlns:a16="http://schemas.microsoft.com/office/drawing/2014/main" id="{F10440BF-2644-42AE-93F8-2B15C4F97767}"/>
            </a:ext>
          </a:extLst>
        </xdr:cNvPr>
        <xdr:cNvSpPr>
          <a:spLocks noChangeAspect="1"/>
        </xdr:cNvSpPr>
      </xdr:nvSpPr>
      <xdr:spPr>
        <a:xfrm>
          <a:off x="24098400" y="10458000"/>
          <a:ext cx="522001" cy="792001"/>
        </a:xfrm>
        <a:custGeom>
          <a:avLst/>
          <a:gdLst/>
          <a:ahLst/>
          <a:cxnLst/>
          <a:rect l="0" t="0" r="0" b="0"/>
          <a:pathLst>
            <a:path w="522001" h="792001">
              <a:moveTo>
                <a:pt x="395999" y="72000"/>
              </a:moveTo>
              <a:lnTo>
                <a:pt x="522000" y="0"/>
              </a:lnTo>
              <a:lnTo>
                <a:pt x="324001" y="378000"/>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53</xdr:row>
      <xdr:rowOff>42450</xdr:rowOff>
    </xdr:from>
    <xdr:to>
      <xdr:col>38</xdr:col>
      <xdr:colOff>550801</xdr:colOff>
      <xdr:row>54</xdr:row>
      <xdr:rowOff>15001</xdr:rowOff>
    </xdr:to>
    <xdr:sp macro="" textlink="">
      <xdr:nvSpPr>
        <xdr:cNvPr id="246370" name="フリーフォーム: 図形 246369">
          <a:extLst>
            <a:ext uri="{FF2B5EF4-FFF2-40B4-BE49-F238E27FC236}">
              <a16:creationId xmlns:a16="http://schemas.microsoft.com/office/drawing/2014/main" id="{3AEBADE3-DDEA-4E70-B5C6-7526D552C796}"/>
            </a:ext>
          </a:extLst>
        </xdr:cNvPr>
        <xdr:cNvSpPr>
          <a:spLocks noChangeAspect="1"/>
        </xdr:cNvSpPr>
      </xdr:nvSpPr>
      <xdr:spPr>
        <a:xfrm>
          <a:off x="261432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53</xdr:row>
      <xdr:rowOff>42450</xdr:rowOff>
    </xdr:from>
    <xdr:to>
      <xdr:col>39</xdr:col>
      <xdr:colOff>405000</xdr:colOff>
      <xdr:row>54</xdr:row>
      <xdr:rowOff>15001</xdr:rowOff>
    </xdr:to>
    <xdr:sp macro="" textlink="">
      <xdr:nvSpPr>
        <xdr:cNvPr id="246371" name="フリーフォーム: 図形 246370">
          <a:extLst>
            <a:ext uri="{FF2B5EF4-FFF2-40B4-BE49-F238E27FC236}">
              <a16:creationId xmlns:a16="http://schemas.microsoft.com/office/drawing/2014/main" id="{D5C6A20F-CC4E-4E77-8519-F15E83D049C6}"/>
            </a:ext>
          </a:extLst>
        </xdr:cNvPr>
        <xdr:cNvSpPr>
          <a:spLocks noChangeAspect="1"/>
        </xdr:cNvSpPr>
      </xdr:nvSpPr>
      <xdr:spPr>
        <a:xfrm>
          <a:off x="266831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53</xdr:row>
      <xdr:rowOff>114450</xdr:rowOff>
    </xdr:from>
    <xdr:to>
      <xdr:col>39</xdr:col>
      <xdr:colOff>477001</xdr:colOff>
      <xdr:row>59</xdr:row>
      <xdr:rowOff>21751</xdr:rowOff>
    </xdr:to>
    <xdr:sp macro="" textlink="">
      <xdr:nvSpPr>
        <xdr:cNvPr id="246372" name="フリーフォーム: 図形 246371">
          <a:extLst>
            <a:ext uri="{FF2B5EF4-FFF2-40B4-BE49-F238E27FC236}">
              <a16:creationId xmlns:a16="http://schemas.microsoft.com/office/drawing/2014/main" id="{04DE76A7-C682-42F4-8974-8B47ECDDADA5}"/>
            </a:ext>
          </a:extLst>
        </xdr:cNvPr>
        <xdr:cNvSpPr>
          <a:spLocks noChangeAspect="1"/>
        </xdr:cNvSpPr>
      </xdr:nvSpPr>
      <xdr:spPr>
        <a:xfrm>
          <a:off x="269351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59</xdr:row>
      <xdr:rowOff>75750</xdr:rowOff>
    </xdr:from>
    <xdr:to>
      <xdr:col>39</xdr:col>
      <xdr:colOff>297000</xdr:colOff>
      <xdr:row>64</xdr:row>
      <xdr:rowOff>136501</xdr:rowOff>
    </xdr:to>
    <xdr:sp macro="" textlink="">
      <xdr:nvSpPr>
        <xdr:cNvPr id="246373" name="フリーフォーム: 図形 246372">
          <a:extLst>
            <a:ext uri="{FF2B5EF4-FFF2-40B4-BE49-F238E27FC236}">
              <a16:creationId xmlns:a16="http://schemas.microsoft.com/office/drawing/2014/main" id="{A670C9CC-284A-4D71-8058-C17BE1FDEC9A}"/>
            </a:ext>
          </a:extLst>
        </xdr:cNvPr>
        <xdr:cNvSpPr>
          <a:spLocks noChangeAspect="1"/>
        </xdr:cNvSpPr>
      </xdr:nvSpPr>
      <xdr:spPr>
        <a:xfrm>
          <a:off x="267552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64</xdr:row>
      <xdr:rowOff>64500</xdr:rowOff>
    </xdr:from>
    <xdr:to>
      <xdr:col>38</xdr:col>
      <xdr:colOff>226800</xdr:colOff>
      <xdr:row>65</xdr:row>
      <xdr:rowOff>37051</xdr:rowOff>
    </xdr:to>
    <xdr:sp macro="" textlink="">
      <xdr:nvSpPr>
        <xdr:cNvPr id="246374" name="フリーフォーム: 図形 246373">
          <a:extLst>
            <a:ext uri="{FF2B5EF4-FFF2-40B4-BE49-F238E27FC236}">
              <a16:creationId xmlns:a16="http://schemas.microsoft.com/office/drawing/2014/main" id="{AEAFA9E4-7C0F-4BD7-BAB8-DDD2700A6EB9}"/>
            </a:ext>
          </a:extLst>
        </xdr:cNvPr>
        <xdr:cNvSpPr>
          <a:spLocks noChangeAspect="1"/>
        </xdr:cNvSpPr>
      </xdr:nvSpPr>
      <xdr:spPr>
        <a:xfrm>
          <a:off x="25801200" y="113040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64</xdr:row>
      <xdr:rowOff>64500</xdr:rowOff>
    </xdr:from>
    <xdr:to>
      <xdr:col>39</xdr:col>
      <xdr:colOff>45000</xdr:colOff>
      <xdr:row>65</xdr:row>
      <xdr:rowOff>37051</xdr:rowOff>
    </xdr:to>
    <xdr:sp macro="" textlink="">
      <xdr:nvSpPr>
        <xdr:cNvPr id="246375" name="フリーフォーム: 図形 246374">
          <a:extLst>
            <a:ext uri="{FF2B5EF4-FFF2-40B4-BE49-F238E27FC236}">
              <a16:creationId xmlns:a16="http://schemas.microsoft.com/office/drawing/2014/main" id="{ED8FA70D-79D3-4049-B33C-0FAA14136014}"/>
            </a:ext>
          </a:extLst>
        </xdr:cNvPr>
        <xdr:cNvSpPr>
          <a:spLocks noChangeAspect="1"/>
        </xdr:cNvSpPr>
      </xdr:nvSpPr>
      <xdr:spPr>
        <a:xfrm>
          <a:off x="263231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59</xdr:row>
      <xdr:rowOff>75750</xdr:rowOff>
    </xdr:from>
    <xdr:to>
      <xdr:col>37</xdr:col>
      <xdr:colOff>660603</xdr:colOff>
      <xdr:row>64</xdr:row>
      <xdr:rowOff>136501</xdr:rowOff>
    </xdr:to>
    <xdr:sp macro="" textlink="">
      <xdr:nvSpPr>
        <xdr:cNvPr id="246376" name="フリーフォーム: 図形 246375">
          <a:extLst>
            <a:ext uri="{FF2B5EF4-FFF2-40B4-BE49-F238E27FC236}">
              <a16:creationId xmlns:a16="http://schemas.microsoft.com/office/drawing/2014/main" id="{06A59DA8-F9D8-4DFA-AD97-70DE1E2BF2CA}"/>
            </a:ext>
          </a:extLst>
        </xdr:cNvPr>
        <xdr:cNvSpPr>
          <a:spLocks noChangeAspect="1"/>
        </xdr:cNvSpPr>
      </xdr:nvSpPr>
      <xdr:spPr>
        <a:xfrm>
          <a:off x="25747201" y="10458000"/>
          <a:ext cx="288002" cy="918001"/>
        </a:xfrm>
        <a:custGeom>
          <a:avLst/>
          <a:gdLst/>
          <a:ahLst/>
          <a:cxnLst/>
          <a:rect l="0" t="0" r="0" b="0"/>
          <a:pathLst>
            <a:path w="288002" h="918001">
              <a:moveTo>
                <a:pt x="143998" y="54000"/>
              </a:moveTo>
              <a:lnTo>
                <a:pt x="215999" y="0"/>
              </a:lnTo>
              <a:lnTo>
                <a:pt x="288001" y="72000"/>
              </a:lnTo>
              <a:lnTo>
                <a:pt x="143998" y="810000"/>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53</xdr:row>
      <xdr:rowOff>114450</xdr:rowOff>
    </xdr:from>
    <xdr:to>
      <xdr:col>38</xdr:col>
      <xdr:colOff>118800</xdr:colOff>
      <xdr:row>59</xdr:row>
      <xdr:rowOff>21751</xdr:rowOff>
    </xdr:to>
    <xdr:sp macro="" textlink="">
      <xdr:nvSpPr>
        <xdr:cNvPr id="246377" name="フリーフォーム: 図形 246376">
          <a:extLst>
            <a:ext uri="{FF2B5EF4-FFF2-40B4-BE49-F238E27FC236}">
              <a16:creationId xmlns:a16="http://schemas.microsoft.com/office/drawing/2014/main" id="{29CAA2B1-4C29-4149-942C-BF7D95F8D788}"/>
            </a:ext>
          </a:extLst>
        </xdr:cNvPr>
        <xdr:cNvSpPr>
          <a:spLocks noChangeAspect="1"/>
        </xdr:cNvSpPr>
      </xdr:nvSpPr>
      <xdr:spPr>
        <a:xfrm>
          <a:off x="25927200" y="9468000"/>
          <a:ext cx="252000" cy="936001"/>
        </a:xfrm>
        <a:custGeom>
          <a:avLst/>
          <a:gdLst/>
          <a:ahLst/>
          <a:cxnLst/>
          <a:rect l="0" t="0" r="0" b="0"/>
          <a:pathLst>
            <a:path w="252000" h="936001">
              <a:moveTo>
                <a:pt x="126000" y="72000"/>
              </a:moveTo>
              <a:lnTo>
                <a:pt x="180000" y="0"/>
              </a:lnTo>
              <a:lnTo>
                <a:pt x="251999" y="108000"/>
              </a:lnTo>
              <a:lnTo>
                <a:pt x="143999" y="846000"/>
              </a:lnTo>
              <a:lnTo>
                <a:pt x="36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58</xdr:row>
      <xdr:rowOff>139200</xdr:rowOff>
    </xdr:from>
    <xdr:to>
      <xdr:col>38</xdr:col>
      <xdr:colOff>388802</xdr:colOff>
      <xdr:row>59</xdr:row>
      <xdr:rowOff>111751</xdr:rowOff>
    </xdr:to>
    <xdr:sp macro="" textlink="">
      <xdr:nvSpPr>
        <xdr:cNvPr id="246378" name="フリーフォーム: 図形 246377">
          <a:extLst>
            <a:ext uri="{FF2B5EF4-FFF2-40B4-BE49-F238E27FC236}">
              <a16:creationId xmlns:a16="http://schemas.microsoft.com/office/drawing/2014/main" id="{3436769F-0CA1-4F63-8A01-FB877E8BA41D}"/>
            </a:ext>
          </a:extLst>
        </xdr:cNvPr>
        <xdr:cNvSpPr>
          <a:spLocks noChangeAspect="1"/>
        </xdr:cNvSpPr>
      </xdr:nvSpPr>
      <xdr:spPr>
        <a:xfrm>
          <a:off x="259992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58</xdr:row>
      <xdr:rowOff>139200</xdr:rowOff>
    </xdr:from>
    <xdr:to>
      <xdr:col>39</xdr:col>
      <xdr:colOff>207002</xdr:colOff>
      <xdr:row>59</xdr:row>
      <xdr:rowOff>111751</xdr:rowOff>
    </xdr:to>
    <xdr:sp macro="" textlink="">
      <xdr:nvSpPr>
        <xdr:cNvPr id="246379" name="フリーフォーム: 図形 246378">
          <a:extLst>
            <a:ext uri="{FF2B5EF4-FFF2-40B4-BE49-F238E27FC236}">
              <a16:creationId xmlns:a16="http://schemas.microsoft.com/office/drawing/2014/main" id="{5FA191D0-D3ED-4D46-AEEF-BE210EAA5BCF}"/>
            </a:ext>
          </a:extLst>
        </xdr:cNvPr>
        <xdr:cNvSpPr>
          <a:spLocks noChangeAspect="1"/>
        </xdr:cNvSpPr>
      </xdr:nvSpPr>
      <xdr:spPr>
        <a:xfrm>
          <a:off x="265032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54</xdr:row>
      <xdr:rowOff>51000</xdr:rowOff>
    </xdr:from>
    <xdr:to>
      <xdr:col>38</xdr:col>
      <xdr:colOff>406801</xdr:colOff>
      <xdr:row>59</xdr:row>
      <xdr:rowOff>3751</xdr:rowOff>
    </xdr:to>
    <xdr:sp macro="" textlink="">
      <xdr:nvSpPr>
        <xdr:cNvPr id="246380" name="フリーフォーム: 図形 246379">
          <a:extLst>
            <a:ext uri="{FF2B5EF4-FFF2-40B4-BE49-F238E27FC236}">
              <a16:creationId xmlns:a16="http://schemas.microsoft.com/office/drawing/2014/main" id="{BBE3CFF4-18AC-4452-814B-EA4F2E228D6F}"/>
            </a:ext>
          </a:extLst>
        </xdr:cNvPr>
        <xdr:cNvSpPr>
          <a:spLocks noChangeAspect="1"/>
        </xdr:cNvSpPr>
      </xdr:nvSpPr>
      <xdr:spPr>
        <a:xfrm>
          <a:off x="261972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53</xdr:row>
      <xdr:rowOff>114450</xdr:rowOff>
    </xdr:from>
    <xdr:to>
      <xdr:col>38</xdr:col>
      <xdr:colOff>658801</xdr:colOff>
      <xdr:row>58</xdr:row>
      <xdr:rowOff>157201</xdr:rowOff>
    </xdr:to>
    <xdr:sp macro="" textlink="">
      <xdr:nvSpPr>
        <xdr:cNvPr id="246381" name="フリーフォーム: 図形 246380">
          <a:extLst>
            <a:ext uri="{FF2B5EF4-FFF2-40B4-BE49-F238E27FC236}">
              <a16:creationId xmlns:a16="http://schemas.microsoft.com/office/drawing/2014/main" id="{F2162FB7-3B31-4C0E-AC18-0B6DA190E010}"/>
            </a:ext>
          </a:extLst>
        </xdr:cNvPr>
        <xdr:cNvSpPr>
          <a:spLocks noChangeAspect="1"/>
        </xdr:cNvSpPr>
      </xdr:nvSpPr>
      <xdr:spPr>
        <a:xfrm>
          <a:off x="264672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54</xdr:row>
      <xdr:rowOff>69000</xdr:rowOff>
    </xdr:from>
    <xdr:to>
      <xdr:col>39</xdr:col>
      <xdr:colOff>297000</xdr:colOff>
      <xdr:row>59</xdr:row>
      <xdr:rowOff>3751</xdr:rowOff>
    </xdr:to>
    <xdr:sp macro="" textlink="">
      <xdr:nvSpPr>
        <xdr:cNvPr id="246382" name="フリーフォーム: 図形 246381">
          <a:extLst>
            <a:ext uri="{FF2B5EF4-FFF2-40B4-BE49-F238E27FC236}">
              <a16:creationId xmlns:a16="http://schemas.microsoft.com/office/drawing/2014/main" id="{9583F95B-07FB-4100-96A4-AA561210EFBE}"/>
            </a:ext>
          </a:extLst>
        </xdr:cNvPr>
        <xdr:cNvSpPr>
          <a:spLocks noChangeAspect="1"/>
        </xdr:cNvSpPr>
      </xdr:nvSpPr>
      <xdr:spPr>
        <a:xfrm>
          <a:off x="265212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59</xdr:row>
      <xdr:rowOff>75750</xdr:rowOff>
    </xdr:from>
    <xdr:to>
      <xdr:col>39</xdr:col>
      <xdr:colOff>9002</xdr:colOff>
      <xdr:row>63</xdr:row>
      <xdr:rowOff>163951</xdr:rowOff>
    </xdr:to>
    <xdr:sp macro="" textlink="">
      <xdr:nvSpPr>
        <xdr:cNvPr id="246383" name="フリーフォーム: 図形 246382">
          <a:extLst>
            <a:ext uri="{FF2B5EF4-FFF2-40B4-BE49-F238E27FC236}">
              <a16:creationId xmlns:a16="http://schemas.microsoft.com/office/drawing/2014/main" id="{E50833E8-4B86-454A-A1B5-7C09A1BD20DF}"/>
            </a:ext>
          </a:extLst>
        </xdr:cNvPr>
        <xdr:cNvSpPr>
          <a:spLocks noChangeAspect="1"/>
        </xdr:cNvSpPr>
      </xdr:nvSpPr>
      <xdr:spPr>
        <a:xfrm>
          <a:off x="264851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59</xdr:row>
      <xdr:rowOff>93750</xdr:rowOff>
    </xdr:from>
    <xdr:to>
      <xdr:col>38</xdr:col>
      <xdr:colOff>424800</xdr:colOff>
      <xdr:row>64</xdr:row>
      <xdr:rowOff>118501</xdr:rowOff>
    </xdr:to>
    <xdr:sp macro="" textlink="">
      <xdr:nvSpPr>
        <xdr:cNvPr id="246384" name="フリーフォーム: 図形 246383">
          <a:extLst>
            <a:ext uri="{FF2B5EF4-FFF2-40B4-BE49-F238E27FC236}">
              <a16:creationId xmlns:a16="http://schemas.microsoft.com/office/drawing/2014/main" id="{57D39278-D6BD-4CD2-8409-788744460850}"/>
            </a:ext>
          </a:extLst>
        </xdr:cNvPr>
        <xdr:cNvSpPr>
          <a:spLocks noChangeAspect="1"/>
        </xdr:cNvSpPr>
      </xdr:nvSpPr>
      <xdr:spPr>
        <a:xfrm>
          <a:off x="262512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59</xdr:row>
      <xdr:rowOff>75750</xdr:rowOff>
    </xdr:from>
    <xdr:to>
      <xdr:col>38</xdr:col>
      <xdr:colOff>388802</xdr:colOff>
      <xdr:row>64</xdr:row>
      <xdr:rowOff>10501</xdr:rowOff>
    </xdr:to>
    <xdr:sp macro="" textlink="">
      <xdr:nvSpPr>
        <xdr:cNvPr id="246385" name="フリーフォーム: 図形 246384">
          <a:extLst>
            <a:ext uri="{FF2B5EF4-FFF2-40B4-BE49-F238E27FC236}">
              <a16:creationId xmlns:a16="http://schemas.microsoft.com/office/drawing/2014/main" id="{E27FDEFA-F40D-4D06-884F-F356F16AE9F4}"/>
            </a:ext>
          </a:extLst>
        </xdr:cNvPr>
        <xdr:cNvSpPr>
          <a:spLocks noChangeAspect="1"/>
        </xdr:cNvSpPr>
      </xdr:nvSpPr>
      <xdr:spPr>
        <a:xfrm>
          <a:off x="25927200" y="10458000"/>
          <a:ext cx="522002" cy="792001"/>
        </a:xfrm>
        <a:custGeom>
          <a:avLst/>
          <a:gdLst/>
          <a:ahLst/>
          <a:cxnLst/>
          <a:rect l="0" t="0" r="0" b="0"/>
          <a:pathLst>
            <a:path w="522002" h="792001">
              <a:moveTo>
                <a:pt x="395999" y="72000"/>
              </a:moveTo>
              <a:lnTo>
                <a:pt x="522001" y="0"/>
              </a:lnTo>
              <a:lnTo>
                <a:pt x="324001" y="378000"/>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53</xdr:row>
      <xdr:rowOff>42450</xdr:rowOff>
    </xdr:from>
    <xdr:to>
      <xdr:col>41</xdr:col>
      <xdr:colOff>322201</xdr:colOff>
      <xdr:row>54</xdr:row>
      <xdr:rowOff>15001</xdr:rowOff>
    </xdr:to>
    <xdr:sp macro="" textlink="">
      <xdr:nvSpPr>
        <xdr:cNvPr id="246386" name="フリーフォーム: 図形 246385">
          <a:extLst>
            <a:ext uri="{FF2B5EF4-FFF2-40B4-BE49-F238E27FC236}">
              <a16:creationId xmlns:a16="http://schemas.microsoft.com/office/drawing/2014/main" id="{7B710494-4988-4D26-8EA8-1707535C61F8}"/>
            </a:ext>
          </a:extLst>
        </xdr:cNvPr>
        <xdr:cNvSpPr>
          <a:spLocks noChangeAspect="1"/>
        </xdr:cNvSpPr>
      </xdr:nvSpPr>
      <xdr:spPr>
        <a:xfrm>
          <a:off x="279720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53</xdr:row>
      <xdr:rowOff>42450</xdr:rowOff>
    </xdr:from>
    <xdr:to>
      <xdr:col>42</xdr:col>
      <xdr:colOff>176400</xdr:colOff>
      <xdr:row>54</xdr:row>
      <xdr:rowOff>15001</xdr:rowOff>
    </xdr:to>
    <xdr:sp macro="" textlink="">
      <xdr:nvSpPr>
        <xdr:cNvPr id="246387" name="フリーフォーム: 図形 246386">
          <a:extLst>
            <a:ext uri="{FF2B5EF4-FFF2-40B4-BE49-F238E27FC236}">
              <a16:creationId xmlns:a16="http://schemas.microsoft.com/office/drawing/2014/main" id="{8F3A7F02-754A-4687-88B4-27C8B596C651}"/>
            </a:ext>
          </a:extLst>
        </xdr:cNvPr>
        <xdr:cNvSpPr>
          <a:spLocks noChangeAspect="1"/>
        </xdr:cNvSpPr>
      </xdr:nvSpPr>
      <xdr:spPr>
        <a:xfrm>
          <a:off x="285119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53</xdr:row>
      <xdr:rowOff>114450</xdr:rowOff>
    </xdr:from>
    <xdr:to>
      <xdr:col>42</xdr:col>
      <xdr:colOff>248401</xdr:colOff>
      <xdr:row>59</xdr:row>
      <xdr:rowOff>21751</xdr:rowOff>
    </xdr:to>
    <xdr:sp macro="" textlink="">
      <xdr:nvSpPr>
        <xdr:cNvPr id="246388" name="フリーフォーム: 図形 246387">
          <a:extLst>
            <a:ext uri="{FF2B5EF4-FFF2-40B4-BE49-F238E27FC236}">
              <a16:creationId xmlns:a16="http://schemas.microsoft.com/office/drawing/2014/main" id="{0CD3A60F-BA2B-4C9C-9980-E3721E1BFAAD}"/>
            </a:ext>
          </a:extLst>
        </xdr:cNvPr>
        <xdr:cNvSpPr>
          <a:spLocks noChangeAspect="1"/>
        </xdr:cNvSpPr>
      </xdr:nvSpPr>
      <xdr:spPr>
        <a:xfrm>
          <a:off x="287639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59</xdr:row>
      <xdr:rowOff>75750</xdr:rowOff>
    </xdr:from>
    <xdr:to>
      <xdr:col>42</xdr:col>
      <xdr:colOff>68400</xdr:colOff>
      <xdr:row>64</xdr:row>
      <xdr:rowOff>136501</xdr:rowOff>
    </xdr:to>
    <xdr:sp macro="" textlink="">
      <xdr:nvSpPr>
        <xdr:cNvPr id="246389" name="フリーフォーム: 図形 246388">
          <a:extLst>
            <a:ext uri="{FF2B5EF4-FFF2-40B4-BE49-F238E27FC236}">
              <a16:creationId xmlns:a16="http://schemas.microsoft.com/office/drawing/2014/main" id="{5CB39339-31A9-4BE7-8819-DC38C055B9F3}"/>
            </a:ext>
          </a:extLst>
        </xdr:cNvPr>
        <xdr:cNvSpPr>
          <a:spLocks noChangeAspect="1"/>
        </xdr:cNvSpPr>
      </xdr:nvSpPr>
      <xdr:spPr>
        <a:xfrm>
          <a:off x="285840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64</xdr:row>
      <xdr:rowOff>64500</xdr:rowOff>
    </xdr:from>
    <xdr:to>
      <xdr:col>40</xdr:col>
      <xdr:colOff>684000</xdr:colOff>
      <xdr:row>65</xdr:row>
      <xdr:rowOff>37051</xdr:rowOff>
    </xdr:to>
    <xdr:sp macro="" textlink="">
      <xdr:nvSpPr>
        <xdr:cNvPr id="246390" name="フリーフォーム: 図形 246389">
          <a:extLst>
            <a:ext uri="{FF2B5EF4-FFF2-40B4-BE49-F238E27FC236}">
              <a16:creationId xmlns:a16="http://schemas.microsoft.com/office/drawing/2014/main" id="{580F1878-6839-4473-A6C1-AADE247EB8E2}"/>
            </a:ext>
          </a:extLst>
        </xdr:cNvPr>
        <xdr:cNvSpPr>
          <a:spLocks noChangeAspect="1"/>
        </xdr:cNvSpPr>
      </xdr:nvSpPr>
      <xdr:spPr>
        <a:xfrm>
          <a:off x="276300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64</xdr:row>
      <xdr:rowOff>64500</xdr:rowOff>
    </xdr:from>
    <xdr:to>
      <xdr:col>41</xdr:col>
      <xdr:colOff>502200</xdr:colOff>
      <xdr:row>65</xdr:row>
      <xdr:rowOff>37051</xdr:rowOff>
    </xdr:to>
    <xdr:sp macro="" textlink="">
      <xdr:nvSpPr>
        <xdr:cNvPr id="246391" name="フリーフォーム: 図形 246390">
          <a:extLst>
            <a:ext uri="{FF2B5EF4-FFF2-40B4-BE49-F238E27FC236}">
              <a16:creationId xmlns:a16="http://schemas.microsoft.com/office/drawing/2014/main" id="{60C09820-9273-436C-AB33-8891C0F1DF2F}"/>
            </a:ext>
          </a:extLst>
        </xdr:cNvPr>
        <xdr:cNvSpPr>
          <a:spLocks noChangeAspect="1"/>
        </xdr:cNvSpPr>
      </xdr:nvSpPr>
      <xdr:spPr>
        <a:xfrm>
          <a:off x="281519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59</xdr:row>
      <xdr:rowOff>75750</xdr:rowOff>
    </xdr:from>
    <xdr:to>
      <xdr:col>40</xdr:col>
      <xdr:colOff>432003</xdr:colOff>
      <xdr:row>64</xdr:row>
      <xdr:rowOff>136501</xdr:rowOff>
    </xdr:to>
    <xdr:sp macro="" textlink="">
      <xdr:nvSpPr>
        <xdr:cNvPr id="246392" name="フリーフォーム: 図形 246391">
          <a:extLst>
            <a:ext uri="{FF2B5EF4-FFF2-40B4-BE49-F238E27FC236}">
              <a16:creationId xmlns:a16="http://schemas.microsoft.com/office/drawing/2014/main" id="{89F5F631-AB6D-46F6-931D-F66ED3CBA09E}"/>
            </a:ext>
          </a:extLst>
        </xdr:cNvPr>
        <xdr:cNvSpPr>
          <a:spLocks noChangeAspect="1"/>
        </xdr:cNvSpPr>
      </xdr:nvSpPr>
      <xdr:spPr>
        <a:xfrm>
          <a:off x="275760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53</xdr:row>
      <xdr:rowOff>114450</xdr:rowOff>
    </xdr:from>
    <xdr:to>
      <xdr:col>40</xdr:col>
      <xdr:colOff>576000</xdr:colOff>
      <xdr:row>59</xdr:row>
      <xdr:rowOff>21751</xdr:rowOff>
    </xdr:to>
    <xdr:sp macro="" textlink="">
      <xdr:nvSpPr>
        <xdr:cNvPr id="246393" name="フリーフォーム: 図形 246392">
          <a:extLst>
            <a:ext uri="{FF2B5EF4-FFF2-40B4-BE49-F238E27FC236}">
              <a16:creationId xmlns:a16="http://schemas.microsoft.com/office/drawing/2014/main" id="{E8F091FA-28F1-457D-9BEA-738A35F32A07}"/>
            </a:ext>
          </a:extLst>
        </xdr:cNvPr>
        <xdr:cNvSpPr>
          <a:spLocks noChangeAspect="1"/>
        </xdr:cNvSpPr>
      </xdr:nvSpPr>
      <xdr:spPr>
        <a:xfrm>
          <a:off x="277559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58</xdr:row>
      <xdr:rowOff>139200</xdr:rowOff>
    </xdr:from>
    <xdr:to>
      <xdr:col>41</xdr:col>
      <xdr:colOff>160202</xdr:colOff>
      <xdr:row>59</xdr:row>
      <xdr:rowOff>111751</xdr:rowOff>
    </xdr:to>
    <xdr:sp macro="" textlink="">
      <xdr:nvSpPr>
        <xdr:cNvPr id="246394" name="フリーフォーム: 図形 246393">
          <a:extLst>
            <a:ext uri="{FF2B5EF4-FFF2-40B4-BE49-F238E27FC236}">
              <a16:creationId xmlns:a16="http://schemas.microsoft.com/office/drawing/2014/main" id="{79979E75-756F-459D-A55E-812B6861A86F}"/>
            </a:ext>
          </a:extLst>
        </xdr:cNvPr>
        <xdr:cNvSpPr>
          <a:spLocks noChangeAspect="1"/>
        </xdr:cNvSpPr>
      </xdr:nvSpPr>
      <xdr:spPr>
        <a:xfrm>
          <a:off x="278280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58</xdr:row>
      <xdr:rowOff>139200</xdr:rowOff>
    </xdr:from>
    <xdr:to>
      <xdr:col>41</xdr:col>
      <xdr:colOff>664202</xdr:colOff>
      <xdr:row>59</xdr:row>
      <xdr:rowOff>111751</xdr:rowOff>
    </xdr:to>
    <xdr:sp macro="" textlink="">
      <xdr:nvSpPr>
        <xdr:cNvPr id="246395" name="フリーフォーム: 図形 246394">
          <a:extLst>
            <a:ext uri="{FF2B5EF4-FFF2-40B4-BE49-F238E27FC236}">
              <a16:creationId xmlns:a16="http://schemas.microsoft.com/office/drawing/2014/main" id="{64D7B380-0307-4779-8A46-755D657EF0E1}"/>
            </a:ext>
          </a:extLst>
        </xdr:cNvPr>
        <xdr:cNvSpPr>
          <a:spLocks noChangeAspect="1"/>
        </xdr:cNvSpPr>
      </xdr:nvSpPr>
      <xdr:spPr>
        <a:xfrm>
          <a:off x="283320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54</xdr:row>
      <xdr:rowOff>51000</xdr:rowOff>
    </xdr:from>
    <xdr:to>
      <xdr:col>41</xdr:col>
      <xdr:colOff>178201</xdr:colOff>
      <xdr:row>59</xdr:row>
      <xdr:rowOff>3751</xdr:rowOff>
    </xdr:to>
    <xdr:sp macro="" textlink="">
      <xdr:nvSpPr>
        <xdr:cNvPr id="246396" name="フリーフォーム: 図形 246395">
          <a:extLst>
            <a:ext uri="{FF2B5EF4-FFF2-40B4-BE49-F238E27FC236}">
              <a16:creationId xmlns:a16="http://schemas.microsoft.com/office/drawing/2014/main" id="{6E6B2DB5-CBDC-480F-8384-B55D63A69969}"/>
            </a:ext>
          </a:extLst>
        </xdr:cNvPr>
        <xdr:cNvSpPr>
          <a:spLocks noChangeAspect="1"/>
        </xdr:cNvSpPr>
      </xdr:nvSpPr>
      <xdr:spPr>
        <a:xfrm>
          <a:off x="280260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53</xdr:row>
      <xdr:rowOff>114450</xdr:rowOff>
    </xdr:from>
    <xdr:to>
      <xdr:col>41</xdr:col>
      <xdr:colOff>430201</xdr:colOff>
      <xdr:row>58</xdr:row>
      <xdr:rowOff>157201</xdr:rowOff>
    </xdr:to>
    <xdr:sp macro="" textlink="">
      <xdr:nvSpPr>
        <xdr:cNvPr id="246397" name="フリーフォーム: 図形 246396">
          <a:extLst>
            <a:ext uri="{FF2B5EF4-FFF2-40B4-BE49-F238E27FC236}">
              <a16:creationId xmlns:a16="http://schemas.microsoft.com/office/drawing/2014/main" id="{3EAE9B1A-58AC-4B5A-9EFD-97A36FD424CE}"/>
            </a:ext>
          </a:extLst>
        </xdr:cNvPr>
        <xdr:cNvSpPr>
          <a:spLocks noChangeAspect="1"/>
        </xdr:cNvSpPr>
      </xdr:nvSpPr>
      <xdr:spPr>
        <a:xfrm>
          <a:off x="282960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54</xdr:row>
      <xdr:rowOff>69000</xdr:rowOff>
    </xdr:from>
    <xdr:to>
      <xdr:col>42</xdr:col>
      <xdr:colOff>68400</xdr:colOff>
      <xdr:row>59</xdr:row>
      <xdr:rowOff>3751</xdr:rowOff>
    </xdr:to>
    <xdr:sp macro="" textlink="">
      <xdr:nvSpPr>
        <xdr:cNvPr id="246398" name="フリーフォーム: 図形 246397">
          <a:extLst>
            <a:ext uri="{FF2B5EF4-FFF2-40B4-BE49-F238E27FC236}">
              <a16:creationId xmlns:a16="http://schemas.microsoft.com/office/drawing/2014/main" id="{94EB86CE-0019-451F-BB6E-000D9E120D57}"/>
            </a:ext>
          </a:extLst>
        </xdr:cNvPr>
        <xdr:cNvSpPr>
          <a:spLocks noChangeAspect="1"/>
        </xdr:cNvSpPr>
      </xdr:nvSpPr>
      <xdr:spPr>
        <a:xfrm>
          <a:off x="283500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59</xdr:row>
      <xdr:rowOff>75750</xdr:rowOff>
    </xdr:from>
    <xdr:to>
      <xdr:col>41</xdr:col>
      <xdr:colOff>466202</xdr:colOff>
      <xdr:row>63</xdr:row>
      <xdr:rowOff>163951</xdr:rowOff>
    </xdr:to>
    <xdr:sp macro="" textlink="">
      <xdr:nvSpPr>
        <xdr:cNvPr id="246399" name="フリーフォーム: 図形 246398">
          <a:extLst>
            <a:ext uri="{FF2B5EF4-FFF2-40B4-BE49-F238E27FC236}">
              <a16:creationId xmlns:a16="http://schemas.microsoft.com/office/drawing/2014/main" id="{0DDC9269-6EB4-4B9E-BA37-4AE47A00AA00}"/>
            </a:ext>
          </a:extLst>
        </xdr:cNvPr>
        <xdr:cNvSpPr>
          <a:spLocks noChangeAspect="1"/>
        </xdr:cNvSpPr>
      </xdr:nvSpPr>
      <xdr:spPr>
        <a:xfrm>
          <a:off x="283139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59</xdr:row>
      <xdr:rowOff>93750</xdr:rowOff>
    </xdr:from>
    <xdr:to>
      <xdr:col>41</xdr:col>
      <xdr:colOff>196200</xdr:colOff>
      <xdr:row>64</xdr:row>
      <xdr:rowOff>118501</xdr:rowOff>
    </xdr:to>
    <xdr:sp macro="" textlink="">
      <xdr:nvSpPr>
        <xdr:cNvPr id="246400" name="フリーフォーム: 図形 246399">
          <a:extLst>
            <a:ext uri="{FF2B5EF4-FFF2-40B4-BE49-F238E27FC236}">
              <a16:creationId xmlns:a16="http://schemas.microsoft.com/office/drawing/2014/main" id="{E53F8664-79A7-4A42-8074-A1539E403488}"/>
            </a:ext>
          </a:extLst>
        </xdr:cNvPr>
        <xdr:cNvSpPr>
          <a:spLocks noChangeAspect="1"/>
        </xdr:cNvSpPr>
      </xdr:nvSpPr>
      <xdr:spPr>
        <a:xfrm>
          <a:off x="280800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59</xdr:row>
      <xdr:rowOff>75750</xdr:rowOff>
    </xdr:from>
    <xdr:to>
      <xdr:col>41</xdr:col>
      <xdr:colOff>160202</xdr:colOff>
      <xdr:row>64</xdr:row>
      <xdr:rowOff>10501</xdr:rowOff>
    </xdr:to>
    <xdr:sp macro="" textlink="">
      <xdr:nvSpPr>
        <xdr:cNvPr id="246401" name="フリーフォーム: 図形 246400">
          <a:extLst>
            <a:ext uri="{FF2B5EF4-FFF2-40B4-BE49-F238E27FC236}">
              <a16:creationId xmlns:a16="http://schemas.microsoft.com/office/drawing/2014/main" id="{1B3C7736-D0EE-4F1E-8859-99872DE4C7A9}"/>
            </a:ext>
          </a:extLst>
        </xdr:cNvPr>
        <xdr:cNvSpPr>
          <a:spLocks noChangeAspect="1"/>
        </xdr:cNvSpPr>
      </xdr:nvSpPr>
      <xdr:spPr>
        <a:xfrm>
          <a:off x="277559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53</xdr:row>
      <xdr:rowOff>42450</xdr:rowOff>
    </xdr:from>
    <xdr:to>
      <xdr:col>44</xdr:col>
      <xdr:colOff>93601</xdr:colOff>
      <xdr:row>54</xdr:row>
      <xdr:rowOff>15001</xdr:rowOff>
    </xdr:to>
    <xdr:sp macro="" textlink="">
      <xdr:nvSpPr>
        <xdr:cNvPr id="246402" name="フリーフォーム: 図形 246401">
          <a:extLst>
            <a:ext uri="{FF2B5EF4-FFF2-40B4-BE49-F238E27FC236}">
              <a16:creationId xmlns:a16="http://schemas.microsoft.com/office/drawing/2014/main" id="{95691B95-D17F-484E-9ECA-498E9583266B}"/>
            </a:ext>
          </a:extLst>
        </xdr:cNvPr>
        <xdr:cNvSpPr>
          <a:spLocks noChangeAspect="1"/>
        </xdr:cNvSpPr>
      </xdr:nvSpPr>
      <xdr:spPr>
        <a:xfrm>
          <a:off x="298008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53</xdr:row>
      <xdr:rowOff>42450</xdr:rowOff>
    </xdr:from>
    <xdr:to>
      <xdr:col>44</xdr:col>
      <xdr:colOff>633600</xdr:colOff>
      <xdr:row>54</xdr:row>
      <xdr:rowOff>15001</xdr:rowOff>
    </xdr:to>
    <xdr:sp macro="" textlink="">
      <xdr:nvSpPr>
        <xdr:cNvPr id="246403" name="フリーフォーム: 図形 246402">
          <a:extLst>
            <a:ext uri="{FF2B5EF4-FFF2-40B4-BE49-F238E27FC236}">
              <a16:creationId xmlns:a16="http://schemas.microsoft.com/office/drawing/2014/main" id="{931DC45F-491B-401E-BBE9-BBBDDDCD2E24}"/>
            </a:ext>
          </a:extLst>
        </xdr:cNvPr>
        <xdr:cNvSpPr>
          <a:spLocks noChangeAspect="1"/>
        </xdr:cNvSpPr>
      </xdr:nvSpPr>
      <xdr:spPr>
        <a:xfrm>
          <a:off x="303407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53</xdr:row>
      <xdr:rowOff>114450</xdr:rowOff>
    </xdr:from>
    <xdr:to>
      <xdr:col>45</xdr:col>
      <xdr:colOff>19801</xdr:colOff>
      <xdr:row>59</xdr:row>
      <xdr:rowOff>21751</xdr:rowOff>
    </xdr:to>
    <xdr:sp macro="" textlink="">
      <xdr:nvSpPr>
        <xdr:cNvPr id="246404" name="フリーフォーム: 図形 246403">
          <a:extLst>
            <a:ext uri="{FF2B5EF4-FFF2-40B4-BE49-F238E27FC236}">
              <a16:creationId xmlns:a16="http://schemas.microsoft.com/office/drawing/2014/main" id="{328AC391-5D28-46E0-8E88-7753C49CE0E6}"/>
            </a:ext>
          </a:extLst>
        </xdr:cNvPr>
        <xdr:cNvSpPr>
          <a:spLocks noChangeAspect="1"/>
        </xdr:cNvSpPr>
      </xdr:nvSpPr>
      <xdr:spPr>
        <a:xfrm>
          <a:off x="305927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59</xdr:row>
      <xdr:rowOff>75750</xdr:rowOff>
    </xdr:from>
    <xdr:to>
      <xdr:col>44</xdr:col>
      <xdr:colOff>525600</xdr:colOff>
      <xdr:row>64</xdr:row>
      <xdr:rowOff>136501</xdr:rowOff>
    </xdr:to>
    <xdr:sp macro="" textlink="">
      <xdr:nvSpPr>
        <xdr:cNvPr id="246405" name="フリーフォーム: 図形 246404">
          <a:extLst>
            <a:ext uri="{FF2B5EF4-FFF2-40B4-BE49-F238E27FC236}">
              <a16:creationId xmlns:a16="http://schemas.microsoft.com/office/drawing/2014/main" id="{30CD763B-7303-416A-A9B9-75AABE87C23C}"/>
            </a:ext>
          </a:extLst>
        </xdr:cNvPr>
        <xdr:cNvSpPr>
          <a:spLocks noChangeAspect="1"/>
        </xdr:cNvSpPr>
      </xdr:nvSpPr>
      <xdr:spPr>
        <a:xfrm>
          <a:off x="304128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64</xdr:row>
      <xdr:rowOff>64500</xdr:rowOff>
    </xdr:from>
    <xdr:to>
      <xdr:col>43</xdr:col>
      <xdr:colOff>455400</xdr:colOff>
      <xdr:row>65</xdr:row>
      <xdr:rowOff>37051</xdr:rowOff>
    </xdr:to>
    <xdr:sp macro="" textlink="">
      <xdr:nvSpPr>
        <xdr:cNvPr id="246406" name="フリーフォーム: 図形 246405">
          <a:extLst>
            <a:ext uri="{FF2B5EF4-FFF2-40B4-BE49-F238E27FC236}">
              <a16:creationId xmlns:a16="http://schemas.microsoft.com/office/drawing/2014/main" id="{5F047E43-D82F-4C2C-9465-9D3EFEB82DF3}"/>
            </a:ext>
          </a:extLst>
        </xdr:cNvPr>
        <xdr:cNvSpPr>
          <a:spLocks noChangeAspect="1"/>
        </xdr:cNvSpPr>
      </xdr:nvSpPr>
      <xdr:spPr>
        <a:xfrm>
          <a:off x="294588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64</xdr:row>
      <xdr:rowOff>64500</xdr:rowOff>
    </xdr:from>
    <xdr:to>
      <xdr:col>44</xdr:col>
      <xdr:colOff>273600</xdr:colOff>
      <xdr:row>65</xdr:row>
      <xdr:rowOff>37051</xdr:rowOff>
    </xdr:to>
    <xdr:sp macro="" textlink="">
      <xdr:nvSpPr>
        <xdr:cNvPr id="246407" name="フリーフォーム: 図形 246406">
          <a:extLst>
            <a:ext uri="{FF2B5EF4-FFF2-40B4-BE49-F238E27FC236}">
              <a16:creationId xmlns:a16="http://schemas.microsoft.com/office/drawing/2014/main" id="{8DA17C9C-1204-4659-AD2E-D046E38F665A}"/>
            </a:ext>
          </a:extLst>
        </xdr:cNvPr>
        <xdr:cNvSpPr>
          <a:spLocks noChangeAspect="1"/>
        </xdr:cNvSpPr>
      </xdr:nvSpPr>
      <xdr:spPr>
        <a:xfrm>
          <a:off x="299807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59</xdr:row>
      <xdr:rowOff>75750</xdr:rowOff>
    </xdr:from>
    <xdr:to>
      <xdr:col>43</xdr:col>
      <xdr:colOff>203403</xdr:colOff>
      <xdr:row>64</xdr:row>
      <xdr:rowOff>136501</xdr:rowOff>
    </xdr:to>
    <xdr:sp macro="" textlink="">
      <xdr:nvSpPr>
        <xdr:cNvPr id="246408" name="フリーフォーム: 図形 246407">
          <a:extLst>
            <a:ext uri="{FF2B5EF4-FFF2-40B4-BE49-F238E27FC236}">
              <a16:creationId xmlns:a16="http://schemas.microsoft.com/office/drawing/2014/main" id="{B5E5FD47-DC81-4C2E-A659-8C6717C55136}"/>
            </a:ext>
          </a:extLst>
        </xdr:cNvPr>
        <xdr:cNvSpPr>
          <a:spLocks noChangeAspect="1"/>
        </xdr:cNvSpPr>
      </xdr:nvSpPr>
      <xdr:spPr>
        <a:xfrm>
          <a:off x="294048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53</xdr:row>
      <xdr:rowOff>114450</xdr:rowOff>
    </xdr:from>
    <xdr:to>
      <xdr:col>43</xdr:col>
      <xdr:colOff>347400</xdr:colOff>
      <xdr:row>59</xdr:row>
      <xdr:rowOff>21751</xdr:rowOff>
    </xdr:to>
    <xdr:sp macro="" textlink="">
      <xdr:nvSpPr>
        <xdr:cNvPr id="246409" name="フリーフォーム: 図形 246408">
          <a:extLst>
            <a:ext uri="{FF2B5EF4-FFF2-40B4-BE49-F238E27FC236}">
              <a16:creationId xmlns:a16="http://schemas.microsoft.com/office/drawing/2014/main" id="{4562A8EB-8659-4E5E-8B42-808EFE6A5110}"/>
            </a:ext>
          </a:extLst>
        </xdr:cNvPr>
        <xdr:cNvSpPr>
          <a:spLocks noChangeAspect="1"/>
        </xdr:cNvSpPr>
      </xdr:nvSpPr>
      <xdr:spPr>
        <a:xfrm>
          <a:off x="295847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58</xdr:row>
      <xdr:rowOff>139200</xdr:rowOff>
    </xdr:from>
    <xdr:to>
      <xdr:col>43</xdr:col>
      <xdr:colOff>617402</xdr:colOff>
      <xdr:row>59</xdr:row>
      <xdr:rowOff>111751</xdr:rowOff>
    </xdr:to>
    <xdr:sp macro="" textlink="">
      <xdr:nvSpPr>
        <xdr:cNvPr id="246410" name="フリーフォーム: 図形 246409">
          <a:extLst>
            <a:ext uri="{FF2B5EF4-FFF2-40B4-BE49-F238E27FC236}">
              <a16:creationId xmlns:a16="http://schemas.microsoft.com/office/drawing/2014/main" id="{7F4334C7-F6FF-4AE4-9CDA-44BB00CC197D}"/>
            </a:ext>
          </a:extLst>
        </xdr:cNvPr>
        <xdr:cNvSpPr>
          <a:spLocks noChangeAspect="1"/>
        </xdr:cNvSpPr>
      </xdr:nvSpPr>
      <xdr:spPr>
        <a:xfrm>
          <a:off x="296568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58</xdr:row>
      <xdr:rowOff>139200</xdr:rowOff>
    </xdr:from>
    <xdr:to>
      <xdr:col>44</xdr:col>
      <xdr:colOff>435602</xdr:colOff>
      <xdr:row>59</xdr:row>
      <xdr:rowOff>111751</xdr:rowOff>
    </xdr:to>
    <xdr:sp macro="" textlink="">
      <xdr:nvSpPr>
        <xdr:cNvPr id="246411" name="フリーフォーム: 図形 246410">
          <a:extLst>
            <a:ext uri="{FF2B5EF4-FFF2-40B4-BE49-F238E27FC236}">
              <a16:creationId xmlns:a16="http://schemas.microsoft.com/office/drawing/2014/main" id="{1366FCE2-E877-42E6-9FCB-AFC9C9100E4B}"/>
            </a:ext>
          </a:extLst>
        </xdr:cNvPr>
        <xdr:cNvSpPr>
          <a:spLocks noChangeAspect="1"/>
        </xdr:cNvSpPr>
      </xdr:nvSpPr>
      <xdr:spPr>
        <a:xfrm>
          <a:off x="301608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54</xdr:row>
      <xdr:rowOff>51000</xdr:rowOff>
    </xdr:from>
    <xdr:to>
      <xdr:col>43</xdr:col>
      <xdr:colOff>635401</xdr:colOff>
      <xdr:row>59</xdr:row>
      <xdr:rowOff>3751</xdr:rowOff>
    </xdr:to>
    <xdr:sp macro="" textlink="">
      <xdr:nvSpPr>
        <xdr:cNvPr id="246412" name="フリーフォーム: 図形 246411">
          <a:extLst>
            <a:ext uri="{FF2B5EF4-FFF2-40B4-BE49-F238E27FC236}">
              <a16:creationId xmlns:a16="http://schemas.microsoft.com/office/drawing/2014/main" id="{5907D305-B862-473F-A91F-FCA0586D00AC}"/>
            </a:ext>
          </a:extLst>
        </xdr:cNvPr>
        <xdr:cNvSpPr>
          <a:spLocks noChangeAspect="1"/>
        </xdr:cNvSpPr>
      </xdr:nvSpPr>
      <xdr:spPr>
        <a:xfrm>
          <a:off x="298548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53</xdr:row>
      <xdr:rowOff>114450</xdr:rowOff>
    </xdr:from>
    <xdr:to>
      <xdr:col>44</xdr:col>
      <xdr:colOff>201601</xdr:colOff>
      <xdr:row>58</xdr:row>
      <xdr:rowOff>157201</xdr:rowOff>
    </xdr:to>
    <xdr:sp macro="" textlink="">
      <xdr:nvSpPr>
        <xdr:cNvPr id="246413" name="フリーフォーム: 図形 246412">
          <a:extLst>
            <a:ext uri="{FF2B5EF4-FFF2-40B4-BE49-F238E27FC236}">
              <a16:creationId xmlns:a16="http://schemas.microsoft.com/office/drawing/2014/main" id="{CB98E921-1813-46AD-A654-7053FBAD7804}"/>
            </a:ext>
          </a:extLst>
        </xdr:cNvPr>
        <xdr:cNvSpPr>
          <a:spLocks noChangeAspect="1"/>
        </xdr:cNvSpPr>
      </xdr:nvSpPr>
      <xdr:spPr>
        <a:xfrm>
          <a:off x="301248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54</xdr:row>
      <xdr:rowOff>69000</xdr:rowOff>
    </xdr:from>
    <xdr:to>
      <xdr:col>44</xdr:col>
      <xdr:colOff>525600</xdr:colOff>
      <xdr:row>59</xdr:row>
      <xdr:rowOff>3751</xdr:rowOff>
    </xdr:to>
    <xdr:sp macro="" textlink="">
      <xdr:nvSpPr>
        <xdr:cNvPr id="246414" name="フリーフォーム: 図形 246413">
          <a:extLst>
            <a:ext uri="{FF2B5EF4-FFF2-40B4-BE49-F238E27FC236}">
              <a16:creationId xmlns:a16="http://schemas.microsoft.com/office/drawing/2014/main" id="{347E99D9-5803-4D4F-AE63-AC8424083C6C}"/>
            </a:ext>
          </a:extLst>
        </xdr:cNvPr>
        <xdr:cNvSpPr>
          <a:spLocks noChangeAspect="1"/>
        </xdr:cNvSpPr>
      </xdr:nvSpPr>
      <xdr:spPr>
        <a:xfrm>
          <a:off x="301788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59</xdr:row>
      <xdr:rowOff>75750</xdr:rowOff>
    </xdr:from>
    <xdr:to>
      <xdr:col>44</xdr:col>
      <xdr:colOff>237602</xdr:colOff>
      <xdr:row>63</xdr:row>
      <xdr:rowOff>163951</xdr:rowOff>
    </xdr:to>
    <xdr:sp macro="" textlink="">
      <xdr:nvSpPr>
        <xdr:cNvPr id="246415" name="フリーフォーム: 図形 246414">
          <a:extLst>
            <a:ext uri="{FF2B5EF4-FFF2-40B4-BE49-F238E27FC236}">
              <a16:creationId xmlns:a16="http://schemas.microsoft.com/office/drawing/2014/main" id="{77832DDA-2C65-4692-A195-1975BAE5FA15}"/>
            </a:ext>
          </a:extLst>
        </xdr:cNvPr>
        <xdr:cNvSpPr>
          <a:spLocks noChangeAspect="1"/>
        </xdr:cNvSpPr>
      </xdr:nvSpPr>
      <xdr:spPr>
        <a:xfrm>
          <a:off x="301427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59</xdr:row>
      <xdr:rowOff>93750</xdr:rowOff>
    </xdr:from>
    <xdr:to>
      <xdr:col>43</xdr:col>
      <xdr:colOff>653400</xdr:colOff>
      <xdr:row>64</xdr:row>
      <xdr:rowOff>118501</xdr:rowOff>
    </xdr:to>
    <xdr:sp macro="" textlink="">
      <xdr:nvSpPr>
        <xdr:cNvPr id="246416" name="フリーフォーム: 図形 246415">
          <a:extLst>
            <a:ext uri="{FF2B5EF4-FFF2-40B4-BE49-F238E27FC236}">
              <a16:creationId xmlns:a16="http://schemas.microsoft.com/office/drawing/2014/main" id="{5948FC8D-F4AB-45FD-AA8D-52C90B2DCC99}"/>
            </a:ext>
          </a:extLst>
        </xdr:cNvPr>
        <xdr:cNvSpPr>
          <a:spLocks noChangeAspect="1"/>
        </xdr:cNvSpPr>
      </xdr:nvSpPr>
      <xdr:spPr>
        <a:xfrm>
          <a:off x="299088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59</xdr:row>
      <xdr:rowOff>75750</xdr:rowOff>
    </xdr:from>
    <xdr:to>
      <xdr:col>43</xdr:col>
      <xdr:colOff>617402</xdr:colOff>
      <xdr:row>64</xdr:row>
      <xdr:rowOff>10501</xdr:rowOff>
    </xdr:to>
    <xdr:sp macro="" textlink="">
      <xdr:nvSpPr>
        <xdr:cNvPr id="246417" name="フリーフォーム: 図形 246416">
          <a:extLst>
            <a:ext uri="{FF2B5EF4-FFF2-40B4-BE49-F238E27FC236}">
              <a16:creationId xmlns:a16="http://schemas.microsoft.com/office/drawing/2014/main" id="{87663700-F61B-4E31-AE35-D3A2A16F45A5}"/>
            </a:ext>
          </a:extLst>
        </xdr:cNvPr>
        <xdr:cNvSpPr>
          <a:spLocks noChangeAspect="1"/>
        </xdr:cNvSpPr>
      </xdr:nvSpPr>
      <xdr:spPr>
        <a:xfrm>
          <a:off x="295847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53</xdr:row>
      <xdr:rowOff>42450</xdr:rowOff>
    </xdr:from>
    <xdr:to>
      <xdr:col>46</xdr:col>
      <xdr:colOff>550801</xdr:colOff>
      <xdr:row>54</xdr:row>
      <xdr:rowOff>15001</xdr:rowOff>
    </xdr:to>
    <xdr:sp macro="" textlink="">
      <xdr:nvSpPr>
        <xdr:cNvPr id="246418" name="フリーフォーム: 図形 246417">
          <a:extLst>
            <a:ext uri="{FF2B5EF4-FFF2-40B4-BE49-F238E27FC236}">
              <a16:creationId xmlns:a16="http://schemas.microsoft.com/office/drawing/2014/main" id="{19AEDD5C-43F6-4777-BBEC-AB8DBAC9AE35}"/>
            </a:ext>
          </a:extLst>
        </xdr:cNvPr>
        <xdr:cNvSpPr>
          <a:spLocks noChangeAspect="1"/>
        </xdr:cNvSpPr>
      </xdr:nvSpPr>
      <xdr:spPr>
        <a:xfrm>
          <a:off x="316296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53</xdr:row>
      <xdr:rowOff>42450</xdr:rowOff>
    </xdr:from>
    <xdr:to>
      <xdr:col>47</xdr:col>
      <xdr:colOff>405000</xdr:colOff>
      <xdr:row>54</xdr:row>
      <xdr:rowOff>15001</xdr:rowOff>
    </xdr:to>
    <xdr:sp macro="" textlink="">
      <xdr:nvSpPr>
        <xdr:cNvPr id="246419" name="フリーフォーム: 図形 246418">
          <a:extLst>
            <a:ext uri="{FF2B5EF4-FFF2-40B4-BE49-F238E27FC236}">
              <a16:creationId xmlns:a16="http://schemas.microsoft.com/office/drawing/2014/main" id="{FFC688D7-8D10-4938-A2EA-C95FF0C7CD8C}"/>
            </a:ext>
          </a:extLst>
        </xdr:cNvPr>
        <xdr:cNvSpPr>
          <a:spLocks noChangeAspect="1"/>
        </xdr:cNvSpPr>
      </xdr:nvSpPr>
      <xdr:spPr>
        <a:xfrm>
          <a:off x="321695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53</xdr:row>
      <xdr:rowOff>114450</xdr:rowOff>
    </xdr:from>
    <xdr:to>
      <xdr:col>47</xdr:col>
      <xdr:colOff>477001</xdr:colOff>
      <xdr:row>59</xdr:row>
      <xdr:rowOff>21751</xdr:rowOff>
    </xdr:to>
    <xdr:sp macro="" textlink="">
      <xdr:nvSpPr>
        <xdr:cNvPr id="246420" name="フリーフォーム: 図形 246419">
          <a:extLst>
            <a:ext uri="{FF2B5EF4-FFF2-40B4-BE49-F238E27FC236}">
              <a16:creationId xmlns:a16="http://schemas.microsoft.com/office/drawing/2014/main" id="{341CCF14-3C77-4693-9152-4B6D65ACC371}"/>
            </a:ext>
          </a:extLst>
        </xdr:cNvPr>
        <xdr:cNvSpPr>
          <a:spLocks noChangeAspect="1"/>
        </xdr:cNvSpPr>
      </xdr:nvSpPr>
      <xdr:spPr>
        <a:xfrm>
          <a:off x="324215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59</xdr:row>
      <xdr:rowOff>75750</xdr:rowOff>
    </xdr:from>
    <xdr:to>
      <xdr:col>47</xdr:col>
      <xdr:colOff>297000</xdr:colOff>
      <xdr:row>64</xdr:row>
      <xdr:rowOff>136501</xdr:rowOff>
    </xdr:to>
    <xdr:sp macro="" textlink="">
      <xdr:nvSpPr>
        <xdr:cNvPr id="246421" name="フリーフォーム: 図形 246420">
          <a:extLst>
            <a:ext uri="{FF2B5EF4-FFF2-40B4-BE49-F238E27FC236}">
              <a16:creationId xmlns:a16="http://schemas.microsoft.com/office/drawing/2014/main" id="{A21C6441-9031-4689-BE41-A0543D8B1264}"/>
            </a:ext>
          </a:extLst>
        </xdr:cNvPr>
        <xdr:cNvSpPr>
          <a:spLocks noChangeAspect="1"/>
        </xdr:cNvSpPr>
      </xdr:nvSpPr>
      <xdr:spPr>
        <a:xfrm>
          <a:off x="322416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64</xdr:row>
      <xdr:rowOff>64500</xdr:rowOff>
    </xdr:from>
    <xdr:to>
      <xdr:col>46</xdr:col>
      <xdr:colOff>226800</xdr:colOff>
      <xdr:row>65</xdr:row>
      <xdr:rowOff>37051</xdr:rowOff>
    </xdr:to>
    <xdr:sp macro="" textlink="">
      <xdr:nvSpPr>
        <xdr:cNvPr id="246422" name="フリーフォーム: 図形 246421">
          <a:extLst>
            <a:ext uri="{FF2B5EF4-FFF2-40B4-BE49-F238E27FC236}">
              <a16:creationId xmlns:a16="http://schemas.microsoft.com/office/drawing/2014/main" id="{DF2ADA1A-3AC2-471D-A523-E0CF32EB07C9}"/>
            </a:ext>
          </a:extLst>
        </xdr:cNvPr>
        <xdr:cNvSpPr>
          <a:spLocks noChangeAspect="1"/>
        </xdr:cNvSpPr>
      </xdr:nvSpPr>
      <xdr:spPr>
        <a:xfrm>
          <a:off x="312876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64</xdr:row>
      <xdr:rowOff>64500</xdr:rowOff>
    </xdr:from>
    <xdr:to>
      <xdr:col>47</xdr:col>
      <xdr:colOff>45000</xdr:colOff>
      <xdr:row>65</xdr:row>
      <xdr:rowOff>37051</xdr:rowOff>
    </xdr:to>
    <xdr:sp macro="" textlink="">
      <xdr:nvSpPr>
        <xdr:cNvPr id="246423" name="フリーフォーム: 図形 246422">
          <a:extLst>
            <a:ext uri="{FF2B5EF4-FFF2-40B4-BE49-F238E27FC236}">
              <a16:creationId xmlns:a16="http://schemas.microsoft.com/office/drawing/2014/main" id="{7C031DB5-5C0A-430B-B1CB-74FD5B2C6FEB}"/>
            </a:ext>
          </a:extLst>
        </xdr:cNvPr>
        <xdr:cNvSpPr>
          <a:spLocks noChangeAspect="1"/>
        </xdr:cNvSpPr>
      </xdr:nvSpPr>
      <xdr:spPr>
        <a:xfrm>
          <a:off x="318095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59</xdr:row>
      <xdr:rowOff>75750</xdr:rowOff>
    </xdr:from>
    <xdr:to>
      <xdr:col>45</xdr:col>
      <xdr:colOff>660603</xdr:colOff>
      <xdr:row>64</xdr:row>
      <xdr:rowOff>136501</xdr:rowOff>
    </xdr:to>
    <xdr:sp macro="" textlink="">
      <xdr:nvSpPr>
        <xdr:cNvPr id="246424" name="フリーフォーム: 図形 246423">
          <a:extLst>
            <a:ext uri="{FF2B5EF4-FFF2-40B4-BE49-F238E27FC236}">
              <a16:creationId xmlns:a16="http://schemas.microsoft.com/office/drawing/2014/main" id="{8989A2E9-A8B2-4091-A0A1-7C06B40CC238}"/>
            </a:ext>
          </a:extLst>
        </xdr:cNvPr>
        <xdr:cNvSpPr>
          <a:spLocks noChangeAspect="1"/>
        </xdr:cNvSpPr>
      </xdr:nvSpPr>
      <xdr:spPr>
        <a:xfrm>
          <a:off x="312336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53</xdr:row>
      <xdr:rowOff>114450</xdr:rowOff>
    </xdr:from>
    <xdr:to>
      <xdr:col>46</xdr:col>
      <xdr:colOff>118800</xdr:colOff>
      <xdr:row>59</xdr:row>
      <xdr:rowOff>21751</xdr:rowOff>
    </xdr:to>
    <xdr:sp macro="" textlink="">
      <xdr:nvSpPr>
        <xdr:cNvPr id="246425" name="フリーフォーム: 図形 246424">
          <a:extLst>
            <a:ext uri="{FF2B5EF4-FFF2-40B4-BE49-F238E27FC236}">
              <a16:creationId xmlns:a16="http://schemas.microsoft.com/office/drawing/2014/main" id="{63810C8C-9B21-4485-8548-4BBB1A01FE6C}"/>
            </a:ext>
          </a:extLst>
        </xdr:cNvPr>
        <xdr:cNvSpPr>
          <a:spLocks noChangeAspect="1"/>
        </xdr:cNvSpPr>
      </xdr:nvSpPr>
      <xdr:spPr>
        <a:xfrm>
          <a:off x="314135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58</xdr:row>
      <xdr:rowOff>139200</xdr:rowOff>
    </xdr:from>
    <xdr:to>
      <xdr:col>46</xdr:col>
      <xdr:colOff>388802</xdr:colOff>
      <xdr:row>59</xdr:row>
      <xdr:rowOff>111751</xdr:rowOff>
    </xdr:to>
    <xdr:sp macro="" textlink="">
      <xdr:nvSpPr>
        <xdr:cNvPr id="246426" name="フリーフォーム: 図形 246425">
          <a:extLst>
            <a:ext uri="{FF2B5EF4-FFF2-40B4-BE49-F238E27FC236}">
              <a16:creationId xmlns:a16="http://schemas.microsoft.com/office/drawing/2014/main" id="{136BDA56-64E8-45FF-973A-F8E651A65CBA}"/>
            </a:ext>
          </a:extLst>
        </xdr:cNvPr>
        <xdr:cNvSpPr>
          <a:spLocks noChangeAspect="1"/>
        </xdr:cNvSpPr>
      </xdr:nvSpPr>
      <xdr:spPr>
        <a:xfrm>
          <a:off x="314856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58</xdr:row>
      <xdr:rowOff>139200</xdr:rowOff>
    </xdr:from>
    <xdr:to>
      <xdr:col>47</xdr:col>
      <xdr:colOff>207002</xdr:colOff>
      <xdr:row>59</xdr:row>
      <xdr:rowOff>111751</xdr:rowOff>
    </xdr:to>
    <xdr:sp macro="" textlink="">
      <xdr:nvSpPr>
        <xdr:cNvPr id="246427" name="フリーフォーム: 図形 246426">
          <a:extLst>
            <a:ext uri="{FF2B5EF4-FFF2-40B4-BE49-F238E27FC236}">
              <a16:creationId xmlns:a16="http://schemas.microsoft.com/office/drawing/2014/main" id="{DB59DECE-C8B3-477F-9C91-D5C406D2EBE9}"/>
            </a:ext>
          </a:extLst>
        </xdr:cNvPr>
        <xdr:cNvSpPr>
          <a:spLocks noChangeAspect="1"/>
        </xdr:cNvSpPr>
      </xdr:nvSpPr>
      <xdr:spPr>
        <a:xfrm>
          <a:off x="319896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54</xdr:row>
      <xdr:rowOff>51000</xdr:rowOff>
    </xdr:from>
    <xdr:to>
      <xdr:col>46</xdr:col>
      <xdr:colOff>406801</xdr:colOff>
      <xdr:row>59</xdr:row>
      <xdr:rowOff>3751</xdr:rowOff>
    </xdr:to>
    <xdr:sp macro="" textlink="">
      <xdr:nvSpPr>
        <xdr:cNvPr id="246428" name="フリーフォーム: 図形 246427">
          <a:extLst>
            <a:ext uri="{FF2B5EF4-FFF2-40B4-BE49-F238E27FC236}">
              <a16:creationId xmlns:a16="http://schemas.microsoft.com/office/drawing/2014/main" id="{9F03A018-3AE1-4DD3-8649-BE2A54034C66}"/>
            </a:ext>
          </a:extLst>
        </xdr:cNvPr>
        <xdr:cNvSpPr>
          <a:spLocks noChangeAspect="1"/>
        </xdr:cNvSpPr>
      </xdr:nvSpPr>
      <xdr:spPr>
        <a:xfrm>
          <a:off x="316836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53</xdr:row>
      <xdr:rowOff>114450</xdr:rowOff>
    </xdr:from>
    <xdr:to>
      <xdr:col>46</xdr:col>
      <xdr:colOff>658801</xdr:colOff>
      <xdr:row>58</xdr:row>
      <xdr:rowOff>157201</xdr:rowOff>
    </xdr:to>
    <xdr:sp macro="" textlink="">
      <xdr:nvSpPr>
        <xdr:cNvPr id="246429" name="フリーフォーム: 図形 246428">
          <a:extLst>
            <a:ext uri="{FF2B5EF4-FFF2-40B4-BE49-F238E27FC236}">
              <a16:creationId xmlns:a16="http://schemas.microsoft.com/office/drawing/2014/main" id="{2EFA2C3F-3FAF-4E1C-8405-395CB050C9E0}"/>
            </a:ext>
          </a:extLst>
        </xdr:cNvPr>
        <xdr:cNvSpPr>
          <a:spLocks noChangeAspect="1"/>
        </xdr:cNvSpPr>
      </xdr:nvSpPr>
      <xdr:spPr>
        <a:xfrm>
          <a:off x="319536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54</xdr:row>
      <xdr:rowOff>69000</xdr:rowOff>
    </xdr:from>
    <xdr:to>
      <xdr:col>47</xdr:col>
      <xdr:colOff>297000</xdr:colOff>
      <xdr:row>59</xdr:row>
      <xdr:rowOff>3751</xdr:rowOff>
    </xdr:to>
    <xdr:sp macro="" textlink="">
      <xdr:nvSpPr>
        <xdr:cNvPr id="246430" name="フリーフォーム: 図形 246429">
          <a:extLst>
            <a:ext uri="{FF2B5EF4-FFF2-40B4-BE49-F238E27FC236}">
              <a16:creationId xmlns:a16="http://schemas.microsoft.com/office/drawing/2014/main" id="{C3329554-855A-44E0-A7AF-F670D7CB70D3}"/>
            </a:ext>
          </a:extLst>
        </xdr:cNvPr>
        <xdr:cNvSpPr>
          <a:spLocks noChangeAspect="1"/>
        </xdr:cNvSpPr>
      </xdr:nvSpPr>
      <xdr:spPr>
        <a:xfrm>
          <a:off x="320076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59</xdr:row>
      <xdr:rowOff>75750</xdr:rowOff>
    </xdr:from>
    <xdr:to>
      <xdr:col>47</xdr:col>
      <xdr:colOff>9002</xdr:colOff>
      <xdr:row>63</xdr:row>
      <xdr:rowOff>163951</xdr:rowOff>
    </xdr:to>
    <xdr:sp macro="" textlink="">
      <xdr:nvSpPr>
        <xdr:cNvPr id="246431" name="フリーフォーム: 図形 246430">
          <a:extLst>
            <a:ext uri="{FF2B5EF4-FFF2-40B4-BE49-F238E27FC236}">
              <a16:creationId xmlns:a16="http://schemas.microsoft.com/office/drawing/2014/main" id="{1E0011C4-C88D-4937-AEBD-DEA4E6491CEB}"/>
            </a:ext>
          </a:extLst>
        </xdr:cNvPr>
        <xdr:cNvSpPr>
          <a:spLocks noChangeAspect="1"/>
        </xdr:cNvSpPr>
      </xdr:nvSpPr>
      <xdr:spPr>
        <a:xfrm>
          <a:off x="319715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59</xdr:row>
      <xdr:rowOff>93750</xdr:rowOff>
    </xdr:from>
    <xdr:to>
      <xdr:col>46</xdr:col>
      <xdr:colOff>424800</xdr:colOff>
      <xdr:row>64</xdr:row>
      <xdr:rowOff>118501</xdr:rowOff>
    </xdr:to>
    <xdr:sp macro="" textlink="">
      <xdr:nvSpPr>
        <xdr:cNvPr id="246432" name="フリーフォーム: 図形 246431">
          <a:extLst>
            <a:ext uri="{FF2B5EF4-FFF2-40B4-BE49-F238E27FC236}">
              <a16:creationId xmlns:a16="http://schemas.microsoft.com/office/drawing/2014/main" id="{0A6EFD67-E3D4-44D3-A9B3-AC683EBEBD43}"/>
            </a:ext>
          </a:extLst>
        </xdr:cNvPr>
        <xdr:cNvSpPr>
          <a:spLocks noChangeAspect="1"/>
        </xdr:cNvSpPr>
      </xdr:nvSpPr>
      <xdr:spPr>
        <a:xfrm>
          <a:off x="317376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59</xdr:row>
      <xdr:rowOff>75750</xdr:rowOff>
    </xdr:from>
    <xdr:to>
      <xdr:col>46</xdr:col>
      <xdr:colOff>388802</xdr:colOff>
      <xdr:row>64</xdr:row>
      <xdr:rowOff>10501</xdr:rowOff>
    </xdr:to>
    <xdr:sp macro="" textlink="">
      <xdr:nvSpPr>
        <xdr:cNvPr id="246433" name="フリーフォーム: 図形 246432">
          <a:extLst>
            <a:ext uri="{FF2B5EF4-FFF2-40B4-BE49-F238E27FC236}">
              <a16:creationId xmlns:a16="http://schemas.microsoft.com/office/drawing/2014/main" id="{195376EF-9E74-417F-9FDA-FBBE00E32ECE}"/>
            </a:ext>
          </a:extLst>
        </xdr:cNvPr>
        <xdr:cNvSpPr>
          <a:spLocks noChangeAspect="1"/>
        </xdr:cNvSpPr>
      </xdr:nvSpPr>
      <xdr:spPr>
        <a:xfrm>
          <a:off x="314135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53</xdr:row>
      <xdr:rowOff>42450</xdr:rowOff>
    </xdr:from>
    <xdr:to>
      <xdr:col>49</xdr:col>
      <xdr:colOff>322201</xdr:colOff>
      <xdr:row>54</xdr:row>
      <xdr:rowOff>15001</xdr:rowOff>
    </xdr:to>
    <xdr:sp macro="" textlink="">
      <xdr:nvSpPr>
        <xdr:cNvPr id="246434" name="フリーフォーム: 図形 246433">
          <a:extLst>
            <a:ext uri="{FF2B5EF4-FFF2-40B4-BE49-F238E27FC236}">
              <a16:creationId xmlns:a16="http://schemas.microsoft.com/office/drawing/2014/main" id="{2B67243E-E2D6-4268-8E97-1AC16B9BBD67}"/>
            </a:ext>
          </a:extLst>
        </xdr:cNvPr>
        <xdr:cNvSpPr>
          <a:spLocks noChangeAspect="1"/>
        </xdr:cNvSpPr>
      </xdr:nvSpPr>
      <xdr:spPr>
        <a:xfrm>
          <a:off x="334584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53</xdr:row>
      <xdr:rowOff>42450</xdr:rowOff>
    </xdr:from>
    <xdr:to>
      <xdr:col>50</xdr:col>
      <xdr:colOff>176400</xdr:colOff>
      <xdr:row>54</xdr:row>
      <xdr:rowOff>15001</xdr:rowOff>
    </xdr:to>
    <xdr:sp macro="" textlink="">
      <xdr:nvSpPr>
        <xdr:cNvPr id="246435" name="フリーフォーム: 図形 246434">
          <a:extLst>
            <a:ext uri="{FF2B5EF4-FFF2-40B4-BE49-F238E27FC236}">
              <a16:creationId xmlns:a16="http://schemas.microsoft.com/office/drawing/2014/main" id="{01C09525-1993-4952-AA67-F3DBD131A1DB}"/>
            </a:ext>
          </a:extLst>
        </xdr:cNvPr>
        <xdr:cNvSpPr>
          <a:spLocks noChangeAspect="1"/>
        </xdr:cNvSpPr>
      </xdr:nvSpPr>
      <xdr:spPr>
        <a:xfrm>
          <a:off x="339983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53</xdr:row>
      <xdr:rowOff>114450</xdr:rowOff>
    </xdr:from>
    <xdr:to>
      <xdr:col>50</xdr:col>
      <xdr:colOff>248401</xdr:colOff>
      <xdr:row>59</xdr:row>
      <xdr:rowOff>21751</xdr:rowOff>
    </xdr:to>
    <xdr:sp macro="" textlink="">
      <xdr:nvSpPr>
        <xdr:cNvPr id="246436" name="フリーフォーム: 図形 246435">
          <a:extLst>
            <a:ext uri="{FF2B5EF4-FFF2-40B4-BE49-F238E27FC236}">
              <a16:creationId xmlns:a16="http://schemas.microsoft.com/office/drawing/2014/main" id="{B58CE073-4C48-409B-B31B-5040D68B00E3}"/>
            </a:ext>
          </a:extLst>
        </xdr:cNvPr>
        <xdr:cNvSpPr>
          <a:spLocks noChangeAspect="1"/>
        </xdr:cNvSpPr>
      </xdr:nvSpPr>
      <xdr:spPr>
        <a:xfrm>
          <a:off x="342503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59</xdr:row>
      <xdr:rowOff>75750</xdr:rowOff>
    </xdr:from>
    <xdr:to>
      <xdr:col>50</xdr:col>
      <xdr:colOff>68400</xdr:colOff>
      <xdr:row>64</xdr:row>
      <xdr:rowOff>136501</xdr:rowOff>
    </xdr:to>
    <xdr:sp macro="" textlink="">
      <xdr:nvSpPr>
        <xdr:cNvPr id="246437" name="フリーフォーム: 図形 246436">
          <a:extLst>
            <a:ext uri="{FF2B5EF4-FFF2-40B4-BE49-F238E27FC236}">
              <a16:creationId xmlns:a16="http://schemas.microsoft.com/office/drawing/2014/main" id="{42F2C89F-753A-4305-9285-FE5F8A8A3785}"/>
            </a:ext>
          </a:extLst>
        </xdr:cNvPr>
        <xdr:cNvSpPr>
          <a:spLocks noChangeAspect="1"/>
        </xdr:cNvSpPr>
      </xdr:nvSpPr>
      <xdr:spPr>
        <a:xfrm>
          <a:off x="340704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64</xdr:row>
      <xdr:rowOff>64500</xdr:rowOff>
    </xdr:from>
    <xdr:to>
      <xdr:col>48</xdr:col>
      <xdr:colOff>684000</xdr:colOff>
      <xdr:row>65</xdr:row>
      <xdr:rowOff>37051</xdr:rowOff>
    </xdr:to>
    <xdr:sp macro="" textlink="">
      <xdr:nvSpPr>
        <xdr:cNvPr id="246438" name="フリーフォーム: 図形 246437">
          <a:extLst>
            <a:ext uri="{FF2B5EF4-FFF2-40B4-BE49-F238E27FC236}">
              <a16:creationId xmlns:a16="http://schemas.microsoft.com/office/drawing/2014/main" id="{CDFF3215-502F-43EB-AA4E-F9A275773E44}"/>
            </a:ext>
          </a:extLst>
        </xdr:cNvPr>
        <xdr:cNvSpPr>
          <a:spLocks noChangeAspect="1"/>
        </xdr:cNvSpPr>
      </xdr:nvSpPr>
      <xdr:spPr>
        <a:xfrm>
          <a:off x="331164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64</xdr:row>
      <xdr:rowOff>64500</xdr:rowOff>
    </xdr:from>
    <xdr:to>
      <xdr:col>49</xdr:col>
      <xdr:colOff>502200</xdr:colOff>
      <xdr:row>65</xdr:row>
      <xdr:rowOff>37051</xdr:rowOff>
    </xdr:to>
    <xdr:sp macro="" textlink="">
      <xdr:nvSpPr>
        <xdr:cNvPr id="246439" name="フリーフォーム: 図形 246438">
          <a:extLst>
            <a:ext uri="{FF2B5EF4-FFF2-40B4-BE49-F238E27FC236}">
              <a16:creationId xmlns:a16="http://schemas.microsoft.com/office/drawing/2014/main" id="{2A778BAA-534A-4DAD-967E-26BF7D73C95B}"/>
            </a:ext>
          </a:extLst>
        </xdr:cNvPr>
        <xdr:cNvSpPr>
          <a:spLocks noChangeAspect="1"/>
        </xdr:cNvSpPr>
      </xdr:nvSpPr>
      <xdr:spPr>
        <a:xfrm>
          <a:off x="336383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59</xdr:row>
      <xdr:rowOff>75750</xdr:rowOff>
    </xdr:from>
    <xdr:to>
      <xdr:col>48</xdr:col>
      <xdr:colOff>432003</xdr:colOff>
      <xdr:row>64</xdr:row>
      <xdr:rowOff>136501</xdr:rowOff>
    </xdr:to>
    <xdr:sp macro="" textlink="">
      <xdr:nvSpPr>
        <xdr:cNvPr id="246440" name="フリーフォーム: 図形 246439">
          <a:extLst>
            <a:ext uri="{FF2B5EF4-FFF2-40B4-BE49-F238E27FC236}">
              <a16:creationId xmlns:a16="http://schemas.microsoft.com/office/drawing/2014/main" id="{E7F3FC7A-755E-4523-B5CF-A7E8F740C43D}"/>
            </a:ext>
          </a:extLst>
        </xdr:cNvPr>
        <xdr:cNvSpPr>
          <a:spLocks noChangeAspect="1"/>
        </xdr:cNvSpPr>
      </xdr:nvSpPr>
      <xdr:spPr>
        <a:xfrm>
          <a:off x="330624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53</xdr:row>
      <xdr:rowOff>114450</xdr:rowOff>
    </xdr:from>
    <xdr:to>
      <xdr:col>48</xdr:col>
      <xdr:colOff>576000</xdr:colOff>
      <xdr:row>59</xdr:row>
      <xdr:rowOff>21751</xdr:rowOff>
    </xdr:to>
    <xdr:sp macro="" textlink="">
      <xdr:nvSpPr>
        <xdr:cNvPr id="246441" name="フリーフォーム: 図形 246440">
          <a:extLst>
            <a:ext uri="{FF2B5EF4-FFF2-40B4-BE49-F238E27FC236}">
              <a16:creationId xmlns:a16="http://schemas.microsoft.com/office/drawing/2014/main" id="{F3B6ABE2-C82B-4394-AB07-5EF3EF2283F2}"/>
            </a:ext>
          </a:extLst>
        </xdr:cNvPr>
        <xdr:cNvSpPr>
          <a:spLocks noChangeAspect="1"/>
        </xdr:cNvSpPr>
      </xdr:nvSpPr>
      <xdr:spPr>
        <a:xfrm>
          <a:off x="332423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58</xdr:row>
      <xdr:rowOff>139200</xdr:rowOff>
    </xdr:from>
    <xdr:to>
      <xdr:col>49</xdr:col>
      <xdr:colOff>160202</xdr:colOff>
      <xdr:row>59</xdr:row>
      <xdr:rowOff>111751</xdr:rowOff>
    </xdr:to>
    <xdr:sp macro="" textlink="">
      <xdr:nvSpPr>
        <xdr:cNvPr id="246442" name="フリーフォーム: 図形 246441">
          <a:extLst>
            <a:ext uri="{FF2B5EF4-FFF2-40B4-BE49-F238E27FC236}">
              <a16:creationId xmlns:a16="http://schemas.microsoft.com/office/drawing/2014/main" id="{31EFF37A-7CBA-4FF1-B240-F40E8C8E2764}"/>
            </a:ext>
          </a:extLst>
        </xdr:cNvPr>
        <xdr:cNvSpPr>
          <a:spLocks noChangeAspect="1"/>
        </xdr:cNvSpPr>
      </xdr:nvSpPr>
      <xdr:spPr>
        <a:xfrm>
          <a:off x="333144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58</xdr:row>
      <xdr:rowOff>139200</xdr:rowOff>
    </xdr:from>
    <xdr:to>
      <xdr:col>49</xdr:col>
      <xdr:colOff>664202</xdr:colOff>
      <xdr:row>59</xdr:row>
      <xdr:rowOff>111751</xdr:rowOff>
    </xdr:to>
    <xdr:sp macro="" textlink="">
      <xdr:nvSpPr>
        <xdr:cNvPr id="246443" name="フリーフォーム: 図形 246442">
          <a:extLst>
            <a:ext uri="{FF2B5EF4-FFF2-40B4-BE49-F238E27FC236}">
              <a16:creationId xmlns:a16="http://schemas.microsoft.com/office/drawing/2014/main" id="{CBC670CB-4755-4AFB-8415-EFF4759B70E3}"/>
            </a:ext>
          </a:extLst>
        </xdr:cNvPr>
        <xdr:cNvSpPr>
          <a:spLocks noChangeAspect="1"/>
        </xdr:cNvSpPr>
      </xdr:nvSpPr>
      <xdr:spPr>
        <a:xfrm>
          <a:off x="338184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54</xdr:row>
      <xdr:rowOff>51000</xdr:rowOff>
    </xdr:from>
    <xdr:to>
      <xdr:col>49</xdr:col>
      <xdr:colOff>178201</xdr:colOff>
      <xdr:row>59</xdr:row>
      <xdr:rowOff>3751</xdr:rowOff>
    </xdr:to>
    <xdr:sp macro="" textlink="">
      <xdr:nvSpPr>
        <xdr:cNvPr id="246444" name="フリーフォーム: 図形 246443">
          <a:extLst>
            <a:ext uri="{FF2B5EF4-FFF2-40B4-BE49-F238E27FC236}">
              <a16:creationId xmlns:a16="http://schemas.microsoft.com/office/drawing/2014/main" id="{C1B0AF96-FE27-4B7D-9D36-C403BE0C4ED8}"/>
            </a:ext>
          </a:extLst>
        </xdr:cNvPr>
        <xdr:cNvSpPr>
          <a:spLocks noChangeAspect="1"/>
        </xdr:cNvSpPr>
      </xdr:nvSpPr>
      <xdr:spPr>
        <a:xfrm>
          <a:off x="335124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53</xdr:row>
      <xdr:rowOff>114450</xdr:rowOff>
    </xdr:from>
    <xdr:to>
      <xdr:col>49</xdr:col>
      <xdr:colOff>430201</xdr:colOff>
      <xdr:row>58</xdr:row>
      <xdr:rowOff>157201</xdr:rowOff>
    </xdr:to>
    <xdr:sp macro="" textlink="">
      <xdr:nvSpPr>
        <xdr:cNvPr id="246445" name="フリーフォーム: 図形 246444">
          <a:extLst>
            <a:ext uri="{FF2B5EF4-FFF2-40B4-BE49-F238E27FC236}">
              <a16:creationId xmlns:a16="http://schemas.microsoft.com/office/drawing/2014/main" id="{700E6B86-F9EA-462B-9AC7-5ACEA8C97A2A}"/>
            </a:ext>
          </a:extLst>
        </xdr:cNvPr>
        <xdr:cNvSpPr>
          <a:spLocks noChangeAspect="1"/>
        </xdr:cNvSpPr>
      </xdr:nvSpPr>
      <xdr:spPr>
        <a:xfrm>
          <a:off x="337824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54</xdr:row>
      <xdr:rowOff>69000</xdr:rowOff>
    </xdr:from>
    <xdr:to>
      <xdr:col>50</xdr:col>
      <xdr:colOff>68400</xdr:colOff>
      <xdr:row>59</xdr:row>
      <xdr:rowOff>3751</xdr:rowOff>
    </xdr:to>
    <xdr:sp macro="" textlink="">
      <xdr:nvSpPr>
        <xdr:cNvPr id="246446" name="フリーフォーム: 図形 246445">
          <a:extLst>
            <a:ext uri="{FF2B5EF4-FFF2-40B4-BE49-F238E27FC236}">
              <a16:creationId xmlns:a16="http://schemas.microsoft.com/office/drawing/2014/main" id="{3DF21E01-71B8-49BA-8992-6B192F374DE8}"/>
            </a:ext>
          </a:extLst>
        </xdr:cNvPr>
        <xdr:cNvSpPr>
          <a:spLocks noChangeAspect="1"/>
        </xdr:cNvSpPr>
      </xdr:nvSpPr>
      <xdr:spPr>
        <a:xfrm>
          <a:off x="338364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59</xdr:row>
      <xdr:rowOff>75750</xdr:rowOff>
    </xdr:from>
    <xdr:to>
      <xdr:col>49</xdr:col>
      <xdr:colOff>466202</xdr:colOff>
      <xdr:row>63</xdr:row>
      <xdr:rowOff>163951</xdr:rowOff>
    </xdr:to>
    <xdr:sp macro="" textlink="">
      <xdr:nvSpPr>
        <xdr:cNvPr id="246447" name="フリーフォーム: 図形 246446">
          <a:extLst>
            <a:ext uri="{FF2B5EF4-FFF2-40B4-BE49-F238E27FC236}">
              <a16:creationId xmlns:a16="http://schemas.microsoft.com/office/drawing/2014/main" id="{BD4ADA78-2E3D-434B-8921-6F756D55F1FD}"/>
            </a:ext>
          </a:extLst>
        </xdr:cNvPr>
        <xdr:cNvSpPr>
          <a:spLocks noChangeAspect="1"/>
        </xdr:cNvSpPr>
      </xdr:nvSpPr>
      <xdr:spPr>
        <a:xfrm>
          <a:off x="338003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59</xdr:row>
      <xdr:rowOff>93750</xdr:rowOff>
    </xdr:from>
    <xdr:to>
      <xdr:col>49</xdr:col>
      <xdr:colOff>196200</xdr:colOff>
      <xdr:row>64</xdr:row>
      <xdr:rowOff>118501</xdr:rowOff>
    </xdr:to>
    <xdr:sp macro="" textlink="">
      <xdr:nvSpPr>
        <xdr:cNvPr id="246448" name="フリーフォーム: 図形 246447">
          <a:extLst>
            <a:ext uri="{FF2B5EF4-FFF2-40B4-BE49-F238E27FC236}">
              <a16:creationId xmlns:a16="http://schemas.microsoft.com/office/drawing/2014/main" id="{BD867DB1-74CC-4BBE-83F8-A9A2F99FE928}"/>
            </a:ext>
          </a:extLst>
        </xdr:cNvPr>
        <xdr:cNvSpPr>
          <a:spLocks noChangeAspect="1"/>
        </xdr:cNvSpPr>
      </xdr:nvSpPr>
      <xdr:spPr>
        <a:xfrm>
          <a:off x="335664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59</xdr:row>
      <xdr:rowOff>75750</xdr:rowOff>
    </xdr:from>
    <xdr:to>
      <xdr:col>49</xdr:col>
      <xdr:colOff>160202</xdr:colOff>
      <xdr:row>64</xdr:row>
      <xdr:rowOff>10501</xdr:rowOff>
    </xdr:to>
    <xdr:sp macro="" textlink="">
      <xdr:nvSpPr>
        <xdr:cNvPr id="246449" name="フリーフォーム: 図形 246448">
          <a:extLst>
            <a:ext uri="{FF2B5EF4-FFF2-40B4-BE49-F238E27FC236}">
              <a16:creationId xmlns:a16="http://schemas.microsoft.com/office/drawing/2014/main" id="{598F1AF6-6929-475F-8700-829F10AAF54A}"/>
            </a:ext>
          </a:extLst>
        </xdr:cNvPr>
        <xdr:cNvSpPr>
          <a:spLocks noChangeAspect="1"/>
        </xdr:cNvSpPr>
      </xdr:nvSpPr>
      <xdr:spPr>
        <a:xfrm>
          <a:off x="332423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53</xdr:row>
      <xdr:rowOff>42450</xdr:rowOff>
    </xdr:from>
    <xdr:to>
      <xdr:col>52</xdr:col>
      <xdr:colOff>93601</xdr:colOff>
      <xdr:row>54</xdr:row>
      <xdr:rowOff>15001</xdr:rowOff>
    </xdr:to>
    <xdr:sp macro="" textlink="">
      <xdr:nvSpPr>
        <xdr:cNvPr id="246450" name="フリーフォーム: 図形 246449">
          <a:extLst>
            <a:ext uri="{FF2B5EF4-FFF2-40B4-BE49-F238E27FC236}">
              <a16:creationId xmlns:a16="http://schemas.microsoft.com/office/drawing/2014/main" id="{7E9885B7-9721-4D92-8C85-592332BBE4B1}"/>
            </a:ext>
          </a:extLst>
        </xdr:cNvPr>
        <xdr:cNvSpPr>
          <a:spLocks noChangeAspect="1"/>
        </xdr:cNvSpPr>
      </xdr:nvSpPr>
      <xdr:spPr>
        <a:xfrm>
          <a:off x="352872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53</xdr:row>
      <xdr:rowOff>42450</xdr:rowOff>
    </xdr:from>
    <xdr:to>
      <xdr:col>52</xdr:col>
      <xdr:colOff>633600</xdr:colOff>
      <xdr:row>54</xdr:row>
      <xdr:rowOff>15001</xdr:rowOff>
    </xdr:to>
    <xdr:sp macro="" textlink="">
      <xdr:nvSpPr>
        <xdr:cNvPr id="246451" name="フリーフォーム: 図形 246450">
          <a:extLst>
            <a:ext uri="{FF2B5EF4-FFF2-40B4-BE49-F238E27FC236}">
              <a16:creationId xmlns:a16="http://schemas.microsoft.com/office/drawing/2014/main" id="{16AC9A4D-519E-47CB-BC17-2CE44781FFEF}"/>
            </a:ext>
          </a:extLst>
        </xdr:cNvPr>
        <xdr:cNvSpPr>
          <a:spLocks noChangeAspect="1"/>
        </xdr:cNvSpPr>
      </xdr:nvSpPr>
      <xdr:spPr>
        <a:xfrm>
          <a:off x="358271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53</xdr:row>
      <xdr:rowOff>114450</xdr:rowOff>
    </xdr:from>
    <xdr:to>
      <xdr:col>53</xdr:col>
      <xdr:colOff>19801</xdr:colOff>
      <xdr:row>59</xdr:row>
      <xdr:rowOff>21751</xdr:rowOff>
    </xdr:to>
    <xdr:sp macro="" textlink="">
      <xdr:nvSpPr>
        <xdr:cNvPr id="246452" name="フリーフォーム: 図形 246451">
          <a:extLst>
            <a:ext uri="{FF2B5EF4-FFF2-40B4-BE49-F238E27FC236}">
              <a16:creationId xmlns:a16="http://schemas.microsoft.com/office/drawing/2014/main" id="{94CFEE34-A1D1-4F00-AFB3-49A7FF082430}"/>
            </a:ext>
          </a:extLst>
        </xdr:cNvPr>
        <xdr:cNvSpPr>
          <a:spLocks noChangeAspect="1"/>
        </xdr:cNvSpPr>
      </xdr:nvSpPr>
      <xdr:spPr>
        <a:xfrm>
          <a:off x="360791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59</xdr:row>
      <xdr:rowOff>75750</xdr:rowOff>
    </xdr:from>
    <xdr:to>
      <xdr:col>52</xdr:col>
      <xdr:colOff>525600</xdr:colOff>
      <xdr:row>64</xdr:row>
      <xdr:rowOff>136501</xdr:rowOff>
    </xdr:to>
    <xdr:sp macro="" textlink="">
      <xdr:nvSpPr>
        <xdr:cNvPr id="246453" name="フリーフォーム: 図形 246452">
          <a:extLst>
            <a:ext uri="{FF2B5EF4-FFF2-40B4-BE49-F238E27FC236}">
              <a16:creationId xmlns:a16="http://schemas.microsoft.com/office/drawing/2014/main" id="{72B8B8EF-F4B3-4417-BB33-C18B51BA2910}"/>
            </a:ext>
          </a:extLst>
        </xdr:cNvPr>
        <xdr:cNvSpPr>
          <a:spLocks noChangeAspect="1"/>
        </xdr:cNvSpPr>
      </xdr:nvSpPr>
      <xdr:spPr>
        <a:xfrm>
          <a:off x="358992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64</xdr:row>
      <xdr:rowOff>64500</xdr:rowOff>
    </xdr:from>
    <xdr:to>
      <xdr:col>51</xdr:col>
      <xdr:colOff>455400</xdr:colOff>
      <xdr:row>65</xdr:row>
      <xdr:rowOff>37051</xdr:rowOff>
    </xdr:to>
    <xdr:sp macro="" textlink="">
      <xdr:nvSpPr>
        <xdr:cNvPr id="246454" name="フリーフォーム: 図形 246453">
          <a:extLst>
            <a:ext uri="{FF2B5EF4-FFF2-40B4-BE49-F238E27FC236}">
              <a16:creationId xmlns:a16="http://schemas.microsoft.com/office/drawing/2014/main" id="{80D8C94B-8F89-4B87-B9BF-59404D7176C9}"/>
            </a:ext>
          </a:extLst>
        </xdr:cNvPr>
        <xdr:cNvSpPr>
          <a:spLocks noChangeAspect="1"/>
        </xdr:cNvSpPr>
      </xdr:nvSpPr>
      <xdr:spPr>
        <a:xfrm>
          <a:off x="349452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64</xdr:row>
      <xdr:rowOff>64500</xdr:rowOff>
    </xdr:from>
    <xdr:to>
      <xdr:col>52</xdr:col>
      <xdr:colOff>273600</xdr:colOff>
      <xdr:row>65</xdr:row>
      <xdr:rowOff>37051</xdr:rowOff>
    </xdr:to>
    <xdr:sp macro="" textlink="">
      <xdr:nvSpPr>
        <xdr:cNvPr id="246455" name="フリーフォーム: 図形 246454">
          <a:extLst>
            <a:ext uri="{FF2B5EF4-FFF2-40B4-BE49-F238E27FC236}">
              <a16:creationId xmlns:a16="http://schemas.microsoft.com/office/drawing/2014/main" id="{D67EF28E-F567-40D3-BC92-60C7B81F69A7}"/>
            </a:ext>
          </a:extLst>
        </xdr:cNvPr>
        <xdr:cNvSpPr>
          <a:spLocks noChangeAspect="1"/>
        </xdr:cNvSpPr>
      </xdr:nvSpPr>
      <xdr:spPr>
        <a:xfrm>
          <a:off x="354671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59</xdr:row>
      <xdr:rowOff>75750</xdr:rowOff>
    </xdr:from>
    <xdr:to>
      <xdr:col>51</xdr:col>
      <xdr:colOff>203403</xdr:colOff>
      <xdr:row>64</xdr:row>
      <xdr:rowOff>136501</xdr:rowOff>
    </xdr:to>
    <xdr:sp macro="" textlink="">
      <xdr:nvSpPr>
        <xdr:cNvPr id="246456" name="フリーフォーム: 図形 246455">
          <a:extLst>
            <a:ext uri="{FF2B5EF4-FFF2-40B4-BE49-F238E27FC236}">
              <a16:creationId xmlns:a16="http://schemas.microsoft.com/office/drawing/2014/main" id="{E3B8E84D-086E-4FC9-BBE6-165CBD916726}"/>
            </a:ext>
          </a:extLst>
        </xdr:cNvPr>
        <xdr:cNvSpPr>
          <a:spLocks noChangeAspect="1"/>
        </xdr:cNvSpPr>
      </xdr:nvSpPr>
      <xdr:spPr>
        <a:xfrm>
          <a:off x="348912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53</xdr:row>
      <xdr:rowOff>114450</xdr:rowOff>
    </xdr:from>
    <xdr:to>
      <xdr:col>51</xdr:col>
      <xdr:colOff>347400</xdr:colOff>
      <xdr:row>59</xdr:row>
      <xdr:rowOff>21751</xdr:rowOff>
    </xdr:to>
    <xdr:sp macro="" textlink="">
      <xdr:nvSpPr>
        <xdr:cNvPr id="246457" name="フリーフォーム: 図形 246456">
          <a:extLst>
            <a:ext uri="{FF2B5EF4-FFF2-40B4-BE49-F238E27FC236}">
              <a16:creationId xmlns:a16="http://schemas.microsoft.com/office/drawing/2014/main" id="{5D7F8A35-0A5B-48A2-BEA5-41E3BD55C38F}"/>
            </a:ext>
          </a:extLst>
        </xdr:cNvPr>
        <xdr:cNvSpPr>
          <a:spLocks noChangeAspect="1"/>
        </xdr:cNvSpPr>
      </xdr:nvSpPr>
      <xdr:spPr>
        <a:xfrm>
          <a:off x="350711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58</xdr:row>
      <xdr:rowOff>139200</xdr:rowOff>
    </xdr:from>
    <xdr:to>
      <xdr:col>51</xdr:col>
      <xdr:colOff>617402</xdr:colOff>
      <xdr:row>59</xdr:row>
      <xdr:rowOff>111751</xdr:rowOff>
    </xdr:to>
    <xdr:sp macro="" textlink="">
      <xdr:nvSpPr>
        <xdr:cNvPr id="246458" name="フリーフォーム: 図形 246457">
          <a:extLst>
            <a:ext uri="{FF2B5EF4-FFF2-40B4-BE49-F238E27FC236}">
              <a16:creationId xmlns:a16="http://schemas.microsoft.com/office/drawing/2014/main" id="{50D0DFA4-3B76-4E67-A028-7675D069BD85}"/>
            </a:ext>
          </a:extLst>
        </xdr:cNvPr>
        <xdr:cNvSpPr>
          <a:spLocks noChangeAspect="1"/>
        </xdr:cNvSpPr>
      </xdr:nvSpPr>
      <xdr:spPr>
        <a:xfrm>
          <a:off x="351432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58</xdr:row>
      <xdr:rowOff>139200</xdr:rowOff>
    </xdr:from>
    <xdr:to>
      <xdr:col>52</xdr:col>
      <xdr:colOff>435602</xdr:colOff>
      <xdr:row>59</xdr:row>
      <xdr:rowOff>111751</xdr:rowOff>
    </xdr:to>
    <xdr:sp macro="" textlink="">
      <xdr:nvSpPr>
        <xdr:cNvPr id="246459" name="フリーフォーム: 図形 246458">
          <a:extLst>
            <a:ext uri="{FF2B5EF4-FFF2-40B4-BE49-F238E27FC236}">
              <a16:creationId xmlns:a16="http://schemas.microsoft.com/office/drawing/2014/main" id="{331A6311-A45F-42B7-9B83-75C8253EBB9D}"/>
            </a:ext>
          </a:extLst>
        </xdr:cNvPr>
        <xdr:cNvSpPr>
          <a:spLocks noChangeAspect="1"/>
        </xdr:cNvSpPr>
      </xdr:nvSpPr>
      <xdr:spPr>
        <a:xfrm>
          <a:off x="356472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54</xdr:row>
      <xdr:rowOff>51000</xdr:rowOff>
    </xdr:from>
    <xdr:to>
      <xdr:col>51</xdr:col>
      <xdr:colOff>635401</xdr:colOff>
      <xdr:row>59</xdr:row>
      <xdr:rowOff>3751</xdr:rowOff>
    </xdr:to>
    <xdr:sp macro="" textlink="">
      <xdr:nvSpPr>
        <xdr:cNvPr id="246460" name="フリーフォーム: 図形 246459">
          <a:extLst>
            <a:ext uri="{FF2B5EF4-FFF2-40B4-BE49-F238E27FC236}">
              <a16:creationId xmlns:a16="http://schemas.microsoft.com/office/drawing/2014/main" id="{2EBAEC2E-FCE1-4318-A0FD-3E8A70374142}"/>
            </a:ext>
          </a:extLst>
        </xdr:cNvPr>
        <xdr:cNvSpPr>
          <a:spLocks noChangeAspect="1"/>
        </xdr:cNvSpPr>
      </xdr:nvSpPr>
      <xdr:spPr>
        <a:xfrm>
          <a:off x="353412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53</xdr:row>
      <xdr:rowOff>114450</xdr:rowOff>
    </xdr:from>
    <xdr:to>
      <xdr:col>52</xdr:col>
      <xdr:colOff>201601</xdr:colOff>
      <xdr:row>58</xdr:row>
      <xdr:rowOff>157201</xdr:rowOff>
    </xdr:to>
    <xdr:sp macro="" textlink="">
      <xdr:nvSpPr>
        <xdr:cNvPr id="246461" name="フリーフォーム: 図形 246460">
          <a:extLst>
            <a:ext uri="{FF2B5EF4-FFF2-40B4-BE49-F238E27FC236}">
              <a16:creationId xmlns:a16="http://schemas.microsoft.com/office/drawing/2014/main" id="{09221966-1CAE-4D67-9F5E-D5B5A3DF0E35}"/>
            </a:ext>
          </a:extLst>
        </xdr:cNvPr>
        <xdr:cNvSpPr>
          <a:spLocks noChangeAspect="1"/>
        </xdr:cNvSpPr>
      </xdr:nvSpPr>
      <xdr:spPr>
        <a:xfrm>
          <a:off x="356112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54</xdr:row>
      <xdr:rowOff>69000</xdr:rowOff>
    </xdr:from>
    <xdr:to>
      <xdr:col>52</xdr:col>
      <xdr:colOff>525600</xdr:colOff>
      <xdr:row>59</xdr:row>
      <xdr:rowOff>3751</xdr:rowOff>
    </xdr:to>
    <xdr:sp macro="" textlink="">
      <xdr:nvSpPr>
        <xdr:cNvPr id="246462" name="フリーフォーム: 図形 246461">
          <a:extLst>
            <a:ext uri="{FF2B5EF4-FFF2-40B4-BE49-F238E27FC236}">
              <a16:creationId xmlns:a16="http://schemas.microsoft.com/office/drawing/2014/main" id="{72AB92A3-1AFA-4B7F-83FD-CE679F3C24F5}"/>
            </a:ext>
          </a:extLst>
        </xdr:cNvPr>
        <xdr:cNvSpPr>
          <a:spLocks noChangeAspect="1"/>
        </xdr:cNvSpPr>
      </xdr:nvSpPr>
      <xdr:spPr>
        <a:xfrm>
          <a:off x="356652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59</xdr:row>
      <xdr:rowOff>75750</xdr:rowOff>
    </xdr:from>
    <xdr:to>
      <xdr:col>52</xdr:col>
      <xdr:colOff>237602</xdr:colOff>
      <xdr:row>63</xdr:row>
      <xdr:rowOff>163951</xdr:rowOff>
    </xdr:to>
    <xdr:sp macro="" textlink="">
      <xdr:nvSpPr>
        <xdr:cNvPr id="246463" name="フリーフォーム: 図形 246462">
          <a:extLst>
            <a:ext uri="{FF2B5EF4-FFF2-40B4-BE49-F238E27FC236}">
              <a16:creationId xmlns:a16="http://schemas.microsoft.com/office/drawing/2014/main" id="{41A0C553-9012-415C-B543-FD281932C74B}"/>
            </a:ext>
          </a:extLst>
        </xdr:cNvPr>
        <xdr:cNvSpPr>
          <a:spLocks noChangeAspect="1"/>
        </xdr:cNvSpPr>
      </xdr:nvSpPr>
      <xdr:spPr>
        <a:xfrm>
          <a:off x="356291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59</xdr:row>
      <xdr:rowOff>93750</xdr:rowOff>
    </xdr:from>
    <xdr:to>
      <xdr:col>51</xdr:col>
      <xdr:colOff>653400</xdr:colOff>
      <xdr:row>64</xdr:row>
      <xdr:rowOff>118501</xdr:rowOff>
    </xdr:to>
    <xdr:sp macro="" textlink="">
      <xdr:nvSpPr>
        <xdr:cNvPr id="246464" name="フリーフォーム: 図形 246463">
          <a:extLst>
            <a:ext uri="{FF2B5EF4-FFF2-40B4-BE49-F238E27FC236}">
              <a16:creationId xmlns:a16="http://schemas.microsoft.com/office/drawing/2014/main" id="{4862D34F-DF55-4B1D-B721-35734CBEB115}"/>
            </a:ext>
          </a:extLst>
        </xdr:cNvPr>
        <xdr:cNvSpPr>
          <a:spLocks noChangeAspect="1"/>
        </xdr:cNvSpPr>
      </xdr:nvSpPr>
      <xdr:spPr>
        <a:xfrm>
          <a:off x="353952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59</xdr:row>
      <xdr:rowOff>75750</xdr:rowOff>
    </xdr:from>
    <xdr:to>
      <xdr:col>51</xdr:col>
      <xdr:colOff>617402</xdr:colOff>
      <xdr:row>64</xdr:row>
      <xdr:rowOff>10501</xdr:rowOff>
    </xdr:to>
    <xdr:sp macro="" textlink="">
      <xdr:nvSpPr>
        <xdr:cNvPr id="246465" name="フリーフォーム: 図形 246464">
          <a:extLst>
            <a:ext uri="{FF2B5EF4-FFF2-40B4-BE49-F238E27FC236}">
              <a16:creationId xmlns:a16="http://schemas.microsoft.com/office/drawing/2014/main" id="{AF5E97C8-5BC4-4F37-8DA0-2B35515A0BEA}"/>
            </a:ext>
          </a:extLst>
        </xdr:cNvPr>
        <xdr:cNvSpPr>
          <a:spLocks noChangeAspect="1"/>
        </xdr:cNvSpPr>
      </xdr:nvSpPr>
      <xdr:spPr>
        <a:xfrm>
          <a:off x="350711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53</xdr:row>
      <xdr:rowOff>42450</xdr:rowOff>
    </xdr:from>
    <xdr:to>
      <xdr:col>54</xdr:col>
      <xdr:colOff>550801</xdr:colOff>
      <xdr:row>54</xdr:row>
      <xdr:rowOff>15001</xdr:rowOff>
    </xdr:to>
    <xdr:sp macro="" textlink="">
      <xdr:nvSpPr>
        <xdr:cNvPr id="246466" name="フリーフォーム: 図形 246465">
          <a:extLst>
            <a:ext uri="{FF2B5EF4-FFF2-40B4-BE49-F238E27FC236}">
              <a16:creationId xmlns:a16="http://schemas.microsoft.com/office/drawing/2014/main" id="{5B7BB79B-5717-48C3-B022-8844192DB5D3}"/>
            </a:ext>
          </a:extLst>
        </xdr:cNvPr>
        <xdr:cNvSpPr>
          <a:spLocks noChangeAspect="1"/>
        </xdr:cNvSpPr>
      </xdr:nvSpPr>
      <xdr:spPr>
        <a:xfrm>
          <a:off x="371160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53</xdr:row>
      <xdr:rowOff>42450</xdr:rowOff>
    </xdr:from>
    <xdr:to>
      <xdr:col>55</xdr:col>
      <xdr:colOff>405000</xdr:colOff>
      <xdr:row>54</xdr:row>
      <xdr:rowOff>15001</xdr:rowOff>
    </xdr:to>
    <xdr:sp macro="" textlink="">
      <xdr:nvSpPr>
        <xdr:cNvPr id="246467" name="フリーフォーム: 図形 246466">
          <a:extLst>
            <a:ext uri="{FF2B5EF4-FFF2-40B4-BE49-F238E27FC236}">
              <a16:creationId xmlns:a16="http://schemas.microsoft.com/office/drawing/2014/main" id="{0343C51B-7BDE-49D2-8484-C5CB8A58A2C2}"/>
            </a:ext>
          </a:extLst>
        </xdr:cNvPr>
        <xdr:cNvSpPr>
          <a:spLocks noChangeAspect="1"/>
        </xdr:cNvSpPr>
      </xdr:nvSpPr>
      <xdr:spPr>
        <a:xfrm>
          <a:off x="376559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53</xdr:row>
      <xdr:rowOff>114450</xdr:rowOff>
    </xdr:from>
    <xdr:to>
      <xdr:col>55</xdr:col>
      <xdr:colOff>477001</xdr:colOff>
      <xdr:row>59</xdr:row>
      <xdr:rowOff>21751</xdr:rowOff>
    </xdr:to>
    <xdr:sp macro="" textlink="">
      <xdr:nvSpPr>
        <xdr:cNvPr id="246468" name="フリーフォーム: 図形 246467">
          <a:extLst>
            <a:ext uri="{FF2B5EF4-FFF2-40B4-BE49-F238E27FC236}">
              <a16:creationId xmlns:a16="http://schemas.microsoft.com/office/drawing/2014/main" id="{ABE92351-2AAD-4955-955C-63910A5FAC3E}"/>
            </a:ext>
          </a:extLst>
        </xdr:cNvPr>
        <xdr:cNvSpPr>
          <a:spLocks noChangeAspect="1"/>
        </xdr:cNvSpPr>
      </xdr:nvSpPr>
      <xdr:spPr>
        <a:xfrm>
          <a:off x="379079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59</xdr:row>
      <xdr:rowOff>75750</xdr:rowOff>
    </xdr:from>
    <xdr:to>
      <xdr:col>55</xdr:col>
      <xdr:colOff>297000</xdr:colOff>
      <xdr:row>64</xdr:row>
      <xdr:rowOff>136501</xdr:rowOff>
    </xdr:to>
    <xdr:sp macro="" textlink="">
      <xdr:nvSpPr>
        <xdr:cNvPr id="246469" name="フリーフォーム: 図形 246468">
          <a:extLst>
            <a:ext uri="{FF2B5EF4-FFF2-40B4-BE49-F238E27FC236}">
              <a16:creationId xmlns:a16="http://schemas.microsoft.com/office/drawing/2014/main" id="{95591B49-45FF-4355-8AE2-AAC17E1B1EDF}"/>
            </a:ext>
          </a:extLst>
        </xdr:cNvPr>
        <xdr:cNvSpPr>
          <a:spLocks noChangeAspect="1"/>
        </xdr:cNvSpPr>
      </xdr:nvSpPr>
      <xdr:spPr>
        <a:xfrm>
          <a:off x="377280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64</xdr:row>
      <xdr:rowOff>64500</xdr:rowOff>
    </xdr:from>
    <xdr:to>
      <xdr:col>54</xdr:col>
      <xdr:colOff>226800</xdr:colOff>
      <xdr:row>65</xdr:row>
      <xdr:rowOff>37051</xdr:rowOff>
    </xdr:to>
    <xdr:sp macro="" textlink="">
      <xdr:nvSpPr>
        <xdr:cNvPr id="246470" name="フリーフォーム: 図形 246469">
          <a:extLst>
            <a:ext uri="{FF2B5EF4-FFF2-40B4-BE49-F238E27FC236}">
              <a16:creationId xmlns:a16="http://schemas.microsoft.com/office/drawing/2014/main" id="{4F48F431-E361-40D1-94F9-7B11A5F39C1C}"/>
            </a:ext>
          </a:extLst>
        </xdr:cNvPr>
        <xdr:cNvSpPr>
          <a:spLocks noChangeAspect="1"/>
        </xdr:cNvSpPr>
      </xdr:nvSpPr>
      <xdr:spPr>
        <a:xfrm>
          <a:off x="367740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64</xdr:row>
      <xdr:rowOff>64500</xdr:rowOff>
    </xdr:from>
    <xdr:to>
      <xdr:col>55</xdr:col>
      <xdr:colOff>45000</xdr:colOff>
      <xdr:row>65</xdr:row>
      <xdr:rowOff>37051</xdr:rowOff>
    </xdr:to>
    <xdr:sp macro="" textlink="">
      <xdr:nvSpPr>
        <xdr:cNvPr id="246471" name="フリーフォーム: 図形 246470">
          <a:extLst>
            <a:ext uri="{FF2B5EF4-FFF2-40B4-BE49-F238E27FC236}">
              <a16:creationId xmlns:a16="http://schemas.microsoft.com/office/drawing/2014/main" id="{0A683018-E7CC-40AF-A3B0-75EE7B47EEE3}"/>
            </a:ext>
          </a:extLst>
        </xdr:cNvPr>
        <xdr:cNvSpPr>
          <a:spLocks noChangeAspect="1"/>
        </xdr:cNvSpPr>
      </xdr:nvSpPr>
      <xdr:spPr>
        <a:xfrm>
          <a:off x="372959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59</xdr:row>
      <xdr:rowOff>75750</xdr:rowOff>
    </xdr:from>
    <xdr:to>
      <xdr:col>53</xdr:col>
      <xdr:colOff>660603</xdr:colOff>
      <xdr:row>64</xdr:row>
      <xdr:rowOff>136501</xdr:rowOff>
    </xdr:to>
    <xdr:sp macro="" textlink="">
      <xdr:nvSpPr>
        <xdr:cNvPr id="246472" name="フリーフォーム: 図形 246471">
          <a:extLst>
            <a:ext uri="{FF2B5EF4-FFF2-40B4-BE49-F238E27FC236}">
              <a16:creationId xmlns:a16="http://schemas.microsoft.com/office/drawing/2014/main" id="{0311A57E-F347-4014-8143-722A0DFABDF2}"/>
            </a:ext>
          </a:extLst>
        </xdr:cNvPr>
        <xdr:cNvSpPr>
          <a:spLocks noChangeAspect="1"/>
        </xdr:cNvSpPr>
      </xdr:nvSpPr>
      <xdr:spPr>
        <a:xfrm>
          <a:off x="367200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53</xdr:row>
      <xdr:rowOff>114450</xdr:rowOff>
    </xdr:from>
    <xdr:to>
      <xdr:col>54</xdr:col>
      <xdr:colOff>118800</xdr:colOff>
      <xdr:row>59</xdr:row>
      <xdr:rowOff>21751</xdr:rowOff>
    </xdr:to>
    <xdr:sp macro="" textlink="">
      <xdr:nvSpPr>
        <xdr:cNvPr id="246473" name="フリーフォーム: 図形 246472">
          <a:extLst>
            <a:ext uri="{FF2B5EF4-FFF2-40B4-BE49-F238E27FC236}">
              <a16:creationId xmlns:a16="http://schemas.microsoft.com/office/drawing/2014/main" id="{1B884F18-4ED5-4D75-903E-18B3FA11F550}"/>
            </a:ext>
          </a:extLst>
        </xdr:cNvPr>
        <xdr:cNvSpPr>
          <a:spLocks noChangeAspect="1"/>
        </xdr:cNvSpPr>
      </xdr:nvSpPr>
      <xdr:spPr>
        <a:xfrm>
          <a:off x="368999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58</xdr:row>
      <xdr:rowOff>139200</xdr:rowOff>
    </xdr:from>
    <xdr:to>
      <xdr:col>54</xdr:col>
      <xdr:colOff>388802</xdr:colOff>
      <xdr:row>59</xdr:row>
      <xdr:rowOff>111751</xdr:rowOff>
    </xdr:to>
    <xdr:sp macro="" textlink="">
      <xdr:nvSpPr>
        <xdr:cNvPr id="246474" name="フリーフォーム: 図形 246473">
          <a:extLst>
            <a:ext uri="{FF2B5EF4-FFF2-40B4-BE49-F238E27FC236}">
              <a16:creationId xmlns:a16="http://schemas.microsoft.com/office/drawing/2014/main" id="{D6E766EE-7420-46EF-817C-E21C61903C88}"/>
            </a:ext>
          </a:extLst>
        </xdr:cNvPr>
        <xdr:cNvSpPr>
          <a:spLocks noChangeAspect="1"/>
        </xdr:cNvSpPr>
      </xdr:nvSpPr>
      <xdr:spPr>
        <a:xfrm>
          <a:off x="369720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58</xdr:row>
      <xdr:rowOff>139200</xdr:rowOff>
    </xdr:from>
    <xdr:to>
      <xdr:col>55</xdr:col>
      <xdr:colOff>207002</xdr:colOff>
      <xdr:row>59</xdr:row>
      <xdr:rowOff>111751</xdr:rowOff>
    </xdr:to>
    <xdr:sp macro="" textlink="">
      <xdr:nvSpPr>
        <xdr:cNvPr id="246475" name="フリーフォーム: 図形 246474">
          <a:extLst>
            <a:ext uri="{FF2B5EF4-FFF2-40B4-BE49-F238E27FC236}">
              <a16:creationId xmlns:a16="http://schemas.microsoft.com/office/drawing/2014/main" id="{D7881CF6-4BCB-42D1-8FD1-D15F9F8DA848}"/>
            </a:ext>
          </a:extLst>
        </xdr:cNvPr>
        <xdr:cNvSpPr>
          <a:spLocks noChangeAspect="1"/>
        </xdr:cNvSpPr>
      </xdr:nvSpPr>
      <xdr:spPr>
        <a:xfrm>
          <a:off x="374760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54</xdr:row>
      <xdr:rowOff>51000</xdr:rowOff>
    </xdr:from>
    <xdr:to>
      <xdr:col>54</xdr:col>
      <xdr:colOff>406801</xdr:colOff>
      <xdr:row>59</xdr:row>
      <xdr:rowOff>3751</xdr:rowOff>
    </xdr:to>
    <xdr:sp macro="" textlink="">
      <xdr:nvSpPr>
        <xdr:cNvPr id="246476" name="フリーフォーム: 図形 246475">
          <a:extLst>
            <a:ext uri="{FF2B5EF4-FFF2-40B4-BE49-F238E27FC236}">
              <a16:creationId xmlns:a16="http://schemas.microsoft.com/office/drawing/2014/main" id="{03C7A943-A27C-4351-B537-436C4EE0E1F5}"/>
            </a:ext>
          </a:extLst>
        </xdr:cNvPr>
        <xdr:cNvSpPr>
          <a:spLocks noChangeAspect="1"/>
        </xdr:cNvSpPr>
      </xdr:nvSpPr>
      <xdr:spPr>
        <a:xfrm>
          <a:off x="371700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53</xdr:row>
      <xdr:rowOff>114450</xdr:rowOff>
    </xdr:from>
    <xdr:to>
      <xdr:col>54</xdr:col>
      <xdr:colOff>658801</xdr:colOff>
      <xdr:row>58</xdr:row>
      <xdr:rowOff>157201</xdr:rowOff>
    </xdr:to>
    <xdr:sp macro="" textlink="">
      <xdr:nvSpPr>
        <xdr:cNvPr id="246477" name="フリーフォーム: 図形 246476">
          <a:extLst>
            <a:ext uri="{FF2B5EF4-FFF2-40B4-BE49-F238E27FC236}">
              <a16:creationId xmlns:a16="http://schemas.microsoft.com/office/drawing/2014/main" id="{C1E2FF39-DF3C-4662-BB8C-F2DB64C561D4}"/>
            </a:ext>
          </a:extLst>
        </xdr:cNvPr>
        <xdr:cNvSpPr>
          <a:spLocks noChangeAspect="1"/>
        </xdr:cNvSpPr>
      </xdr:nvSpPr>
      <xdr:spPr>
        <a:xfrm>
          <a:off x="374400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54</xdr:row>
      <xdr:rowOff>69000</xdr:rowOff>
    </xdr:from>
    <xdr:to>
      <xdr:col>55</xdr:col>
      <xdr:colOff>297000</xdr:colOff>
      <xdr:row>59</xdr:row>
      <xdr:rowOff>3751</xdr:rowOff>
    </xdr:to>
    <xdr:sp macro="" textlink="">
      <xdr:nvSpPr>
        <xdr:cNvPr id="246478" name="フリーフォーム: 図形 246477">
          <a:extLst>
            <a:ext uri="{FF2B5EF4-FFF2-40B4-BE49-F238E27FC236}">
              <a16:creationId xmlns:a16="http://schemas.microsoft.com/office/drawing/2014/main" id="{F93A1638-31F1-449B-BDB5-311634D1D748}"/>
            </a:ext>
          </a:extLst>
        </xdr:cNvPr>
        <xdr:cNvSpPr>
          <a:spLocks noChangeAspect="1"/>
        </xdr:cNvSpPr>
      </xdr:nvSpPr>
      <xdr:spPr>
        <a:xfrm>
          <a:off x="374940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59</xdr:row>
      <xdr:rowOff>75750</xdr:rowOff>
    </xdr:from>
    <xdr:to>
      <xdr:col>55</xdr:col>
      <xdr:colOff>9002</xdr:colOff>
      <xdr:row>63</xdr:row>
      <xdr:rowOff>163951</xdr:rowOff>
    </xdr:to>
    <xdr:sp macro="" textlink="">
      <xdr:nvSpPr>
        <xdr:cNvPr id="246479" name="フリーフォーム: 図形 246478">
          <a:extLst>
            <a:ext uri="{FF2B5EF4-FFF2-40B4-BE49-F238E27FC236}">
              <a16:creationId xmlns:a16="http://schemas.microsoft.com/office/drawing/2014/main" id="{D14B9AE7-DC4C-4D0C-99DF-7F7CC6F6922E}"/>
            </a:ext>
          </a:extLst>
        </xdr:cNvPr>
        <xdr:cNvSpPr>
          <a:spLocks noChangeAspect="1"/>
        </xdr:cNvSpPr>
      </xdr:nvSpPr>
      <xdr:spPr>
        <a:xfrm>
          <a:off x="374579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59</xdr:row>
      <xdr:rowOff>93750</xdr:rowOff>
    </xdr:from>
    <xdr:to>
      <xdr:col>54</xdr:col>
      <xdr:colOff>424800</xdr:colOff>
      <xdr:row>64</xdr:row>
      <xdr:rowOff>118501</xdr:rowOff>
    </xdr:to>
    <xdr:sp macro="" textlink="">
      <xdr:nvSpPr>
        <xdr:cNvPr id="246480" name="フリーフォーム: 図形 246479">
          <a:extLst>
            <a:ext uri="{FF2B5EF4-FFF2-40B4-BE49-F238E27FC236}">
              <a16:creationId xmlns:a16="http://schemas.microsoft.com/office/drawing/2014/main" id="{87D7D99C-0D9C-4133-A9DF-F487A632C777}"/>
            </a:ext>
          </a:extLst>
        </xdr:cNvPr>
        <xdr:cNvSpPr>
          <a:spLocks noChangeAspect="1"/>
        </xdr:cNvSpPr>
      </xdr:nvSpPr>
      <xdr:spPr>
        <a:xfrm>
          <a:off x="372240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59</xdr:row>
      <xdr:rowOff>75750</xdr:rowOff>
    </xdr:from>
    <xdr:to>
      <xdr:col>54</xdr:col>
      <xdr:colOff>388802</xdr:colOff>
      <xdr:row>64</xdr:row>
      <xdr:rowOff>10501</xdr:rowOff>
    </xdr:to>
    <xdr:sp macro="" textlink="">
      <xdr:nvSpPr>
        <xdr:cNvPr id="246481" name="フリーフォーム: 図形 246480">
          <a:extLst>
            <a:ext uri="{FF2B5EF4-FFF2-40B4-BE49-F238E27FC236}">
              <a16:creationId xmlns:a16="http://schemas.microsoft.com/office/drawing/2014/main" id="{16A8D2B4-B3DD-45BB-925C-0C1FBF584A7D}"/>
            </a:ext>
          </a:extLst>
        </xdr:cNvPr>
        <xdr:cNvSpPr>
          <a:spLocks noChangeAspect="1"/>
        </xdr:cNvSpPr>
      </xdr:nvSpPr>
      <xdr:spPr>
        <a:xfrm>
          <a:off x="368999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53</xdr:row>
      <xdr:rowOff>42450</xdr:rowOff>
    </xdr:from>
    <xdr:to>
      <xdr:col>57</xdr:col>
      <xdr:colOff>322201</xdr:colOff>
      <xdr:row>54</xdr:row>
      <xdr:rowOff>15001</xdr:rowOff>
    </xdr:to>
    <xdr:sp macro="" textlink="">
      <xdr:nvSpPr>
        <xdr:cNvPr id="246482" name="フリーフォーム: 図形 246481">
          <a:extLst>
            <a:ext uri="{FF2B5EF4-FFF2-40B4-BE49-F238E27FC236}">
              <a16:creationId xmlns:a16="http://schemas.microsoft.com/office/drawing/2014/main" id="{AB5C58FD-88EA-4157-8EA6-B79D6923FD89}"/>
            </a:ext>
          </a:extLst>
        </xdr:cNvPr>
        <xdr:cNvSpPr>
          <a:spLocks noChangeAspect="1"/>
        </xdr:cNvSpPr>
      </xdr:nvSpPr>
      <xdr:spPr>
        <a:xfrm>
          <a:off x="389448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53</xdr:row>
      <xdr:rowOff>42450</xdr:rowOff>
    </xdr:from>
    <xdr:to>
      <xdr:col>58</xdr:col>
      <xdr:colOff>176400</xdr:colOff>
      <xdr:row>54</xdr:row>
      <xdr:rowOff>15001</xdr:rowOff>
    </xdr:to>
    <xdr:sp macro="" textlink="">
      <xdr:nvSpPr>
        <xdr:cNvPr id="246483" name="フリーフォーム: 図形 246482">
          <a:extLst>
            <a:ext uri="{FF2B5EF4-FFF2-40B4-BE49-F238E27FC236}">
              <a16:creationId xmlns:a16="http://schemas.microsoft.com/office/drawing/2014/main" id="{A10B7017-055D-4630-8F03-1937072DE8DC}"/>
            </a:ext>
          </a:extLst>
        </xdr:cNvPr>
        <xdr:cNvSpPr>
          <a:spLocks noChangeAspect="1"/>
        </xdr:cNvSpPr>
      </xdr:nvSpPr>
      <xdr:spPr>
        <a:xfrm>
          <a:off x="394847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53</xdr:row>
      <xdr:rowOff>114450</xdr:rowOff>
    </xdr:from>
    <xdr:to>
      <xdr:col>58</xdr:col>
      <xdr:colOff>248401</xdr:colOff>
      <xdr:row>59</xdr:row>
      <xdr:rowOff>21751</xdr:rowOff>
    </xdr:to>
    <xdr:sp macro="" textlink="">
      <xdr:nvSpPr>
        <xdr:cNvPr id="246484" name="フリーフォーム: 図形 246483">
          <a:extLst>
            <a:ext uri="{FF2B5EF4-FFF2-40B4-BE49-F238E27FC236}">
              <a16:creationId xmlns:a16="http://schemas.microsoft.com/office/drawing/2014/main" id="{AB2166EE-7BC8-4D64-B795-9A03B0045507}"/>
            </a:ext>
          </a:extLst>
        </xdr:cNvPr>
        <xdr:cNvSpPr>
          <a:spLocks noChangeAspect="1"/>
        </xdr:cNvSpPr>
      </xdr:nvSpPr>
      <xdr:spPr>
        <a:xfrm>
          <a:off x="397367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59</xdr:row>
      <xdr:rowOff>75750</xdr:rowOff>
    </xdr:from>
    <xdr:to>
      <xdr:col>58</xdr:col>
      <xdr:colOff>68400</xdr:colOff>
      <xdr:row>64</xdr:row>
      <xdr:rowOff>136501</xdr:rowOff>
    </xdr:to>
    <xdr:sp macro="" textlink="">
      <xdr:nvSpPr>
        <xdr:cNvPr id="246485" name="フリーフォーム: 図形 246484">
          <a:extLst>
            <a:ext uri="{FF2B5EF4-FFF2-40B4-BE49-F238E27FC236}">
              <a16:creationId xmlns:a16="http://schemas.microsoft.com/office/drawing/2014/main" id="{507C79D0-1051-4622-81D8-0581D41FD93E}"/>
            </a:ext>
          </a:extLst>
        </xdr:cNvPr>
        <xdr:cNvSpPr>
          <a:spLocks noChangeAspect="1"/>
        </xdr:cNvSpPr>
      </xdr:nvSpPr>
      <xdr:spPr>
        <a:xfrm>
          <a:off x="395568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64</xdr:row>
      <xdr:rowOff>64500</xdr:rowOff>
    </xdr:from>
    <xdr:to>
      <xdr:col>56</xdr:col>
      <xdr:colOff>684000</xdr:colOff>
      <xdr:row>65</xdr:row>
      <xdr:rowOff>37051</xdr:rowOff>
    </xdr:to>
    <xdr:sp macro="" textlink="">
      <xdr:nvSpPr>
        <xdr:cNvPr id="246486" name="フリーフォーム: 図形 246485">
          <a:extLst>
            <a:ext uri="{FF2B5EF4-FFF2-40B4-BE49-F238E27FC236}">
              <a16:creationId xmlns:a16="http://schemas.microsoft.com/office/drawing/2014/main" id="{8CF73A01-088D-4EED-98AE-7B706981DFB0}"/>
            </a:ext>
          </a:extLst>
        </xdr:cNvPr>
        <xdr:cNvSpPr>
          <a:spLocks noChangeAspect="1"/>
        </xdr:cNvSpPr>
      </xdr:nvSpPr>
      <xdr:spPr>
        <a:xfrm>
          <a:off x="386028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64</xdr:row>
      <xdr:rowOff>64500</xdr:rowOff>
    </xdr:from>
    <xdr:to>
      <xdr:col>57</xdr:col>
      <xdr:colOff>502200</xdr:colOff>
      <xdr:row>65</xdr:row>
      <xdr:rowOff>37051</xdr:rowOff>
    </xdr:to>
    <xdr:sp macro="" textlink="">
      <xdr:nvSpPr>
        <xdr:cNvPr id="246487" name="フリーフォーム: 図形 246486">
          <a:extLst>
            <a:ext uri="{FF2B5EF4-FFF2-40B4-BE49-F238E27FC236}">
              <a16:creationId xmlns:a16="http://schemas.microsoft.com/office/drawing/2014/main" id="{AD372D18-D12D-4935-BAD7-551B4CF6D149}"/>
            </a:ext>
          </a:extLst>
        </xdr:cNvPr>
        <xdr:cNvSpPr>
          <a:spLocks noChangeAspect="1"/>
        </xdr:cNvSpPr>
      </xdr:nvSpPr>
      <xdr:spPr>
        <a:xfrm>
          <a:off x="391247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59</xdr:row>
      <xdr:rowOff>75750</xdr:rowOff>
    </xdr:from>
    <xdr:to>
      <xdr:col>56</xdr:col>
      <xdr:colOff>432003</xdr:colOff>
      <xdr:row>64</xdr:row>
      <xdr:rowOff>136501</xdr:rowOff>
    </xdr:to>
    <xdr:sp macro="" textlink="">
      <xdr:nvSpPr>
        <xdr:cNvPr id="246488" name="フリーフォーム: 図形 246487">
          <a:extLst>
            <a:ext uri="{FF2B5EF4-FFF2-40B4-BE49-F238E27FC236}">
              <a16:creationId xmlns:a16="http://schemas.microsoft.com/office/drawing/2014/main" id="{E53431EE-F64B-4216-8BE4-A783036C9EC9}"/>
            </a:ext>
          </a:extLst>
        </xdr:cNvPr>
        <xdr:cNvSpPr>
          <a:spLocks noChangeAspect="1"/>
        </xdr:cNvSpPr>
      </xdr:nvSpPr>
      <xdr:spPr>
        <a:xfrm>
          <a:off x="385488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53</xdr:row>
      <xdr:rowOff>114450</xdr:rowOff>
    </xdr:from>
    <xdr:to>
      <xdr:col>56</xdr:col>
      <xdr:colOff>576000</xdr:colOff>
      <xdr:row>59</xdr:row>
      <xdr:rowOff>21751</xdr:rowOff>
    </xdr:to>
    <xdr:sp macro="" textlink="">
      <xdr:nvSpPr>
        <xdr:cNvPr id="246489" name="フリーフォーム: 図形 246488">
          <a:extLst>
            <a:ext uri="{FF2B5EF4-FFF2-40B4-BE49-F238E27FC236}">
              <a16:creationId xmlns:a16="http://schemas.microsoft.com/office/drawing/2014/main" id="{79EBF64A-33EC-4FEA-8D36-7DF61BB41A6E}"/>
            </a:ext>
          </a:extLst>
        </xdr:cNvPr>
        <xdr:cNvSpPr>
          <a:spLocks noChangeAspect="1"/>
        </xdr:cNvSpPr>
      </xdr:nvSpPr>
      <xdr:spPr>
        <a:xfrm>
          <a:off x="387287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58</xdr:row>
      <xdr:rowOff>139200</xdr:rowOff>
    </xdr:from>
    <xdr:to>
      <xdr:col>57</xdr:col>
      <xdr:colOff>160202</xdr:colOff>
      <xdr:row>59</xdr:row>
      <xdr:rowOff>111751</xdr:rowOff>
    </xdr:to>
    <xdr:sp macro="" textlink="">
      <xdr:nvSpPr>
        <xdr:cNvPr id="246490" name="フリーフォーム: 図形 246489">
          <a:extLst>
            <a:ext uri="{FF2B5EF4-FFF2-40B4-BE49-F238E27FC236}">
              <a16:creationId xmlns:a16="http://schemas.microsoft.com/office/drawing/2014/main" id="{4B0F37F0-CF02-4C04-B4B8-998DA55F5960}"/>
            </a:ext>
          </a:extLst>
        </xdr:cNvPr>
        <xdr:cNvSpPr>
          <a:spLocks noChangeAspect="1"/>
        </xdr:cNvSpPr>
      </xdr:nvSpPr>
      <xdr:spPr>
        <a:xfrm>
          <a:off x="388008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58</xdr:row>
      <xdr:rowOff>139200</xdr:rowOff>
    </xdr:from>
    <xdr:to>
      <xdr:col>57</xdr:col>
      <xdr:colOff>664202</xdr:colOff>
      <xdr:row>59</xdr:row>
      <xdr:rowOff>111751</xdr:rowOff>
    </xdr:to>
    <xdr:sp macro="" textlink="">
      <xdr:nvSpPr>
        <xdr:cNvPr id="246491" name="フリーフォーム: 図形 246490">
          <a:extLst>
            <a:ext uri="{FF2B5EF4-FFF2-40B4-BE49-F238E27FC236}">
              <a16:creationId xmlns:a16="http://schemas.microsoft.com/office/drawing/2014/main" id="{AB3F873E-B0A2-448F-9F51-57453CCC20FE}"/>
            </a:ext>
          </a:extLst>
        </xdr:cNvPr>
        <xdr:cNvSpPr>
          <a:spLocks noChangeAspect="1"/>
        </xdr:cNvSpPr>
      </xdr:nvSpPr>
      <xdr:spPr>
        <a:xfrm>
          <a:off x="393048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54</xdr:row>
      <xdr:rowOff>51000</xdr:rowOff>
    </xdr:from>
    <xdr:to>
      <xdr:col>57</xdr:col>
      <xdr:colOff>178201</xdr:colOff>
      <xdr:row>59</xdr:row>
      <xdr:rowOff>3751</xdr:rowOff>
    </xdr:to>
    <xdr:sp macro="" textlink="">
      <xdr:nvSpPr>
        <xdr:cNvPr id="246492" name="フリーフォーム: 図形 246491">
          <a:extLst>
            <a:ext uri="{FF2B5EF4-FFF2-40B4-BE49-F238E27FC236}">
              <a16:creationId xmlns:a16="http://schemas.microsoft.com/office/drawing/2014/main" id="{A765D333-66E8-40B8-ACEA-FDA481152A12}"/>
            </a:ext>
          </a:extLst>
        </xdr:cNvPr>
        <xdr:cNvSpPr>
          <a:spLocks noChangeAspect="1"/>
        </xdr:cNvSpPr>
      </xdr:nvSpPr>
      <xdr:spPr>
        <a:xfrm>
          <a:off x="389988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53</xdr:row>
      <xdr:rowOff>114450</xdr:rowOff>
    </xdr:from>
    <xdr:to>
      <xdr:col>57</xdr:col>
      <xdr:colOff>430201</xdr:colOff>
      <xdr:row>58</xdr:row>
      <xdr:rowOff>157201</xdr:rowOff>
    </xdr:to>
    <xdr:sp macro="" textlink="">
      <xdr:nvSpPr>
        <xdr:cNvPr id="246493" name="フリーフォーム: 図形 246492">
          <a:extLst>
            <a:ext uri="{FF2B5EF4-FFF2-40B4-BE49-F238E27FC236}">
              <a16:creationId xmlns:a16="http://schemas.microsoft.com/office/drawing/2014/main" id="{65BEEBE1-FEF5-453D-A896-BC571500B4A8}"/>
            </a:ext>
          </a:extLst>
        </xdr:cNvPr>
        <xdr:cNvSpPr>
          <a:spLocks noChangeAspect="1"/>
        </xdr:cNvSpPr>
      </xdr:nvSpPr>
      <xdr:spPr>
        <a:xfrm>
          <a:off x="392688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54</xdr:row>
      <xdr:rowOff>69000</xdr:rowOff>
    </xdr:from>
    <xdr:to>
      <xdr:col>58</xdr:col>
      <xdr:colOff>68400</xdr:colOff>
      <xdr:row>59</xdr:row>
      <xdr:rowOff>3751</xdr:rowOff>
    </xdr:to>
    <xdr:sp macro="" textlink="">
      <xdr:nvSpPr>
        <xdr:cNvPr id="246494" name="フリーフォーム: 図形 246493">
          <a:extLst>
            <a:ext uri="{FF2B5EF4-FFF2-40B4-BE49-F238E27FC236}">
              <a16:creationId xmlns:a16="http://schemas.microsoft.com/office/drawing/2014/main" id="{0630CB4D-307D-4266-A89F-85D0BF92A4DA}"/>
            </a:ext>
          </a:extLst>
        </xdr:cNvPr>
        <xdr:cNvSpPr>
          <a:spLocks noChangeAspect="1"/>
        </xdr:cNvSpPr>
      </xdr:nvSpPr>
      <xdr:spPr>
        <a:xfrm>
          <a:off x="393228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59</xdr:row>
      <xdr:rowOff>75750</xdr:rowOff>
    </xdr:from>
    <xdr:to>
      <xdr:col>57</xdr:col>
      <xdr:colOff>466202</xdr:colOff>
      <xdr:row>63</xdr:row>
      <xdr:rowOff>163951</xdr:rowOff>
    </xdr:to>
    <xdr:sp macro="" textlink="">
      <xdr:nvSpPr>
        <xdr:cNvPr id="246495" name="フリーフォーム: 図形 246494">
          <a:extLst>
            <a:ext uri="{FF2B5EF4-FFF2-40B4-BE49-F238E27FC236}">
              <a16:creationId xmlns:a16="http://schemas.microsoft.com/office/drawing/2014/main" id="{7590FA45-6091-4992-B899-612E5B6FFFFC}"/>
            </a:ext>
          </a:extLst>
        </xdr:cNvPr>
        <xdr:cNvSpPr>
          <a:spLocks noChangeAspect="1"/>
        </xdr:cNvSpPr>
      </xdr:nvSpPr>
      <xdr:spPr>
        <a:xfrm>
          <a:off x="392867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59</xdr:row>
      <xdr:rowOff>93750</xdr:rowOff>
    </xdr:from>
    <xdr:to>
      <xdr:col>57</xdr:col>
      <xdr:colOff>196200</xdr:colOff>
      <xdr:row>64</xdr:row>
      <xdr:rowOff>118501</xdr:rowOff>
    </xdr:to>
    <xdr:sp macro="" textlink="">
      <xdr:nvSpPr>
        <xdr:cNvPr id="246496" name="フリーフォーム: 図形 246495">
          <a:extLst>
            <a:ext uri="{FF2B5EF4-FFF2-40B4-BE49-F238E27FC236}">
              <a16:creationId xmlns:a16="http://schemas.microsoft.com/office/drawing/2014/main" id="{16979D3E-1C9A-46B4-80F3-F49029B37F76}"/>
            </a:ext>
          </a:extLst>
        </xdr:cNvPr>
        <xdr:cNvSpPr>
          <a:spLocks noChangeAspect="1"/>
        </xdr:cNvSpPr>
      </xdr:nvSpPr>
      <xdr:spPr>
        <a:xfrm>
          <a:off x="390528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59</xdr:row>
      <xdr:rowOff>75750</xdr:rowOff>
    </xdr:from>
    <xdr:to>
      <xdr:col>57</xdr:col>
      <xdr:colOff>160202</xdr:colOff>
      <xdr:row>64</xdr:row>
      <xdr:rowOff>10501</xdr:rowOff>
    </xdr:to>
    <xdr:sp macro="" textlink="">
      <xdr:nvSpPr>
        <xdr:cNvPr id="246497" name="フリーフォーム: 図形 246496">
          <a:extLst>
            <a:ext uri="{FF2B5EF4-FFF2-40B4-BE49-F238E27FC236}">
              <a16:creationId xmlns:a16="http://schemas.microsoft.com/office/drawing/2014/main" id="{D45E4FFA-DB02-42DF-A634-21DF878A6B5B}"/>
            </a:ext>
          </a:extLst>
        </xdr:cNvPr>
        <xdr:cNvSpPr>
          <a:spLocks noChangeAspect="1"/>
        </xdr:cNvSpPr>
      </xdr:nvSpPr>
      <xdr:spPr>
        <a:xfrm>
          <a:off x="387287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53</xdr:row>
      <xdr:rowOff>42450</xdr:rowOff>
    </xdr:from>
    <xdr:to>
      <xdr:col>60</xdr:col>
      <xdr:colOff>93601</xdr:colOff>
      <xdr:row>54</xdr:row>
      <xdr:rowOff>15001</xdr:rowOff>
    </xdr:to>
    <xdr:sp macro="" textlink="">
      <xdr:nvSpPr>
        <xdr:cNvPr id="246498" name="フリーフォーム: 図形 246497">
          <a:extLst>
            <a:ext uri="{FF2B5EF4-FFF2-40B4-BE49-F238E27FC236}">
              <a16:creationId xmlns:a16="http://schemas.microsoft.com/office/drawing/2014/main" id="{A7B7F781-DCC5-43BD-8FA4-A8C4191AE6F1}"/>
            </a:ext>
          </a:extLst>
        </xdr:cNvPr>
        <xdr:cNvSpPr>
          <a:spLocks noChangeAspect="1"/>
        </xdr:cNvSpPr>
      </xdr:nvSpPr>
      <xdr:spPr>
        <a:xfrm>
          <a:off x="407736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53</xdr:row>
      <xdr:rowOff>42450</xdr:rowOff>
    </xdr:from>
    <xdr:to>
      <xdr:col>60</xdr:col>
      <xdr:colOff>633600</xdr:colOff>
      <xdr:row>54</xdr:row>
      <xdr:rowOff>15001</xdr:rowOff>
    </xdr:to>
    <xdr:sp macro="" textlink="">
      <xdr:nvSpPr>
        <xdr:cNvPr id="246499" name="フリーフォーム: 図形 246498">
          <a:extLst>
            <a:ext uri="{FF2B5EF4-FFF2-40B4-BE49-F238E27FC236}">
              <a16:creationId xmlns:a16="http://schemas.microsoft.com/office/drawing/2014/main" id="{4D0016A0-8E7C-4D86-A014-706A4F56D106}"/>
            </a:ext>
          </a:extLst>
        </xdr:cNvPr>
        <xdr:cNvSpPr>
          <a:spLocks noChangeAspect="1"/>
        </xdr:cNvSpPr>
      </xdr:nvSpPr>
      <xdr:spPr>
        <a:xfrm>
          <a:off x="413135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53</xdr:row>
      <xdr:rowOff>114450</xdr:rowOff>
    </xdr:from>
    <xdr:to>
      <xdr:col>61</xdr:col>
      <xdr:colOff>19801</xdr:colOff>
      <xdr:row>59</xdr:row>
      <xdr:rowOff>21751</xdr:rowOff>
    </xdr:to>
    <xdr:sp macro="" textlink="">
      <xdr:nvSpPr>
        <xdr:cNvPr id="246500" name="フリーフォーム: 図形 246499">
          <a:extLst>
            <a:ext uri="{FF2B5EF4-FFF2-40B4-BE49-F238E27FC236}">
              <a16:creationId xmlns:a16="http://schemas.microsoft.com/office/drawing/2014/main" id="{805442F0-9990-49BF-9E9D-310F6B331987}"/>
            </a:ext>
          </a:extLst>
        </xdr:cNvPr>
        <xdr:cNvSpPr>
          <a:spLocks noChangeAspect="1"/>
        </xdr:cNvSpPr>
      </xdr:nvSpPr>
      <xdr:spPr>
        <a:xfrm>
          <a:off x="415655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59</xdr:row>
      <xdr:rowOff>75750</xdr:rowOff>
    </xdr:from>
    <xdr:to>
      <xdr:col>60</xdr:col>
      <xdr:colOff>525600</xdr:colOff>
      <xdr:row>64</xdr:row>
      <xdr:rowOff>136501</xdr:rowOff>
    </xdr:to>
    <xdr:sp macro="" textlink="">
      <xdr:nvSpPr>
        <xdr:cNvPr id="246501" name="フリーフォーム: 図形 246500">
          <a:extLst>
            <a:ext uri="{FF2B5EF4-FFF2-40B4-BE49-F238E27FC236}">
              <a16:creationId xmlns:a16="http://schemas.microsoft.com/office/drawing/2014/main" id="{04D7B2EC-BE3C-4A1D-9A71-B4009486DBD3}"/>
            </a:ext>
          </a:extLst>
        </xdr:cNvPr>
        <xdr:cNvSpPr>
          <a:spLocks noChangeAspect="1"/>
        </xdr:cNvSpPr>
      </xdr:nvSpPr>
      <xdr:spPr>
        <a:xfrm>
          <a:off x="413856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64</xdr:row>
      <xdr:rowOff>64500</xdr:rowOff>
    </xdr:from>
    <xdr:to>
      <xdr:col>59</xdr:col>
      <xdr:colOff>455400</xdr:colOff>
      <xdr:row>65</xdr:row>
      <xdr:rowOff>37051</xdr:rowOff>
    </xdr:to>
    <xdr:sp macro="" textlink="">
      <xdr:nvSpPr>
        <xdr:cNvPr id="246502" name="フリーフォーム: 図形 246501">
          <a:extLst>
            <a:ext uri="{FF2B5EF4-FFF2-40B4-BE49-F238E27FC236}">
              <a16:creationId xmlns:a16="http://schemas.microsoft.com/office/drawing/2014/main" id="{EEDB0E04-A8BE-4386-B314-B1618352B559}"/>
            </a:ext>
          </a:extLst>
        </xdr:cNvPr>
        <xdr:cNvSpPr>
          <a:spLocks noChangeAspect="1"/>
        </xdr:cNvSpPr>
      </xdr:nvSpPr>
      <xdr:spPr>
        <a:xfrm>
          <a:off x="404316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64</xdr:row>
      <xdr:rowOff>64500</xdr:rowOff>
    </xdr:from>
    <xdr:to>
      <xdr:col>60</xdr:col>
      <xdr:colOff>273600</xdr:colOff>
      <xdr:row>65</xdr:row>
      <xdr:rowOff>37051</xdr:rowOff>
    </xdr:to>
    <xdr:sp macro="" textlink="">
      <xdr:nvSpPr>
        <xdr:cNvPr id="246503" name="フリーフォーム: 図形 246502">
          <a:extLst>
            <a:ext uri="{FF2B5EF4-FFF2-40B4-BE49-F238E27FC236}">
              <a16:creationId xmlns:a16="http://schemas.microsoft.com/office/drawing/2014/main" id="{4D855DC7-7FB0-4BA2-8347-AAC592CBFB83}"/>
            </a:ext>
          </a:extLst>
        </xdr:cNvPr>
        <xdr:cNvSpPr>
          <a:spLocks noChangeAspect="1"/>
        </xdr:cNvSpPr>
      </xdr:nvSpPr>
      <xdr:spPr>
        <a:xfrm>
          <a:off x="409535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59</xdr:row>
      <xdr:rowOff>75750</xdr:rowOff>
    </xdr:from>
    <xdr:to>
      <xdr:col>59</xdr:col>
      <xdr:colOff>203403</xdr:colOff>
      <xdr:row>64</xdr:row>
      <xdr:rowOff>136501</xdr:rowOff>
    </xdr:to>
    <xdr:sp macro="" textlink="">
      <xdr:nvSpPr>
        <xdr:cNvPr id="246504" name="フリーフォーム: 図形 246503">
          <a:extLst>
            <a:ext uri="{FF2B5EF4-FFF2-40B4-BE49-F238E27FC236}">
              <a16:creationId xmlns:a16="http://schemas.microsoft.com/office/drawing/2014/main" id="{C0B665A4-A5E3-4B4B-99E9-FC4E317BA0BE}"/>
            </a:ext>
          </a:extLst>
        </xdr:cNvPr>
        <xdr:cNvSpPr>
          <a:spLocks noChangeAspect="1"/>
        </xdr:cNvSpPr>
      </xdr:nvSpPr>
      <xdr:spPr>
        <a:xfrm>
          <a:off x="403776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53</xdr:row>
      <xdr:rowOff>114450</xdr:rowOff>
    </xdr:from>
    <xdr:to>
      <xdr:col>59</xdr:col>
      <xdr:colOff>347400</xdr:colOff>
      <xdr:row>59</xdr:row>
      <xdr:rowOff>21751</xdr:rowOff>
    </xdr:to>
    <xdr:sp macro="" textlink="">
      <xdr:nvSpPr>
        <xdr:cNvPr id="246505" name="フリーフォーム: 図形 246504">
          <a:extLst>
            <a:ext uri="{FF2B5EF4-FFF2-40B4-BE49-F238E27FC236}">
              <a16:creationId xmlns:a16="http://schemas.microsoft.com/office/drawing/2014/main" id="{14F572E2-7A2B-46F5-AC91-0B01657D96D8}"/>
            </a:ext>
          </a:extLst>
        </xdr:cNvPr>
        <xdr:cNvSpPr>
          <a:spLocks noChangeAspect="1"/>
        </xdr:cNvSpPr>
      </xdr:nvSpPr>
      <xdr:spPr>
        <a:xfrm>
          <a:off x="405575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58</xdr:row>
      <xdr:rowOff>139200</xdr:rowOff>
    </xdr:from>
    <xdr:to>
      <xdr:col>59</xdr:col>
      <xdr:colOff>617402</xdr:colOff>
      <xdr:row>59</xdr:row>
      <xdr:rowOff>111751</xdr:rowOff>
    </xdr:to>
    <xdr:sp macro="" textlink="">
      <xdr:nvSpPr>
        <xdr:cNvPr id="246506" name="フリーフォーム: 図形 246505">
          <a:extLst>
            <a:ext uri="{FF2B5EF4-FFF2-40B4-BE49-F238E27FC236}">
              <a16:creationId xmlns:a16="http://schemas.microsoft.com/office/drawing/2014/main" id="{2EC3DD40-B529-4D54-9689-CE2032924A72}"/>
            </a:ext>
          </a:extLst>
        </xdr:cNvPr>
        <xdr:cNvSpPr>
          <a:spLocks noChangeAspect="1"/>
        </xdr:cNvSpPr>
      </xdr:nvSpPr>
      <xdr:spPr>
        <a:xfrm>
          <a:off x="406296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58</xdr:row>
      <xdr:rowOff>139200</xdr:rowOff>
    </xdr:from>
    <xdr:to>
      <xdr:col>60</xdr:col>
      <xdr:colOff>435602</xdr:colOff>
      <xdr:row>59</xdr:row>
      <xdr:rowOff>111751</xdr:rowOff>
    </xdr:to>
    <xdr:sp macro="" textlink="">
      <xdr:nvSpPr>
        <xdr:cNvPr id="246507" name="フリーフォーム: 図形 246506">
          <a:extLst>
            <a:ext uri="{FF2B5EF4-FFF2-40B4-BE49-F238E27FC236}">
              <a16:creationId xmlns:a16="http://schemas.microsoft.com/office/drawing/2014/main" id="{31F080C2-6520-4362-A0BC-5C98EDB622CB}"/>
            </a:ext>
          </a:extLst>
        </xdr:cNvPr>
        <xdr:cNvSpPr>
          <a:spLocks noChangeAspect="1"/>
        </xdr:cNvSpPr>
      </xdr:nvSpPr>
      <xdr:spPr>
        <a:xfrm>
          <a:off x="411336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54</xdr:row>
      <xdr:rowOff>51000</xdr:rowOff>
    </xdr:from>
    <xdr:to>
      <xdr:col>59</xdr:col>
      <xdr:colOff>635401</xdr:colOff>
      <xdr:row>59</xdr:row>
      <xdr:rowOff>3751</xdr:rowOff>
    </xdr:to>
    <xdr:sp macro="" textlink="">
      <xdr:nvSpPr>
        <xdr:cNvPr id="246508" name="フリーフォーム: 図形 246507">
          <a:extLst>
            <a:ext uri="{FF2B5EF4-FFF2-40B4-BE49-F238E27FC236}">
              <a16:creationId xmlns:a16="http://schemas.microsoft.com/office/drawing/2014/main" id="{67E55CAB-62E5-4F2D-921F-4C954A809E18}"/>
            </a:ext>
          </a:extLst>
        </xdr:cNvPr>
        <xdr:cNvSpPr>
          <a:spLocks noChangeAspect="1"/>
        </xdr:cNvSpPr>
      </xdr:nvSpPr>
      <xdr:spPr>
        <a:xfrm>
          <a:off x="408276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53</xdr:row>
      <xdr:rowOff>114450</xdr:rowOff>
    </xdr:from>
    <xdr:to>
      <xdr:col>60</xdr:col>
      <xdr:colOff>201601</xdr:colOff>
      <xdr:row>58</xdr:row>
      <xdr:rowOff>157201</xdr:rowOff>
    </xdr:to>
    <xdr:sp macro="" textlink="">
      <xdr:nvSpPr>
        <xdr:cNvPr id="246509" name="フリーフォーム: 図形 246508">
          <a:extLst>
            <a:ext uri="{FF2B5EF4-FFF2-40B4-BE49-F238E27FC236}">
              <a16:creationId xmlns:a16="http://schemas.microsoft.com/office/drawing/2014/main" id="{D0F51AEE-1654-4D51-9939-AB7B06279B61}"/>
            </a:ext>
          </a:extLst>
        </xdr:cNvPr>
        <xdr:cNvSpPr>
          <a:spLocks noChangeAspect="1"/>
        </xdr:cNvSpPr>
      </xdr:nvSpPr>
      <xdr:spPr>
        <a:xfrm>
          <a:off x="410976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54</xdr:row>
      <xdr:rowOff>69000</xdr:rowOff>
    </xdr:from>
    <xdr:to>
      <xdr:col>60</xdr:col>
      <xdr:colOff>525600</xdr:colOff>
      <xdr:row>59</xdr:row>
      <xdr:rowOff>3751</xdr:rowOff>
    </xdr:to>
    <xdr:sp macro="" textlink="">
      <xdr:nvSpPr>
        <xdr:cNvPr id="246510" name="フリーフォーム: 図形 246509">
          <a:extLst>
            <a:ext uri="{FF2B5EF4-FFF2-40B4-BE49-F238E27FC236}">
              <a16:creationId xmlns:a16="http://schemas.microsoft.com/office/drawing/2014/main" id="{6A2B322B-3187-4594-AF27-59C554504ABC}"/>
            </a:ext>
          </a:extLst>
        </xdr:cNvPr>
        <xdr:cNvSpPr>
          <a:spLocks noChangeAspect="1"/>
        </xdr:cNvSpPr>
      </xdr:nvSpPr>
      <xdr:spPr>
        <a:xfrm>
          <a:off x="411516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59</xdr:row>
      <xdr:rowOff>75750</xdr:rowOff>
    </xdr:from>
    <xdr:to>
      <xdr:col>60</xdr:col>
      <xdr:colOff>237602</xdr:colOff>
      <xdr:row>63</xdr:row>
      <xdr:rowOff>163951</xdr:rowOff>
    </xdr:to>
    <xdr:sp macro="" textlink="">
      <xdr:nvSpPr>
        <xdr:cNvPr id="246511" name="フリーフォーム: 図形 246510">
          <a:extLst>
            <a:ext uri="{FF2B5EF4-FFF2-40B4-BE49-F238E27FC236}">
              <a16:creationId xmlns:a16="http://schemas.microsoft.com/office/drawing/2014/main" id="{734BCF2E-D6E2-4EA9-A7BC-3B04FC524061}"/>
            </a:ext>
          </a:extLst>
        </xdr:cNvPr>
        <xdr:cNvSpPr>
          <a:spLocks noChangeAspect="1"/>
        </xdr:cNvSpPr>
      </xdr:nvSpPr>
      <xdr:spPr>
        <a:xfrm>
          <a:off x="411155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59</xdr:row>
      <xdr:rowOff>93750</xdr:rowOff>
    </xdr:from>
    <xdr:to>
      <xdr:col>59</xdr:col>
      <xdr:colOff>653400</xdr:colOff>
      <xdr:row>64</xdr:row>
      <xdr:rowOff>118501</xdr:rowOff>
    </xdr:to>
    <xdr:sp macro="" textlink="">
      <xdr:nvSpPr>
        <xdr:cNvPr id="246512" name="フリーフォーム: 図形 246511">
          <a:extLst>
            <a:ext uri="{FF2B5EF4-FFF2-40B4-BE49-F238E27FC236}">
              <a16:creationId xmlns:a16="http://schemas.microsoft.com/office/drawing/2014/main" id="{D3DCBE7C-28AE-4CFF-8769-AB258F53E648}"/>
            </a:ext>
          </a:extLst>
        </xdr:cNvPr>
        <xdr:cNvSpPr>
          <a:spLocks noChangeAspect="1"/>
        </xdr:cNvSpPr>
      </xdr:nvSpPr>
      <xdr:spPr>
        <a:xfrm>
          <a:off x="408816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59</xdr:row>
      <xdr:rowOff>75750</xdr:rowOff>
    </xdr:from>
    <xdr:to>
      <xdr:col>59</xdr:col>
      <xdr:colOff>617402</xdr:colOff>
      <xdr:row>64</xdr:row>
      <xdr:rowOff>10501</xdr:rowOff>
    </xdr:to>
    <xdr:sp macro="" textlink="">
      <xdr:nvSpPr>
        <xdr:cNvPr id="246513" name="フリーフォーム: 図形 246512">
          <a:extLst>
            <a:ext uri="{FF2B5EF4-FFF2-40B4-BE49-F238E27FC236}">
              <a16:creationId xmlns:a16="http://schemas.microsoft.com/office/drawing/2014/main" id="{BF06D5AD-2D37-4782-9886-7F5E78F33891}"/>
            </a:ext>
          </a:extLst>
        </xdr:cNvPr>
        <xdr:cNvSpPr>
          <a:spLocks noChangeAspect="1"/>
        </xdr:cNvSpPr>
      </xdr:nvSpPr>
      <xdr:spPr>
        <a:xfrm>
          <a:off x="405575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53</xdr:row>
      <xdr:rowOff>42450</xdr:rowOff>
    </xdr:from>
    <xdr:to>
      <xdr:col>62</xdr:col>
      <xdr:colOff>550801</xdr:colOff>
      <xdr:row>54</xdr:row>
      <xdr:rowOff>15001</xdr:rowOff>
    </xdr:to>
    <xdr:sp macro="" textlink="">
      <xdr:nvSpPr>
        <xdr:cNvPr id="246514" name="フリーフォーム: 図形 246513">
          <a:extLst>
            <a:ext uri="{FF2B5EF4-FFF2-40B4-BE49-F238E27FC236}">
              <a16:creationId xmlns:a16="http://schemas.microsoft.com/office/drawing/2014/main" id="{BFA3209F-42B7-4BB9-93ED-1C8CC2DB84A1}"/>
            </a:ext>
          </a:extLst>
        </xdr:cNvPr>
        <xdr:cNvSpPr>
          <a:spLocks noChangeAspect="1"/>
        </xdr:cNvSpPr>
      </xdr:nvSpPr>
      <xdr:spPr>
        <a:xfrm>
          <a:off x="426024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53</xdr:row>
      <xdr:rowOff>42450</xdr:rowOff>
    </xdr:from>
    <xdr:to>
      <xdr:col>63</xdr:col>
      <xdr:colOff>405000</xdr:colOff>
      <xdr:row>54</xdr:row>
      <xdr:rowOff>15001</xdr:rowOff>
    </xdr:to>
    <xdr:sp macro="" textlink="">
      <xdr:nvSpPr>
        <xdr:cNvPr id="246515" name="フリーフォーム: 図形 246514">
          <a:extLst>
            <a:ext uri="{FF2B5EF4-FFF2-40B4-BE49-F238E27FC236}">
              <a16:creationId xmlns:a16="http://schemas.microsoft.com/office/drawing/2014/main" id="{B7BCA0FF-A84E-4E2D-93E8-32B6EDB05416}"/>
            </a:ext>
          </a:extLst>
        </xdr:cNvPr>
        <xdr:cNvSpPr>
          <a:spLocks noChangeAspect="1"/>
        </xdr:cNvSpPr>
      </xdr:nvSpPr>
      <xdr:spPr>
        <a:xfrm>
          <a:off x="431423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53</xdr:row>
      <xdr:rowOff>114450</xdr:rowOff>
    </xdr:from>
    <xdr:to>
      <xdr:col>63</xdr:col>
      <xdr:colOff>477001</xdr:colOff>
      <xdr:row>59</xdr:row>
      <xdr:rowOff>21751</xdr:rowOff>
    </xdr:to>
    <xdr:sp macro="" textlink="">
      <xdr:nvSpPr>
        <xdr:cNvPr id="246516" name="フリーフォーム: 図形 246515">
          <a:extLst>
            <a:ext uri="{FF2B5EF4-FFF2-40B4-BE49-F238E27FC236}">
              <a16:creationId xmlns:a16="http://schemas.microsoft.com/office/drawing/2014/main" id="{B4EBD159-49A2-43C2-8E83-CAC430DC6B21}"/>
            </a:ext>
          </a:extLst>
        </xdr:cNvPr>
        <xdr:cNvSpPr>
          <a:spLocks noChangeAspect="1"/>
        </xdr:cNvSpPr>
      </xdr:nvSpPr>
      <xdr:spPr>
        <a:xfrm>
          <a:off x="433943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59</xdr:row>
      <xdr:rowOff>75750</xdr:rowOff>
    </xdr:from>
    <xdr:to>
      <xdr:col>63</xdr:col>
      <xdr:colOff>297000</xdr:colOff>
      <xdr:row>64</xdr:row>
      <xdr:rowOff>136501</xdr:rowOff>
    </xdr:to>
    <xdr:sp macro="" textlink="">
      <xdr:nvSpPr>
        <xdr:cNvPr id="246517" name="フリーフォーム: 図形 246516">
          <a:extLst>
            <a:ext uri="{FF2B5EF4-FFF2-40B4-BE49-F238E27FC236}">
              <a16:creationId xmlns:a16="http://schemas.microsoft.com/office/drawing/2014/main" id="{AE301BE9-16B9-4515-898F-D51D312A9467}"/>
            </a:ext>
          </a:extLst>
        </xdr:cNvPr>
        <xdr:cNvSpPr>
          <a:spLocks noChangeAspect="1"/>
        </xdr:cNvSpPr>
      </xdr:nvSpPr>
      <xdr:spPr>
        <a:xfrm>
          <a:off x="432144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64</xdr:row>
      <xdr:rowOff>64500</xdr:rowOff>
    </xdr:from>
    <xdr:to>
      <xdr:col>62</xdr:col>
      <xdr:colOff>226800</xdr:colOff>
      <xdr:row>65</xdr:row>
      <xdr:rowOff>37051</xdr:rowOff>
    </xdr:to>
    <xdr:sp macro="" textlink="">
      <xdr:nvSpPr>
        <xdr:cNvPr id="246518" name="フリーフォーム: 図形 246517">
          <a:extLst>
            <a:ext uri="{FF2B5EF4-FFF2-40B4-BE49-F238E27FC236}">
              <a16:creationId xmlns:a16="http://schemas.microsoft.com/office/drawing/2014/main" id="{6E3D9EE5-5FA0-4022-BBCE-9E89D0E621EE}"/>
            </a:ext>
          </a:extLst>
        </xdr:cNvPr>
        <xdr:cNvSpPr>
          <a:spLocks noChangeAspect="1"/>
        </xdr:cNvSpPr>
      </xdr:nvSpPr>
      <xdr:spPr>
        <a:xfrm>
          <a:off x="422604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64</xdr:row>
      <xdr:rowOff>64500</xdr:rowOff>
    </xdr:from>
    <xdr:to>
      <xdr:col>63</xdr:col>
      <xdr:colOff>45000</xdr:colOff>
      <xdr:row>65</xdr:row>
      <xdr:rowOff>37051</xdr:rowOff>
    </xdr:to>
    <xdr:sp macro="" textlink="">
      <xdr:nvSpPr>
        <xdr:cNvPr id="246519" name="フリーフォーム: 図形 246518">
          <a:extLst>
            <a:ext uri="{FF2B5EF4-FFF2-40B4-BE49-F238E27FC236}">
              <a16:creationId xmlns:a16="http://schemas.microsoft.com/office/drawing/2014/main" id="{DCFD6B3A-309C-42BC-9268-9C414CF82F57}"/>
            </a:ext>
          </a:extLst>
        </xdr:cNvPr>
        <xdr:cNvSpPr>
          <a:spLocks noChangeAspect="1"/>
        </xdr:cNvSpPr>
      </xdr:nvSpPr>
      <xdr:spPr>
        <a:xfrm>
          <a:off x="427823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59</xdr:row>
      <xdr:rowOff>75750</xdr:rowOff>
    </xdr:from>
    <xdr:to>
      <xdr:col>61</xdr:col>
      <xdr:colOff>660603</xdr:colOff>
      <xdr:row>64</xdr:row>
      <xdr:rowOff>136501</xdr:rowOff>
    </xdr:to>
    <xdr:sp macro="" textlink="">
      <xdr:nvSpPr>
        <xdr:cNvPr id="246520" name="フリーフォーム: 図形 246519">
          <a:extLst>
            <a:ext uri="{FF2B5EF4-FFF2-40B4-BE49-F238E27FC236}">
              <a16:creationId xmlns:a16="http://schemas.microsoft.com/office/drawing/2014/main" id="{1265DDD0-E720-4A8E-8048-B9FB3D8213A6}"/>
            </a:ext>
          </a:extLst>
        </xdr:cNvPr>
        <xdr:cNvSpPr>
          <a:spLocks noChangeAspect="1"/>
        </xdr:cNvSpPr>
      </xdr:nvSpPr>
      <xdr:spPr>
        <a:xfrm>
          <a:off x="422064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53</xdr:row>
      <xdr:rowOff>114450</xdr:rowOff>
    </xdr:from>
    <xdr:to>
      <xdr:col>62</xdr:col>
      <xdr:colOff>118800</xdr:colOff>
      <xdr:row>59</xdr:row>
      <xdr:rowOff>21751</xdr:rowOff>
    </xdr:to>
    <xdr:sp macro="" textlink="">
      <xdr:nvSpPr>
        <xdr:cNvPr id="246521" name="フリーフォーム: 図形 246520">
          <a:extLst>
            <a:ext uri="{FF2B5EF4-FFF2-40B4-BE49-F238E27FC236}">
              <a16:creationId xmlns:a16="http://schemas.microsoft.com/office/drawing/2014/main" id="{86F5AF78-1CE7-4930-8983-7E423D4AF492}"/>
            </a:ext>
          </a:extLst>
        </xdr:cNvPr>
        <xdr:cNvSpPr>
          <a:spLocks noChangeAspect="1"/>
        </xdr:cNvSpPr>
      </xdr:nvSpPr>
      <xdr:spPr>
        <a:xfrm>
          <a:off x="423863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58</xdr:row>
      <xdr:rowOff>139200</xdr:rowOff>
    </xdr:from>
    <xdr:to>
      <xdr:col>62</xdr:col>
      <xdr:colOff>388802</xdr:colOff>
      <xdr:row>59</xdr:row>
      <xdr:rowOff>111751</xdr:rowOff>
    </xdr:to>
    <xdr:sp macro="" textlink="">
      <xdr:nvSpPr>
        <xdr:cNvPr id="246522" name="フリーフォーム: 図形 246521">
          <a:extLst>
            <a:ext uri="{FF2B5EF4-FFF2-40B4-BE49-F238E27FC236}">
              <a16:creationId xmlns:a16="http://schemas.microsoft.com/office/drawing/2014/main" id="{9890D7CA-370E-4367-868F-82741C3385E8}"/>
            </a:ext>
          </a:extLst>
        </xdr:cNvPr>
        <xdr:cNvSpPr>
          <a:spLocks noChangeAspect="1"/>
        </xdr:cNvSpPr>
      </xdr:nvSpPr>
      <xdr:spPr>
        <a:xfrm>
          <a:off x="424584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58</xdr:row>
      <xdr:rowOff>139200</xdr:rowOff>
    </xdr:from>
    <xdr:to>
      <xdr:col>63</xdr:col>
      <xdr:colOff>207002</xdr:colOff>
      <xdr:row>59</xdr:row>
      <xdr:rowOff>111751</xdr:rowOff>
    </xdr:to>
    <xdr:sp macro="" textlink="">
      <xdr:nvSpPr>
        <xdr:cNvPr id="246523" name="フリーフォーム: 図形 246522">
          <a:extLst>
            <a:ext uri="{FF2B5EF4-FFF2-40B4-BE49-F238E27FC236}">
              <a16:creationId xmlns:a16="http://schemas.microsoft.com/office/drawing/2014/main" id="{8B20BB3E-6FAD-473A-BC94-599362F63E53}"/>
            </a:ext>
          </a:extLst>
        </xdr:cNvPr>
        <xdr:cNvSpPr>
          <a:spLocks noChangeAspect="1"/>
        </xdr:cNvSpPr>
      </xdr:nvSpPr>
      <xdr:spPr>
        <a:xfrm>
          <a:off x="429624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54</xdr:row>
      <xdr:rowOff>51000</xdr:rowOff>
    </xdr:from>
    <xdr:to>
      <xdr:col>62</xdr:col>
      <xdr:colOff>406801</xdr:colOff>
      <xdr:row>59</xdr:row>
      <xdr:rowOff>3751</xdr:rowOff>
    </xdr:to>
    <xdr:sp macro="" textlink="">
      <xdr:nvSpPr>
        <xdr:cNvPr id="246524" name="フリーフォーム: 図形 246523">
          <a:extLst>
            <a:ext uri="{FF2B5EF4-FFF2-40B4-BE49-F238E27FC236}">
              <a16:creationId xmlns:a16="http://schemas.microsoft.com/office/drawing/2014/main" id="{E9BC01BD-C1B3-404A-80A5-D66EC9522576}"/>
            </a:ext>
          </a:extLst>
        </xdr:cNvPr>
        <xdr:cNvSpPr>
          <a:spLocks noChangeAspect="1"/>
        </xdr:cNvSpPr>
      </xdr:nvSpPr>
      <xdr:spPr>
        <a:xfrm>
          <a:off x="426564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53</xdr:row>
      <xdr:rowOff>114450</xdr:rowOff>
    </xdr:from>
    <xdr:to>
      <xdr:col>62</xdr:col>
      <xdr:colOff>658801</xdr:colOff>
      <xdr:row>58</xdr:row>
      <xdr:rowOff>157201</xdr:rowOff>
    </xdr:to>
    <xdr:sp macro="" textlink="">
      <xdr:nvSpPr>
        <xdr:cNvPr id="246525" name="フリーフォーム: 図形 246524">
          <a:extLst>
            <a:ext uri="{FF2B5EF4-FFF2-40B4-BE49-F238E27FC236}">
              <a16:creationId xmlns:a16="http://schemas.microsoft.com/office/drawing/2014/main" id="{0E56BCAA-C3A0-42FF-BD57-555AF6A29CE2}"/>
            </a:ext>
          </a:extLst>
        </xdr:cNvPr>
        <xdr:cNvSpPr>
          <a:spLocks noChangeAspect="1"/>
        </xdr:cNvSpPr>
      </xdr:nvSpPr>
      <xdr:spPr>
        <a:xfrm>
          <a:off x="429264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54</xdr:row>
      <xdr:rowOff>69000</xdr:rowOff>
    </xdr:from>
    <xdr:to>
      <xdr:col>63</xdr:col>
      <xdr:colOff>297000</xdr:colOff>
      <xdr:row>59</xdr:row>
      <xdr:rowOff>3751</xdr:rowOff>
    </xdr:to>
    <xdr:sp macro="" textlink="">
      <xdr:nvSpPr>
        <xdr:cNvPr id="246526" name="フリーフォーム: 図形 246525">
          <a:extLst>
            <a:ext uri="{FF2B5EF4-FFF2-40B4-BE49-F238E27FC236}">
              <a16:creationId xmlns:a16="http://schemas.microsoft.com/office/drawing/2014/main" id="{42C70767-346B-487F-9D1C-5741FD43AF28}"/>
            </a:ext>
          </a:extLst>
        </xdr:cNvPr>
        <xdr:cNvSpPr>
          <a:spLocks noChangeAspect="1"/>
        </xdr:cNvSpPr>
      </xdr:nvSpPr>
      <xdr:spPr>
        <a:xfrm>
          <a:off x="429804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59</xdr:row>
      <xdr:rowOff>75750</xdr:rowOff>
    </xdr:from>
    <xdr:to>
      <xdr:col>63</xdr:col>
      <xdr:colOff>9002</xdr:colOff>
      <xdr:row>63</xdr:row>
      <xdr:rowOff>163951</xdr:rowOff>
    </xdr:to>
    <xdr:sp macro="" textlink="">
      <xdr:nvSpPr>
        <xdr:cNvPr id="246527" name="フリーフォーム: 図形 246526">
          <a:extLst>
            <a:ext uri="{FF2B5EF4-FFF2-40B4-BE49-F238E27FC236}">
              <a16:creationId xmlns:a16="http://schemas.microsoft.com/office/drawing/2014/main" id="{39135F98-7D9D-4E99-A86E-5D445FC29F00}"/>
            </a:ext>
          </a:extLst>
        </xdr:cNvPr>
        <xdr:cNvSpPr>
          <a:spLocks noChangeAspect="1"/>
        </xdr:cNvSpPr>
      </xdr:nvSpPr>
      <xdr:spPr>
        <a:xfrm>
          <a:off x="429443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59</xdr:row>
      <xdr:rowOff>93750</xdr:rowOff>
    </xdr:from>
    <xdr:to>
      <xdr:col>62</xdr:col>
      <xdr:colOff>424800</xdr:colOff>
      <xdr:row>64</xdr:row>
      <xdr:rowOff>118501</xdr:rowOff>
    </xdr:to>
    <xdr:sp macro="" textlink="">
      <xdr:nvSpPr>
        <xdr:cNvPr id="246528" name="フリーフォーム: 図形 246527">
          <a:extLst>
            <a:ext uri="{FF2B5EF4-FFF2-40B4-BE49-F238E27FC236}">
              <a16:creationId xmlns:a16="http://schemas.microsoft.com/office/drawing/2014/main" id="{3383AD50-B0FE-4224-9B9C-A009DC1B9765}"/>
            </a:ext>
          </a:extLst>
        </xdr:cNvPr>
        <xdr:cNvSpPr>
          <a:spLocks noChangeAspect="1"/>
        </xdr:cNvSpPr>
      </xdr:nvSpPr>
      <xdr:spPr>
        <a:xfrm>
          <a:off x="427104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59</xdr:row>
      <xdr:rowOff>75750</xdr:rowOff>
    </xdr:from>
    <xdr:to>
      <xdr:col>62</xdr:col>
      <xdr:colOff>388802</xdr:colOff>
      <xdr:row>64</xdr:row>
      <xdr:rowOff>10501</xdr:rowOff>
    </xdr:to>
    <xdr:sp macro="" textlink="">
      <xdr:nvSpPr>
        <xdr:cNvPr id="246529" name="フリーフォーム: 図形 246528">
          <a:extLst>
            <a:ext uri="{FF2B5EF4-FFF2-40B4-BE49-F238E27FC236}">
              <a16:creationId xmlns:a16="http://schemas.microsoft.com/office/drawing/2014/main" id="{2A1B4D37-A0EA-4277-B7EE-081751B43954}"/>
            </a:ext>
          </a:extLst>
        </xdr:cNvPr>
        <xdr:cNvSpPr>
          <a:spLocks noChangeAspect="1"/>
        </xdr:cNvSpPr>
      </xdr:nvSpPr>
      <xdr:spPr>
        <a:xfrm>
          <a:off x="423863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53</xdr:row>
      <xdr:rowOff>42450</xdr:rowOff>
    </xdr:from>
    <xdr:to>
      <xdr:col>65</xdr:col>
      <xdr:colOff>322201</xdr:colOff>
      <xdr:row>54</xdr:row>
      <xdr:rowOff>15001</xdr:rowOff>
    </xdr:to>
    <xdr:sp macro="" textlink="">
      <xdr:nvSpPr>
        <xdr:cNvPr id="246530" name="フリーフォーム: 図形 246529">
          <a:extLst>
            <a:ext uri="{FF2B5EF4-FFF2-40B4-BE49-F238E27FC236}">
              <a16:creationId xmlns:a16="http://schemas.microsoft.com/office/drawing/2014/main" id="{E71A25AF-19D7-48A3-A135-89C8633E919A}"/>
            </a:ext>
          </a:extLst>
        </xdr:cNvPr>
        <xdr:cNvSpPr>
          <a:spLocks noChangeAspect="1"/>
        </xdr:cNvSpPr>
      </xdr:nvSpPr>
      <xdr:spPr>
        <a:xfrm>
          <a:off x="444312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53</xdr:row>
      <xdr:rowOff>42450</xdr:rowOff>
    </xdr:from>
    <xdr:to>
      <xdr:col>66</xdr:col>
      <xdr:colOff>176400</xdr:colOff>
      <xdr:row>54</xdr:row>
      <xdr:rowOff>15001</xdr:rowOff>
    </xdr:to>
    <xdr:sp macro="" textlink="">
      <xdr:nvSpPr>
        <xdr:cNvPr id="246531" name="フリーフォーム: 図形 246530">
          <a:extLst>
            <a:ext uri="{FF2B5EF4-FFF2-40B4-BE49-F238E27FC236}">
              <a16:creationId xmlns:a16="http://schemas.microsoft.com/office/drawing/2014/main" id="{09A2139E-D475-46A7-9EC2-0C5901B7AC5C}"/>
            </a:ext>
          </a:extLst>
        </xdr:cNvPr>
        <xdr:cNvSpPr>
          <a:spLocks noChangeAspect="1"/>
        </xdr:cNvSpPr>
      </xdr:nvSpPr>
      <xdr:spPr>
        <a:xfrm>
          <a:off x="449711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53</xdr:row>
      <xdr:rowOff>114450</xdr:rowOff>
    </xdr:from>
    <xdr:to>
      <xdr:col>66</xdr:col>
      <xdr:colOff>248401</xdr:colOff>
      <xdr:row>59</xdr:row>
      <xdr:rowOff>21751</xdr:rowOff>
    </xdr:to>
    <xdr:sp macro="" textlink="">
      <xdr:nvSpPr>
        <xdr:cNvPr id="246532" name="フリーフォーム: 図形 246531">
          <a:extLst>
            <a:ext uri="{FF2B5EF4-FFF2-40B4-BE49-F238E27FC236}">
              <a16:creationId xmlns:a16="http://schemas.microsoft.com/office/drawing/2014/main" id="{0ECCA0E3-9802-4DE9-AA4A-6BD113A482DE}"/>
            </a:ext>
          </a:extLst>
        </xdr:cNvPr>
        <xdr:cNvSpPr>
          <a:spLocks noChangeAspect="1"/>
        </xdr:cNvSpPr>
      </xdr:nvSpPr>
      <xdr:spPr>
        <a:xfrm>
          <a:off x="452231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59</xdr:row>
      <xdr:rowOff>75750</xdr:rowOff>
    </xdr:from>
    <xdr:to>
      <xdr:col>66</xdr:col>
      <xdr:colOff>68400</xdr:colOff>
      <xdr:row>64</xdr:row>
      <xdr:rowOff>136501</xdr:rowOff>
    </xdr:to>
    <xdr:sp macro="" textlink="">
      <xdr:nvSpPr>
        <xdr:cNvPr id="246533" name="フリーフォーム: 図形 246532">
          <a:extLst>
            <a:ext uri="{FF2B5EF4-FFF2-40B4-BE49-F238E27FC236}">
              <a16:creationId xmlns:a16="http://schemas.microsoft.com/office/drawing/2014/main" id="{E4C63F67-AD56-4ED0-8BA3-4198D3212CF7}"/>
            </a:ext>
          </a:extLst>
        </xdr:cNvPr>
        <xdr:cNvSpPr>
          <a:spLocks noChangeAspect="1"/>
        </xdr:cNvSpPr>
      </xdr:nvSpPr>
      <xdr:spPr>
        <a:xfrm>
          <a:off x="450432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64</xdr:row>
      <xdr:rowOff>64500</xdr:rowOff>
    </xdr:from>
    <xdr:to>
      <xdr:col>64</xdr:col>
      <xdr:colOff>684000</xdr:colOff>
      <xdr:row>65</xdr:row>
      <xdr:rowOff>37051</xdr:rowOff>
    </xdr:to>
    <xdr:sp macro="" textlink="">
      <xdr:nvSpPr>
        <xdr:cNvPr id="246534" name="フリーフォーム: 図形 246533">
          <a:extLst>
            <a:ext uri="{FF2B5EF4-FFF2-40B4-BE49-F238E27FC236}">
              <a16:creationId xmlns:a16="http://schemas.microsoft.com/office/drawing/2014/main" id="{7DF2DD60-D431-4772-8F61-E75445C6CA00}"/>
            </a:ext>
          </a:extLst>
        </xdr:cNvPr>
        <xdr:cNvSpPr>
          <a:spLocks noChangeAspect="1"/>
        </xdr:cNvSpPr>
      </xdr:nvSpPr>
      <xdr:spPr>
        <a:xfrm>
          <a:off x="440892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64</xdr:row>
      <xdr:rowOff>64500</xdr:rowOff>
    </xdr:from>
    <xdr:to>
      <xdr:col>65</xdr:col>
      <xdr:colOff>502200</xdr:colOff>
      <xdr:row>65</xdr:row>
      <xdr:rowOff>37051</xdr:rowOff>
    </xdr:to>
    <xdr:sp macro="" textlink="">
      <xdr:nvSpPr>
        <xdr:cNvPr id="246535" name="フリーフォーム: 図形 246534">
          <a:extLst>
            <a:ext uri="{FF2B5EF4-FFF2-40B4-BE49-F238E27FC236}">
              <a16:creationId xmlns:a16="http://schemas.microsoft.com/office/drawing/2014/main" id="{DDFEFC9F-0929-4CF6-8CA1-4A5A4999CC7E}"/>
            </a:ext>
          </a:extLst>
        </xdr:cNvPr>
        <xdr:cNvSpPr>
          <a:spLocks noChangeAspect="1"/>
        </xdr:cNvSpPr>
      </xdr:nvSpPr>
      <xdr:spPr>
        <a:xfrm>
          <a:off x="446111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59</xdr:row>
      <xdr:rowOff>75750</xdr:rowOff>
    </xdr:from>
    <xdr:to>
      <xdr:col>64</xdr:col>
      <xdr:colOff>432003</xdr:colOff>
      <xdr:row>64</xdr:row>
      <xdr:rowOff>136501</xdr:rowOff>
    </xdr:to>
    <xdr:sp macro="" textlink="">
      <xdr:nvSpPr>
        <xdr:cNvPr id="246536" name="フリーフォーム: 図形 246535">
          <a:extLst>
            <a:ext uri="{FF2B5EF4-FFF2-40B4-BE49-F238E27FC236}">
              <a16:creationId xmlns:a16="http://schemas.microsoft.com/office/drawing/2014/main" id="{B4AF4430-BB0D-49EA-8F35-E99587AD35A8}"/>
            </a:ext>
          </a:extLst>
        </xdr:cNvPr>
        <xdr:cNvSpPr>
          <a:spLocks noChangeAspect="1"/>
        </xdr:cNvSpPr>
      </xdr:nvSpPr>
      <xdr:spPr>
        <a:xfrm>
          <a:off x="440352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53</xdr:row>
      <xdr:rowOff>114450</xdr:rowOff>
    </xdr:from>
    <xdr:to>
      <xdr:col>64</xdr:col>
      <xdr:colOff>576000</xdr:colOff>
      <xdr:row>59</xdr:row>
      <xdr:rowOff>21751</xdr:rowOff>
    </xdr:to>
    <xdr:sp macro="" textlink="">
      <xdr:nvSpPr>
        <xdr:cNvPr id="246537" name="フリーフォーム: 図形 246536">
          <a:extLst>
            <a:ext uri="{FF2B5EF4-FFF2-40B4-BE49-F238E27FC236}">
              <a16:creationId xmlns:a16="http://schemas.microsoft.com/office/drawing/2014/main" id="{2284993D-0085-44A9-9EA5-BE54E7D85537}"/>
            </a:ext>
          </a:extLst>
        </xdr:cNvPr>
        <xdr:cNvSpPr>
          <a:spLocks noChangeAspect="1"/>
        </xdr:cNvSpPr>
      </xdr:nvSpPr>
      <xdr:spPr>
        <a:xfrm>
          <a:off x="442151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58</xdr:row>
      <xdr:rowOff>139200</xdr:rowOff>
    </xdr:from>
    <xdr:to>
      <xdr:col>65</xdr:col>
      <xdr:colOff>160202</xdr:colOff>
      <xdr:row>59</xdr:row>
      <xdr:rowOff>111751</xdr:rowOff>
    </xdr:to>
    <xdr:sp macro="" textlink="">
      <xdr:nvSpPr>
        <xdr:cNvPr id="246538" name="フリーフォーム: 図形 246537">
          <a:extLst>
            <a:ext uri="{FF2B5EF4-FFF2-40B4-BE49-F238E27FC236}">
              <a16:creationId xmlns:a16="http://schemas.microsoft.com/office/drawing/2014/main" id="{6984F01D-0FA2-41AC-A7FA-FBCEFCF139D2}"/>
            </a:ext>
          </a:extLst>
        </xdr:cNvPr>
        <xdr:cNvSpPr>
          <a:spLocks noChangeAspect="1"/>
        </xdr:cNvSpPr>
      </xdr:nvSpPr>
      <xdr:spPr>
        <a:xfrm>
          <a:off x="442872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58</xdr:row>
      <xdr:rowOff>139200</xdr:rowOff>
    </xdr:from>
    <xdr:to>
      <xdr:col>65</xdr:col>
      <xdr:colOff>664202</xdr:colOff>
      <xdr:row>59</xdr:row>
      <xdr:rowOff>111751</xdr:rowOff>
    </xdr:to>
    <xdr:sp macro="" textlink="">
      <xdr:nvSpPr>
        <xdr:cNvPr id="246539" name="フリーフォーム: 図形 246538">
          <a:extLst>
            <a:ext uri="{FF2B5EF4-FFF2-40B4-BE49-F238E27FC236}">
              <a16:creationId xmlns:a16="http://schemas.microsoft.com/office/drawing/2014/main" id="{09AFB677-BA90-4BF7-BB83-788A30338A9B}"/>
            </a:ext>
          </a:extLst>
        </xdr:cNvPr>
        <xdr:cNvSpPr>
          <a:spLocks noChangeAspect="1"/>
        </xdr:cNvSpPr>
      </xdr:nvSpPr>
      <xdr:spPr>
        <a:xfrm>
          <a:off x="447912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54</xdr:row>
      <xdr:rowOff>51000</xdr:rowOff>
    </xdr:from>
    <xdr:to>
      <xdr:col>65</xdr:col>
      <xdr:colOff>178201</xdr:colOff>
      <xdr:row>59</xdr:row>
      <xdr:rowOff>3751</xdr:rowOff>
    </xdr:to>
    <xdr:sp macro="" textlink="">
      <xdr:nvSpPr>
        <xdr:cNvPr id="246540" name="フリーフォーム: 図形 246539">
          <a:extLst>
            <a:ext uri="{FF2B5EF4-FFF2-40B4-BE49-F238E27FC236}">
              <a16:creationId xmlns:a16="http://schemas.microsoft.com/office/drawing/2014/main" id="{035D52FF-337C-4162-9E0B-6001DC8ED9A2}"/>
            </a:ext>
          </a:extLst>
        </xdr:cNvPr>
        <xdr:cNvSpPr>
          <a:spLocks noChangeAspect="1"/>
        </xdr:cNvSpPr>
      </xdr:nvSpPr>
      <xdr:spPr>
        <a:xfrm>
          <a:off x="444852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53</xdr:row>
      <xdr:rowOff>114450</xdr:rowOff>
    </xdr:from>
    <xdr:to>
      <xdr:col>65</xdr:col>
      <xdr:colOff>430201</xdr:colOff>
      <xdr:row>58</xdr:row>
      <xdr:rowOff>157201</xdr:rowOff>
    </xdr:to>
    <xdr:sp macro="" textlink="">
      <xdr:nvSpPr>
        <xdr:cNvPr id="246541" name="フリーフォーム: 図形 246540">
          <a:extLst>
            <a:ext uri="{FF2B5EF4-FFF2-40B4-BE49-F238E27FC236}">
              <a16:creationId xmlns:a16="http://schemas.microsoft.com/office/drawing/2014/main" id="{D3310B3E-E40A-4BF7-82FF-0B8ED018A30C}"/>
            </a:ext>
          </a:extLst>
        </xdr:cNvPr>
        <xdr:cNvSpPr>
          <a:spLocks noChangeAspect="1"/>
        </xdr:cNvSpPr>
      </xdr:nvSpPr>
      <xdr:spPr>
        <a:xfrm>
          <a:off x="447552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54</xdr:row>
      <xdr:rowOff>69000</xdr:rowOff>
    </xdr:from>
    <xdr:to>
      <xdr:col>66</xdr:col>
      <xdr:colOff>68400</xdr:colOff>
      <xdr:row>59</xdr:row>
      <xdr:rowOff>3751</xdr:rowOff>
    </xdr:to>
    <xdr:sp macro="" textlink="">
      <xdr:nvSpPr>
        <xdr:cNvPr id="246542" name="フリーフォーム: 図形 246541">
          <a:extLst>
            <a:ext uri="{FF2B5EF4-FFF2-40B4-BE49-F238E27FC236}">
              <a16:creationId xmlns:a16="http://schemas.microsoft.com/office/drawing/2014/main" id="{55F25220-5127-4DED-9BD1-B849E445D417}"/>
            </a:ext>
          </a:extLst>
        </xdr:cNvPr>
        <xdr:cNvSpPr>
          <a:spLocks noChangeAspect="1"/>
        </xdr:cNvSpPr>
      </xdr:nvSpPr>
      <xdr:spPr>
        <a:xfrm>
          <a:off x="448092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59</xdr:row>
      <xdr:rowOff>75750</xdr:rowOff>
    </xdr:from>
    <xdr:to>
      <xdr:col>65</xdr:col>
      <xdr:colOff>466202</xdr:colOff>
      <xdr:row>63</xdr:row>
      <xdr:rowOff>163951</xdr:rowOff>
    </xdr:to>
    <xdr:sp macro="" textlink="">
      <xdr:nvSpPr>
        <xdr:cNvPr id="246543" name="フリーフォーム: 図形 246542">
          <a:extLst>
            <a:ext uri="{FF2B5EF4-FFF2-40B4-BE49-F238E27FC236}">
              <a16:creationId xmlns:a16="http://schemas.microsoft.com/office/drawing/2014/main" id="{7E34F790-DC56-4A88-9DDE-780299466318}"/>
            </a:ext>
          </a:extLst>
        </xdr:cNvPr>
        <xdr:cNvSpPr>
          <a:spLocks noChangeAspect="1"/>
        </xdr:cNvSpPr>
      </xdr:nvSpPr>
      <xdr:spPr>
        <a:xfrm>
          <a:off x="447731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59</xdr:row>
      <xdr:rowOff>93750</xdr:rowOff>
    </xdr:from>
    <xdr:to>
      <xdr:col>65</xdr:col>
      <xdr:colOff>196200</xdr:colOff>
      <xdr:row>64</xdr:row>
      <xdr:rowOff>118501</xdr:rowOff>
    </xdr:to>
    <xdr:sp macro="" textlink="">
      <xdr:nvSpPr>
        <xdr:cNvPr id="246544" name="フリーフォーム: 図形 246543">
          <a:extLst>
            <a:ext uri="{FF2B5EF4-FFF2-40B4-BE49-F238E27FC236}">
              <a16:creationId xmlns:a16="http://schemas.microsoft.com/office/drawing/2014/main" id="{232FC2D0-F63D-4AD0-BA44-41294B38DFED}"/>
            </a:ext>
          </a:extLst>
        </xdr:cNvPr>
        <xdr:cNvSpPr>
          <a:spLocks noChangeAspect="1"/>
        </xdr:cNvSpPr>
      </xdr:nvSpPr>
      <xdr:spPr>
        <a:xfrm>
          <a:off x="445392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59</xdr:row>
      <xdr:rowOff>75750</xdr:rowOff>
    </xdr:from>
    <xdr:to>
      <xdr:col>65</xdr:col>
      <xdr:colOff>160202</xdr:colOff>
      <xdr:row>64</xdr:row>
      <xdr:rowOff>10501</xdr:rowOff>
    </xdr:to>
    <xdr:sp macro="" textlink="">
      <xdr:nvSpPr>
        <xdr:cNvPr id="246545" name="フリーフォーム: 図形 246544">
          <a:extLst>
            <a:ext uri="{FF2B5EF4-FFF2-40B4-BE49-F238E27FC236}">
              <a16:creationId xmlns:a16="http://schemas.microsoft.com/office/drawing/2014/main" id="{14F4ED6A-48EF-4AD5-9D3B-FDF92F39EDB0}"/>
            </a:ext>
          </a:extLst>
        </xdr:cNvPr>
        <xdr:cNvSpPr>
          <a:spLocks noChangeAspect="1"/>
        </xdr:cNvSpPr>
      </xdr:nvSpPr>
      <xdr:spPr>
        <a:xfrm>
          <a:off x="442151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53</xdr:row>
      <xdr:rowOff>42450</xdr:rowOff>
    </xdr:from>
    <xdr:to>
      <xdr:col>68</xdr:col>
      <xdr:colOff>93601</xdr:colOff>
      <xdr:row>54</xdr:row>
      <xdr:rowOff>15001</xdr:rowOff>
    </xdr:to>
    <xdr:sp macro="" textlink="">
      <xdr:nvSpPr>
        <xdr:cNvPr id="246546" name="フリーフォーム: 図形 246545">
          <a:extLst>
            <a:ext uri="{FF2B5EF4-FFF2-40B4-BE49-F238E27FC236}">
              <a16:creationId xmlns:a16="http://schemas.microsoft.com/office/drawing/2014/main" id="{CB86B3D5-7107-47C6-A3E7-116E8C9FCC9D}"/>
            </a:ext>
          </a:extLst>
        </xdr:cNvPr>
        <xdr:cNvSpPr>
          <a:spLocks noChangeAspect="1"/>
        </xdr:cNvSpPr>
      </xdr:nvSpPr>
      <xdr:spPr>
        <a:xfrm>
          <a:off x="462600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53</xdr:row>
      <xdr:rowOff>42450</xdr:rowOff>
    </xdr:from>
    <xdr:to>
      <xdr:col>68</xdr:col>
      <xdr:colOff>633600</xdr:colOff>
      <xdr:row>54</xdr:row>
      <xdr:rowOff>15001</xdr:rowOff>
    </xdr:to>
    <xdr:sp macro="" textlink="">
      <xdr:nvSpPr>
        <xdr:cNvPr id="246547" name="フリーフォーム: 図形 246546">
          <a:extLst>
            <a:ext uri="{FF2B5EF4-FFF2-40B4-BE49-F238E27FC236}">
              <a16:creationId xmlns:a16="http://schemas.microsoft.com/office/drawing/2014/main" id="{B2F97BF5-A343-4AFC-B5BE-11DB418B3B24}"/>
            </a:ext>
          </a:extLst>
        </xdr:cNvPr>
        <xdr:cNvSpPr>
          <a:spLocks noChangeAspect="1"/>
        </xdr:cNvSpPr>
      </xdr:nvSpPr>
      <xdr:spPr>
        <a:xfrm>
          <a:off x="467999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53</xdr:row>
      <xdr:rowOff>114450</xdr:rowOff>
    </xdr:from>
    <xdr:to>
      <xdr:col>69</xdr:col>
      <xdr:colOff>19801</xdr:colOff>
      <xdr:row>59</xdr:row>
      <xdr:rowOff>21751</xdr:rowOff>
    </xdr:to>
    <xdr:sp macro="" textlink="">
      <xdr:nvSpPr>
        <xdr:cNvPr id="246548" name="フリーフォーム: 図形 246547">
          <a:extLst>
            <a:ext uri="{FF2B5EF4-FFF2-40B4-BE49-F238E27FC236}">
              <a16:creationId xmlns:a16="http://schemas.microsoft.com/office/drawing/2014/main" id="{5702735C-08A4-4430-93A3-50E8C8B5E02E}"/>
            </a:ext>
          </a:extLst>
        </xdr:cNvPr>
        <xdr:cNvSpPr>
          <a:spLocks noChangeAspect="1"/>
        </xdr:cNvSpPr>
      </xdr:nvSpPr>
      <xdr:spPr>
        <a:xfrm>
          <a:off x="470519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59</xdr:row>
      <xdr:rowOff>75750</xdr:rowOff>
    </xdr:from>
    <xdr:to>
      <xdr:col>68</xdr:col>
      <xdr:colOff>525600</xdr:colOff>
      <xdr:row>64</xdr:row>
      <xdr:rowOff>136501</xdr:rowOff>
    </xdr:to>
    <xdr:sp macro="" textlink="">
      <xdr:nvSpPr>
        <xdr:cNvPr id="246549" name="フリーフォーム: 図形 246548">
          <a:extLst>
            <a:ext uri="{FF2B5EF4-FFF2-40B4-BE49-F238E27FC236}">
              <a16:creationId xmlns:a16="http://schemas.microsoft.com/office/drawing/2014/main" id="{CC837FCF-33E9-429B-A6F6-81173628C635}"/>
            </a:ext>
          </a:extLst>
        </xdr:cNvPr>
        <xdr:cNvSpPr>
          <a:spLocks noChangeAspect="1"/>
        </xdr:cNvSpPr>
      </xdr:nvSpPr>
      <xdr:spPr>
        <a:xfrm>
          <a:off x="468720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64</xdr:row>
      <xdr:rowOff>64500</xdr:rowOff>
    </xdr:from>
    <xdr:to>
      <xdr:col>67</xdr:col>
      <xdr:colOff>455400</xdr:colOff>
      <xdr:row>65</xdr:row>
      <xdr:rowOff>37051</xdr:rowOff>
    </xdr:to>
    <xdr:sp macro="" textlink="">
      <xdr:nvSpPr>
        <xdr:cNvPr id="246550" name="フリーフォーム: 図形 246549">
          <a:extLst>
            <a:ext uri="{FF2B5EF4-FFF2-40B4-BE49-F238E27FC236}">
              <a16:creationId xmlns:a16="http://schemas.microsoft.com/office/drawing/2014/main" id="{65240BDB-02B7-4680-BBD8-0A4A17780C2A}"/>
            </a:ext>
          </a:extLst>
        </xdr:cNvPr>
        <xdr:cNvSpPr>
          <a:spLocks noChangeAspect="1"/>
        </xdr:cNvSpPr>
      </xdr:nvSpPr>
      <xdr:spPr>
        <a:xfrm>
          <a:off x="459180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64</xdr:row>
      <xdr:rowOff>64500</xdr:rowOff>
    </xdr:from>
    <xdr:to>
      <xdr:col>68</xdr:col>
      <xdr:colOff>273600</xdr:colOff>
      <xdr:row>65</xdr:row>
      <xdr:rowOff>37051</xdr:rowOff>
    </xdr:to>
    <xdr:sp macro="" textlink="">
      <xdr:nvSpPr>
        <xdr:cNvPr id="246551" name="フリーフォーム: 図形 246550">
          <a:extLst>
            <a:ext uri="{FF2B5EF4-FFF2-40B4-BE49-F238E27FC236}">
              <a16:creationId xmlns:a16="http://schemas.microsoft.com/office/drawing/2014/main" id="{73982817-8B7E-4CA6-B544-1896E8794D45}"/>
            </a:ext>
          </a:extLst>
        </xdr:cNvPr>
        <xdr:cNvSpPr>
          <a:spLocks noChangeAspect="1"/>
        </xdr:cNvSpPr>
      </xdr:nvSpPr>
      <xdr:spPr>
        <a:xfrm>
          <a:off x="464399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59</xdr:row>
      <xdr:rowOff>75750</xdr:rowOff>
    </xdr:from>
    <xdr:to>
      <xdr:col>67</xdr:col>
      <xdr:colOff>203403</xdr:colOff>
      <xdr:row>64</xdr:row>
      <xdr:rowOff>136501</xdr:rowOff>
    </xdr:to>
    <xdr:sp macro="" textlink="">
      <xdr:nvSpPr>
        <xdr:cNvPr id="246552" name="フリーフォーム: 図形 246551">
          <a:extLst>
            <a:ext uri="{FF2B5EF4-FFF2-40B4-BE49-F238E27FC236}">
              <a16:creationId xmlns:a16="http://schemas.microsoft.com/office/drawing/2014/main" id="{D1D27309-76E8-4065-BA58-89A7FB737A94}"/>
            </a:ext>
          </a:extLst>
        </xdr:cNvPr>
        <xdr:cNvSpPr>
          <a:spLocks noChangeAspect="1"/>
        </xdr:cNvSpPr>
      </xdr:nvSpPr>
      <xdr:spPr>
        <a:xfrm>
          <a:off x="458640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53</xdr:row>
      <xdr:rowOff>114450</xdr:rowOff>
    </xdr:from>
    <xdr:to>
      <xdr:col>67</xdr:col>
      <xdr:colOff>347400</xdr:colOff>
      <xdr:row>59</xdr:row>
      <xdr:rowOff>21751</xdr:rowOff>
    </xdr:to>
    <xdr:sp macro="" textlink="">
      <xdr:nvSpPr>
        <xdr:cNvPr id="246553" name="フリーフォーム: 図形 246552">
          <a:extLst>
            <a:ext uri="{FF2B5EF4-FFF2-40B4-BE49-F238E27FC236}">
              <a16:creationId xmlns:a16="http://schemas.microsoft.com/office/drawing/2014/main" id="{350244B5-E937-4074-964D-26346E57BB17}"/>
            </a:ext>
          </a:extLst>
        </xdr:cNvPr>
        <xdr:cNvSpPr>
          <a:spLocks noChangeAspect="1"/>
        </xdr:cNvSpPr>
      </xdr:nvSpPr>
      <xdr:spPr>
        <a:xfrm>
          <a:off x="460439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58</xdr:row>
      <xdr:rowOff>139200</xdr:rowOff>
    </xdr:from>
    <xdr:to>
      <xdr:col>67</xdr:col>
      <xdr:colOff>617402</xdr:colOff>
      <xdr:row>59</xdr:row>
      <xdr:rowOff>111751</xdr:rowOff>
    </xdr:to>
    <xdr:sp macro="" textlink="">
      <xdr:nvSpPr>
        <xdr:cNvPr id="246554" name="フリーフォーム: 図形 246553">
          <a:extLst>
            <a:ext uri="{FF2B5EF4-FFF2-40B4-BE49-F238E27FC236}">
              <a16:creationId xmlns:a16="http://schemas.microsoft.com/office/drawing/2014/main" id="{93659C90-1723-4FDF-83CE-CD703369DE74}"/>
            </a:ext>
          </a:extLst>
        </xdr:cNvPr>
        <xdr:cNvSpPr>
          <a:spLocks noChangeAspect="1"/>
        </xdr:cNvSpPr>
      </xdr:nvSpPr>
      <xdr:spPr>
        <a:xfrm>
          <a:off x="461160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58</xdr:row>
      <xdr:rowOff>139200</xdr:rowOff>
    </xdr:from>
    <xdr:to>
      <xdr:col>68</xdr:col>
      <xdr:colOff>435602</xdr:colOff>
      <xdr:row>59</xdr:row>
      <xdr:rowOff>111751</xdr:rowOff>
    </xdr:to>
    <xdr:sp macro="" textlink="">
      <xdr:nvSpPr>
        <xdr:cNvPr id="246555" name="フリーフォーム: 図形 246554">
          <a:extLst>
            <a:ext uri="{FF2B5EF4-FFF2-40B4-BE49-F238E27FC236}">
              <a16:creationId xmlns:a16="http://schemas.microsoft.com/office/drawing/2014/main" id="{F3D93DBB-E95C-40BB-8093-911073BA6493}"/>
            </a:ext>
          </a:extLst>
        </xdr:cNvPr>
        <xdr:cNvSpPr>
          <a:spLocks noChangeAspect="1"/>
        </xdr:cNvSpPr>
      </xdr:nvSpPr>
      <xdr:spPr>
        <a:xfrm>
          <a:off x="466200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54</xdr:row>
      <xdr:rowOff>51000</xdr:rowOff>
    </xdr:from>
    <xdr:to>
      <xdr:col>67</xdr:col>
      <xdr:colOff>635401</xdr:colOff>
      <xdr:row>59</xdr:row>
      <xdr:rowOff>3751</xdr:rowOff>
    </xdr:to>
    <xdr:sp macro="" textlink="">
      <xdr:nvSpPr>
        <xdr:cNvPr id="246556" name="フリーフォーム: 図形 246555">
          <a:extLst>
            <a:ext uri="{FF2B5EF4-FFF2-40B4-BE49-F238E27FC236}">
              <a16:creationId xmlns:a16="http://schemas.microsoft.com/office/drawing/2014/main" id="{F96DB749-6A17-4792-97DD-0540D22CFCD3}"/>
            </a:ext>
          </a:extLst>
        </xdr:cNvPr>
        <xdr:cNvSpPr>
          <a:spLocks noChangeAspect="1"/>
        </xdr:cNvSpPr>
      </xdr:nvSpPr>
      <xdr:spPr>
        <a:xfrm>
          <a:off x="463140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53</xdr:row>
      <xdr:rowOff>114450</xdr:rowOff>
    </xdr:from>
    <xdr:to>
      <xdr:col>68</xdr:col>
      <xdr:colOff>201601</xdr:colOff>
      <xdr:row>58</xdr:row>
      <xdr:rowOff>157201</xdr:rowOff>
    </xdr:to>
    <xdr:sp macro="" textlink="">
      <xdr:nvSpPr>
        <xdr:cNvPr id="246557" name="フリーフォーム: 図形 246556">
          <a:extLst>
            <a:ext uri="{FF2B5EF4-FFF2-40B4-BE49-F238E27FC236}">
              <a16:creationId xmlns:a16="http://schemas.microsoft.com/office/drawing/2014/main" id="{1CA3CA8E-5DC7-48DD-B8CF-3737775F5BF5}"/>
            </a:ext>
          </a:extLst>
        </xdr:cNvPr>
        <xdr:cNvSpPr>
          <a:spLocks noChangeAspect="1"/>
        </xdr:cNvSpPr>
      </xdr:nvSpPr>
      <xdr:spPr>
        <a:xfrm>
          <a:off x="465840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54</xdr:row>
      <xdr:rowOff>69000</xdr:rowOff>
    </xdr:from>
    <xdr:to>
      <xdr:col>68</xdr:col>
      <xdr:colOff>525600</xdr:colOff>
      <xdr:row>59</xdr:row>
      <xdr:rowOff>3751</xdr:rowOff>
    </xdr:to>
    <xdr:sp macro="" textlink="">
      <xdr:nvSpPr>
        <xdr:cNvPr id="246558" name="フリーフォーム: 図形 246557">
          <a:extLst>
            <a:ext uri="{FF2B5EF4-FFF2-40B4-BE49-F238E27FC236}">
              <a16:creationId xmlns:a16="http://schemas.microsoft.com/office/drawing/2014/main" id="{9D123749-4AC8-4100-A40E-8B917F4A85AC}"/>
            </a:ext>
          </a:extLst>
        </xdr:cNvPr>
        <xdr:cNvSpPr>
          <a:spLocks noChangeAspect="1"/>
        </xdr:cNvSpPr>
      </xdr:nvSpPr>
      <xdr:spPr>
        <a:xfrm>
          <a:off x="466380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59</xdr:row>
      <xdr:rowOff>75750</xdr:rowOff>
    </xdr:from>
    <xdr:to>
      <xdr:col>68</xdr:col>
      <xdr:colOff>237602</xdr:colOff>
      <xdr:row>63</xdr:row>
      <xdr:rowOff>163951</xdr:rowOff>
    </xdr:to>
    <xdr:sp macro="" textlink="">
      <xdr:nvSpPr>
        <xdr:cNvPr id="246559" name="フリーフォーム: 図形 246558">
          <a:extLst>
            <a:ext uri="{FF2B5EF4-FFF2-40B4-BE49-F238E27FC236}">
              <a16:creationId xmlns:a16="http://schemas.microsoft.com/office/drawing/2014/main" id="{78D3A368-F8C0-4CC2-A0D5-8199A9F9AF5C}"/>
            </a:ext>
          </a:extLst>
        </xdr:cNvPr>
        <xdr:cNvSpPr>
          <a:spLocks noChangeAspect="1"/>
        </xdr:cNvSpPr>
      </xdr:nvSpPr>
      <xdr:spPr>
        <a:xfrm>
          <a:off x="466019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59</xdr:row>
      <xdr:rowOff>93750</xdr:rowOff>
    </xdr:from>
    <xdr:to>
      <xdr:col>67</xdr:col>
      <xdr:colOff>653400</xdr:colOff>
      <xdr:row>64</xdr:row>
      <xdr:rowOff>118501</xdr:rowOff>
    </xdr:to>
    <xdr:sp macro="" textlink="">
      <xdr:nvSpPr>
        <xdr:cNvPr id="246560" name="フリーフォーム: 図形 246559">
          <a:extLst>
            <a:ext uri="{FF2B5EF4-FFF2-40B4-BE49-F238E27FC236}">
              <a16:creationId xmlns:a16="http://schemas.microsoft.com/office/drawing/2014/main" id="{4C6E09E6-7B56-47F8-B811-86D4779CFCB9}"/>
            </a:ext>
          </a:extLst>
        </xdr:cNvPr>
        <xdr:cNvSpPr>
          <a:spLocks noChangeAspect="1"/>
        </xdr:cNvSpPr>
      </xdr:nvSpPr>
      <xdr:spPr>
        <a:xfrm>
          <a:off x="463680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59</xdr:row>
      <xdr:rowOff>75750</xdr:rowOff>
    </xdr:from>
    <xdr:to>
      <xdr:col>67</xdr:col>
      <xdr:colOff>617402</xdr:colOff>
      <xdr:row>64</xdr:row>
      <xdr:rowOff>10501</xdr:rowOff>
    </xdr:to>
    <xdr:sp macro="" textlink="">
      <xdr:nvSpPr>
        <xdr:cNvPr id="246561" name="フリーフォーム: 図形 246560">
          <a:extLst>
            <a:ext uri="{FF2B5EF4-FFF2-40B4-BE49-F238E27FC236}">
              <a16:creationId xmlns:a16="http://schemas.microsoft.com/office/drawing/2014/main" id="{01E6A556-FEE5-46C6-A088-9095B54CE75E}"/>
            </a:ext>
          </a:extLst>
        </xdr:cNvPr>
        <xdr:cNvSpPr>
          <a:spLocks noChangeAspect="1"/>
        </xdr:cNvSpPr>
      </xdr:nvSpPr>
      <xdr:spPr>
        <a:xfrm>
          <a:off x="460439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53</xdr:row>
      <xdr:rowOff>42450</xdr:rowOff>
    </xdr:from>
    <xdr:to>
      <xdr:col>70</xdr:col>
      <xdr:colOff>550801</xdr:colOff>
      <xdr:row>54</xdr:row>
      <xdr:rowOff>15001</xdr:rowOff>
    </xdr:to>
    <xdr:sp macro="" textlink="">
      <xdr:nvSpPr>
        <xdr:cNvPr id="246562" name="フリーフォーム: 図形 246561">
          <a:extLst>
            <a:ext uri="{FF2B5EF4-FFF2-40B4-BE49-F238E27FC236}">
              <a16:creationId xmlns:a16="http://schemas.microsoft.com/office/drawing/2014/main" id="{B6E59F24-5DBC-4C75-9B78-9FA44492564C}"/>
            </a:ext>
          </a:extLst>
        </xdr:cNvPr>
        <xdr:cNvSpPr>
          <a:spLocks noChangeAspect="1"/>
        </xdr:cNvSpPr>
      </xdr:nvSpPr>
      <xdr:spPr>
        <a:xfrm>
          <a:off x="480888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53</xdr:row>
      <xdr:rowOff>42450</xdr:rowOff>
    </xdr:from>
    <xdr:to>
      <xdr:col>71</xdr:col>
      <xdr:colOff>405000</xdr:colOff>
      <xdr:row>54</xdr:row>
      <xdr:rowOff>15001</xdr:rowOff>
    </xdr:to>
    <xdr:sp macro="" textlink="">
      <xdr:nvSpPr>
        <xdr:cNvPr id="246563" name="フリーフォーム: 図形 246562">
          <a:extLst>
            <a:ext uri="{FF2B5EF4-FFF2-40B4-BE49-F238E27FC236}">
              <a16:creationId xmlns:a16="http://schemas.microsoft.com/office/drawing/2014/main" id="{50F0C272-01AE-4AA9-B75D-A28773BEE43F}"/>
            </a:ext>
          </a:extLst>
        </xdr:cNvPr>
        <xdr:cNvSpPr>
          <a:spLocks noChangeAspect="1"/>
        </xdr:cNvSpPr>
      </xdr:nvSpPr>
      <xdr:spPr>
        <a:xfrm>
          <a:off x="486287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53</xdr:row>
      <xdr:rowOff>114450</xdr:rowOff>
    </xdr:from>
    <xdr:to>
      <xdr:col>71</xdr:col>
      <xdr:colOff>477001</xdr:colOff>
      <xdr:row>59</xdr:row>
      <xdr:rowOff>21751</xdr:rowOff>
    </xdr:to>
    <xdr:sp macro="" textlink="">
      <xdr:nvSpPr>
        <xdr:cNvPr id="246564" name="フリーフォーム: 図形 246563">
          <a:extLst>
            <a:ext uri="{FF2B5EF4-FFF2-40B4-BE49-F238E27FC236}">
              <a16:creationId xmlns:a16="http://schemas.microsoft.com/office/drawing/2014/main" id="{FA85D041-E7CD-4938-B832-EA7B5932AE6C}"/>
            </a:ext>
          </a:extLst>
        </xdr:cNvPr>
        <xdr:cNvSpPr>
          <a:spLocks noChangeAspect="1"/>
        </xdr:cNvSpPr>
      </xdr:nvSpPr>
      <xdr:spPr>
        <a:xfrm>
          <a:off x="488807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59</xdr:row>
      <xdr:rowOff>75750</xdr:rowOff>
    </xdr:from>
    <xdr:to>
      <xdr:col>71</xdr:col>
      <xdr:colOff>297000</xdr:colOff>
      <xdr:row>64</xdr:row>
      <xdr:rowOff>136501</xdr:rowOff>
    </xdr:to>
    <xdr:sp macro="" textlink="">
      <xdr:nvSpPr>
        <xdr:cNvPr id="246565" name="フリーフォーム: 図形 246564">
          <a:extLst>
            <a:ext uri="{FF2B5EF4-FFF2-40B4-BE49-F238E27FC236}">
              <a16:creationId xmlns:a16="http://schemas.microsoft.com/office/drawing/2014/main" id="{F1D7409C-83D0-458A-911F-54EEAD94F513}"/>
            </a:ext>
          </a:extLst>
        </xdr:cNvPr>
        <xdr:cNvSpPr>
          <a:spLocks noChangeAspect="1"/>
        </xdr:cNvSpPr>
      </xdr:nvSpPr>
      <xdr:spPr>
        <a:xfrm>
          <a:off x="487008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64</xdr:row>
      <xdr:rowOff>64500</xdr:rowOff>
    </xdr:from>
    <xdr:to>
      <xdr:col>70</xdr:col>
      <xdr:colOff>226800</xdr:colOff>
      <xdr:row>65</xdr:row>
      <xdr:rowOff>37051</xdr:rowOff>
    </xdr:to>
    <xdr:sp macro="" textlink="">
      <xdr:nvSpPr>
        <xdr:cNvPr id="246566" name="フリーフォーム: 図形 246565">
          <a:extLst>
            <a:ext uri="{FF2B5EF4-FFF2-40B4-BE49-F238E27FC236}">
              <a16:creationId xmlns:a16="http://schemas.microsoft.com/office/drawing/2014/main" id="{9EACB756-2CE5-4180-AF93-C82CF6AFD521}"/>
            </a:ext>
          </a:extLst>
        </xdr:cNvPr>
        <xdr:cNvSpPr>
          <a:spLocks noChangeAspect="1"/>
        </xdr:cNvSpPr>
      </xdr:nvSpPr>
      <xdr:spPr>
        <a:xfrm>
          <a:off x="477468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64</xdr:row>
      <xdr:rowOff>64500</xdr:rowOff>
    </xdr:from>
    <xdr:to>
      <xdr:col>71</xdr:col>
      <xdr:colOff>45000</xdr:colOff>
      <xdr:row>65</xdr:row>
      <xdr:rowOff>37051</xdr:rowOff>
    </xdr:to>
    <xdr:sp macro="" textlink="">
      <xdr:nvSpPr>
        <xdr:cNvPr id="246567" name="フリーフォーム: 図形 246566">
          <a:extLst>
            <a:ext uri="{FF2B5EF4-FFF2-40B4-BE49-F238E27FC236}">
              <a16:creationId xmlns:a16="http://schemas.microsoft.com/office/drawing/2014/main" id="{77936C4A-6044-4421-97E6-7206696D1B6A}"/>
            </a:ext>
          </a:extLst>
        </xdr:cNvPr>
        <xdr:cNvSpPr>
          <a:spLocks noChangeAspect="1"/>
        </xdr:cNvSpPr>
      </xdr:nvSpPr>
      <xdr:spPr>
        <a:xfrm>
          <a:off x="482687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59</xdr:row>
      <xdr:rowOff>75750</xdr:rowOff>
    </xdr:from>
    <xdr:to>
      <xdr:col>69</xdr:col>
      <xdr:colOff>660603</xdr:colOff>
      <xdr:row>64</xdr:row>
      <xdr:rowOff>136501</xdr:rowOff>
    </xdr:to>
    <xdr:sp macro="" textlink="">
      <xdr:nvSpPr>
        <xdr:cNvPr id="246568" name="フリーフォーム: 図形 246567">
          <a:extLst>
            <a:ext uri="{FF2B5EF4-FFF2-40B4-BE49-F238E27FC236}">
              <a16:creationId xmlns:a16="http://schemas.microsoft.com/office/drawing/2014/main" id="{B4FBE0C0-11C1-4C79-8B9D-8D2CFD7A95C4}"/>
            </a:ext>
          </a:extLst>
        </xdr:cNvPr>
        <xdr:cNvSpPr>
          <a:spLocks noChangeAspect="1"/>
        </xdr:cNvSpPr>
      </xdr:nvSpPr>
      <xdr:spPr>
        <a:xfrm>
          <a:off x="476928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53</xdr:row>
      <xdr:rowOff>114450</xdr:rowOff>
    </xdr:from>
    <xdr:to>
      <xdr:col>70</xdr:col>
      <xdr:colOff>118800</xdr:colOff>
      <xdr:row>59</xdr:row>
      <xdr:rowOff>21751</xdr:rowOff>
    </xdr:to>
    <xdr:sp macro="" textlink="">
      <xdr:nvSpPr>
        <xdr:cNvPr id="246569" name="フリーフォーム: 図形 246568">
          <a:extLst>
            <a:ext uri="{FF2B5EF4-FFF2-40B4-BE49-F238E27FC236}">
              <a16:creationId xmlns:a16="http://schemas.microsoft.com/office/drawing/2014/main" id="{1AD17213-C87E-4A6A-93BF-44ACC3CE9751}"/>
            </a:ext>
          </a:extLst>
        </xdr:cNvPr>
        <xdr:cNvSpPr>
          <a:spLocks noChangeAspect="1"/>
        </xdr:cNvSpPr>
      </xdr:nvSpPr>
      <xdr:spPr>
        <a:xfrm>
          <a:off x="478727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58</xdr:row>
      <xdr:rowOff>139200</xdr:rowOff>
    </xdr:from>
    <xdr:to>
      <xdr:col>70</xdr:col>
      <xdr:colOff>388802</xdr:colOff>
      <xdr:row>59</xdr:row>
      <xdr:rowOff>111751</xdr:rowOff>
    </xdr:to>
    <xdr:sp macro="" textlink="">
      <xdr:nvSpPr>
        <xdr:cNvPr id="246570" name="フリーフォーム: 図形 246569">
          <a:extLst>
            <a:ext uri="{FF2B5EF4-FFF2-40B4-BE49-F238E27FC236}">
              <a16:creationId xmlns:a16="http://schemas.microsoft.com/office/drawing/2014/main" id="{BA7A13AB-E3A0-422F-84F7-1B8419DB78AD}"/>
            </a:ext>
          </a:extLst>
        </xdr:cNvPr>
        <xdr:cNvSpPr>
          <a:spLocks noChangeAspect="1"/>
        </xdr:cNvSpPr>
      </xdr:nvSpPr>
      <xdr:spPr>
        <a:xfrm>
          <a:off x="479448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58</xdr:row>
      <xdr:rowOff>139200</xdr:rowOff>
    </xdr:from>
    <xdr:to>
      <xdr:col>71</xdr:col>
      <xdr:colOff>207002</xdr:colOff>
      <xdr:row>59</xdr:row>
      <xdr:rowOff>111751</xdr:rowOff>
    </xdr:to>
    <xdr:sp macro="" textlink="">
      <xdr:nvSpPr>
        <xdr:cNvPr id="246571" name="フリーフォーム: 図形 246570">
          <a:extLst>
            <a:ext uri="{FF2B5EF4-FFF2-40B4-BE49-F238E27FC236}">
              <a16:creationId xmlns:a16="http://schemas.microsoft.com/office/drawing/2014/main" id="{E49453FC-831B-40A3-B1EC-6809ABBDD819}"/>
            </a:ext>
          </a:extLst>
        </xdr:cNvPr>
        <xdr:cNvSpPr>
          <a:spLocks noChangeAspect="1"/>
        </xdr:cNvSpPr>
      </xdr:nvSpPr>
      <xdr:spPr>
        <a:xfrm>
          <a:off x="484488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54</xdr:row>
      <xdr:rowOff>51000</xdr:rowOff>
    </xdr:from>
    <xdr:to>
      <xdr:col>70</xdr:col>
      <xdr:colOff>406801</xdr:colOff>
      <xdr:row>59</xdr:row>
      <xdr:rowOff>3751</xdr:rowOff>
    </xdr:to>
    <xdr:sp macro="" textlink="">
      <xdr:nvSpPr>
        <xdr:cNvPr id="246572" name="フリーフォーム: 図形 246571">
          <a:extLst>
            <a:ext uri="{FF2B5EF4-FFF2-40B4-BE49-F238E27FC236}">
              <a16:creationId xmlns:a16="http://schemas.microsoft.com/office/drawing/2014/main" id="{11A3E01F-96E7-4B26-9691-49ABB9AAF101}"/>
            </a:ext>
          </a:extLst>
        </xdr:cNvPr>
        <xdr:cNvSpPr>
          <a:spLocks noChangeAspect="1"/>
        </xdr:cNvSpPr>
      </xdr:nvSpPr>
      <xdr:spPr>
        <a:xfrm>
          <a:off x="481428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53</xdr:row>
      <xdr:rowOff>114450</xdr:rowOff>
    </xdr:from>
    <xdr:to>
      <xdr:col>70</xdr:col>
      <xdr:colOff>658801</xdr:colOff>
      <xdr:row>58</xdr:row>
      <xdr:rowOff>157201</xdr:rowOff>
    </xdr:to>
    <xdr:sp macro="" textlink="">
      <xdr:nvSpPr>
        <xdr:cNvPr id="246573" name="フリーフォーム: 図形 246572">
          <a:extLst>
            <a:ext uri="{FF2B5EF4-FFF2-40B4-BE49-F238E27FC236}">
              <a16:creationId xmlns:a16="http://schemas.microsoft.com/office/drawing/2014/main" id="{C63972F4-A557-4DB3-90DB-5E36375B3CD2}"/>
            </a:ext>
          </a:extLst>
        </xdr:cNvPr>
        <xdr:cNvSpPr>
          <a:spLocks noChangeAspect="1"/>
        </xdr:cNvSpPr>
      </xdr:nvSpPr>
      <xdr:spPr>
        <a:xfrm>
          <a:off x="484128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54</xdr:row>
      <xdr:rowOff>69000</xdr:rowOff>
    </xdr:from>
    <xdr:to>
      <xdr:col>71</xdr:col>
      <xdr:colOff>297000</xdr:colOff>
      <xdr:row>59</xdr:row>
      <xdr:rowOff>3751</xdr:rowOff>
    </xdr:to>
    <xdr:sp macro="" textlink="">
      <xdr:nvSpPr>
        <xdr:cNvPr id="246574" name="フリーフォーム: 図形 246573">
          <a:extLst>
            <a:ext uri="{FF2B5EF4-FFF2-40B4-BE49-F238E27FC236}">
              <a16:creationId xmlns:a16="http://schemas.microsoft.com/office/drawing/2014/main" id="{CADEB88D-AC86-4EE7-B186-CBBA22204F47}"/>
            </a:ext>
          </a:extLst>
        </xdr:cNvPr>
        <xdr:cNvSpPr>
          <a:spLocks noChangeAspect="1"/>
        </xdr:cNvSpPr>
      </xdr:nvSpPr>
      <xdr:spPr>
        <a:xfrm>
          <a:off x="484668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59</xdr:row>
      <xdr:rowOff>75750</xdr:rowOff>
    </xdr:from>
    <xdr:to>
      <xdr:col>71</xdr:col>
      <xdr:colOff>9002</xdr:colOff>
      <xdr:row>63</xdr:row>
      <xdr:rowOff>163951</xdr:rowOff>
    </xdr:to>
    <xdr:sp macro="" textlink="">
      <xdr:nvSpPr>
        <xdr:cNvPr id="246575" name="フリーフォーム: 図形 246574">
          <a:extLst>
            <a:ext uri="{FF2B5EF4-FFF2-40B4-BE49-F238E27FC236}">
              <a16:creationId xmlns:a16="http://schemas.microsoft.com/office/drawing/2014/main" id="{7B0B1279-7AF5-41B3-B2AB-0D1E16776972}"/>
            </a:ext>
          </a:extLst>
        </xdr:cNvPr>
        <xdr:cNvSpPr>
          <a:spLocks noChangeAspect="1"/>
        </xdr:cNvSpPr>
      </xdr:nvSpPr>
      <xdr:spPr>
        <a:xfrm>
          <a:off x="484307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59</xdr:row>
      <xdr:rowOff>93750</xdr:rowOff>
    </xdr:from>
    <xdr:to>
      <xdr:col>70</xdr:col>
      <xdr:colOff>424800</xdr:colOff>
      <xdr:row>64</xdr:row>
      <xdr:rowOff>118501</xdr:rowOff>
    </xdr:to>
    <xdr:sp macro="" textlink="">
      <xdr:nvSpPr>
        <xdr:cNvPr id="246576" name="フリーフォーム: 図形 246575">
          <a:extLst>
            <a:ext uri="{FF2B5EF4-FFF2-40B4-BE49-F238E27FC236}">
              <a16:creationId xmlns:a16="http://schemas.microsoft.com/office/drawing/2014/main" id="{5ECDC394-5F33-408D-862D-6BBAFD49B3A0}"/>
            </a:ext>
          </a:extLst>
        </xdr:cNvPr>
        <xdr:cNvSpPr>
          <a:spLocks noChangeAspect="1"/>
        </xdr:cNvSpPr>
      </xdr:nvSpPr>
      <xdr:spPr>
        <a:xfrm>
          <a:off x="481968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59</xdr:row>
      <xdr:rowOff>75750</xdr:rowOff>
    </xdr:from>
    <xdr:to>
      <xdr:col>70</xdr:col>
      <xdr:colOff>388802</xdr:colOff>
      <xdr:row>64</xdr:row>
      <xdr:rowOff>10501</xdr:rowOff>
    </xdr:to>
    <xdr:sp macro="" textlink="">
      <xdr:nvSpPr>
        <xdr:cNvPr id="246577" name="フリーフォーム: 図形 246576">
          <a:extLst>
            <a:ext uri="{FF2B5EF4-FFF2-40B4-BE49-F238E27FC236}">
              <a16:creationId xmlns:a16="http://schemas.microsoft.com/office/drawing/2014/main" id="{B593ACDD-F1D0-41CC-A2E2-640C01E4D465}"/>
            </a:ext>
          </a:extLst>
        </xdr:cNvPr>
        <xdr:cNvSpPr>
          <a:spLocks noChangeAspect="1"/>
        </xdr:cNvSpPr>
      </xdr:nvSpPr>
      <xdr:spPr>
        <a:xfrm>
          <a:off x="478727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53</xdr:row>
      <xdr:rowOff>42450</xdr:rowOff>
    </xdr:from>
    <xdr:to>
      <xdr:col>73</xdr:col>
      <xdr:colOff>322201</xdr:colOff>
      <xdr:row>54</xdr:row>
      <xdr:rowOff>15001</xdr:rowOff>
    </xdr:to>
    <xdr:sp macro="" textlink="">
      <xdr:nvSpPr>
        <xdr:cNvPr id="246578" name="フリーフォーム: 図形 246577">
          <a:extLst>
            <a:ext uri="{FF2B5EF4-FFF2-40B4-BE49-F238E27FC236}">
              <a16:creationId xmlns:a16="http://schemas.microsoft.com/office/drawing/2014/main" id="{2776C002-9D51-41D3-AEAA-E7396AC8FD17}"/>
            </a:ext>
          </a:extLst>
        </xdr:cNvPr>
        <xdr:cNvSpPr>
          <a:spLocks noChangeAspect="1"/>
        </xdr:cNvSpPr>
      </xdr:nvSpPr>
      <xdr:spPr>
        <a:xfrm>
          <a:off x="49917601" y="93960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53</xdr:row>
      <xdr:rowOff>42450</xdr:rowOff>
    </xdr:from>
    <xdr:to>
      <xdr:col>74</xdr:col>
      <xdr:colOff>176400</xdr:colOff>
      <xdr:row>54</xdr:row>
      <xdr:rowOff>15001</xdr:rowOff>
    </xdr:to>
    <xdr:sp macro="" textlink="">
      <xdr:nvSpPr>
        <xdr:cNvPr id="246579" name="フリーフォーム: 図形 246578">
          <a:extLst>
            <a:ext uri="{FF2B5EF4-FFF2-40B4-BE49-F238E27FC236}">
              <a16:creationId xmlns:a16="http://schemas.microsoft.com/office/drawing/2014/main" id="{5E558C70-A7A1-4B7E-8DED-8ED3A6DA0B7F}"/>
            </a:ext>
          </a:extLst>
        </xdr:cNvPr>
        <xdr:cNvSpPr>
          <a:spLocks noChangeAspect="1"/>
        </xdr:cNvSpPr>
      </xdr:nvSpPr>
      <xdr:spPr>
        <a:xfrm>
          <a:off x="50457599" y="93960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53</xdr:row>
      <xdr:rowOff>114450</xdr:rowOff>
    </xdr:from>
    <xdr:to>
      <xdr:col>74</xdr:col>
      <xdr:colOff>248401</xdr:colOff>
      <xdr:row>59</xdr:row>
      <xdr:rowOff>21751</xdr:rowOff>
    </xdr:to>
    <xdr:sp macro="" textlink="">
      <xdr:nvSpPr>
        <xdr:cNvPr id="246580" name="フリーフォーム: 図形 246579">
          <a:extLst>
            <a:ext uri="{FF2B5EF4-FFF2-40B4-BE49-F238E27FC236}">
              <a16:creationId xmlns:a16="http://schemas.microsoft.com/office/drawing/2014/main" id="{1589089D-E13E-4935-9326-29EE95CBBD4E}"/>
            </a:ext>
          </a:extLst>
        </xdr:cNvPr>
        <xdr:cNvSpPr>
          <a:spLocks noChangeAspect="1"/>
        </xdr:cNvSpPr>
      </xdr:nvSpPr>
      <xdr:spPr>
        <a:xfrm>
          <a:off x="50709599" y="9468000"/>
          <a:ext cx="288002" cy="936001"/>
        </a:xfrm>
        <a:custGeom>
          <a:avLst/>
          <a:gdLst/>
          <a:ahLst/>
          <a:cxnLst/>
          <a:rect l="0" t="0" r="0" b="0"/>
          <a:pathLst>
            <a:path w="288002" h="936001">
              <a:moveTo>
                <a:pt x="144001" y="108000"/>
              </a:moveTo>
              <a:lnTo>
                <a:pt x="252000" y="0"/>
              </a:lnTo>
              <a:lnTo>
                <a:pt x="288001" y="72000"/>
              </a:lnTo>
              <a:lnTo>
                <a:pt x="144001"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59</xdr:row>
      <xdr:rowOff>75750</xdr:rowOff>
    </xdr:from>
    <xdr:to>
      <xdr:col>74</xdr:col>
      <xdr:colOff>68400</xdr:colOff>
      <xdr:row>64</xdr:row>
      <xdr:rowOff>136501</xdr:rowOff>
    </xdr:to>
    <xdr:sp macro="" textlink="">
      <xdr:nvSpPr>
        <xdr:cNvPr id="246581" name="フリーフォーム: 図形 246580">
          <a:extLst>
            <a:ext uri="{FF2B5EF4-FFF2-40B4-BE49-F238E27FC236}">
              <a16:creationId xmlns:a16="http://schemas.microsoft.com/office/drawing/2014/main" id="{02EB0A32-F48B-474E-98A1-2D07338D4041}"/>
            </a:ext>
          </a:extLst>
        </xdr:cNvPr>
        <xdr:cNvSpPr>
          <a:spLocks noChangeAspect="1"/>
        </xdr:cNvSpPr>
      </xdr:nvSpPr>
      <xdr:spPr>
        <a:xfrm>
          <a:off x="50529601" y="10458000"/>
          <a:ext cx="287999" cy="918001"/>
        </a:xfrm>
        <a:custGeom>
          <a:avLst/>
          <a:gdLst/>
          <a:ahLst/>
          <a:cxnLst/>
          <a:rect l="0" t="0" r="0" b="0"/>
          <a:pathLst>
            <a:path w="287999" h="918001">
              <a:moveTo>
                <a:pt x="144001" y="72000"/>
              </a:moveTo>
              <a:lnTo>
                <a:pt x="215999" y="0"/>
              </a:lnTo>
              <a:lnTo>
                <a:pt x="287998" y="54000"/>
              </a:lnTo>
              <a:lnTo>
                <a:pt x="144001" y="846000"/>
              </a:lnTo>
              <a:lnTo>
                <a:pt x="71999"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64</xdr:row>
      <xdr:rowOff>64500</xdr:rowOff>
    </xdr:from>
    <xdr:to>
      <xdr:col>72</xdr:col>
      <xdr:colOff>684000</xdr:colOff>
      <xdr:row>65</xdr:row>
      <xdr:rowOff>37051</xdr:rowOff>
    </xdr:to>
    <xdr:sp macro="" textlink="">
      <xdr:nvSpPr>
        <xdr:cNvPr id="246582" name="フリーフォーム: 図形 246581">
          <a:extLst>
            <a:ext uri="{FF2B5EF4-FFF2-40B4-BE49-F238E27FC236}">
              <a16:creationId xmlns:a16="http://schemas.microsoft.com/office/drawing/2014/main" id="{91795E38-9441-4416-A7F3-DEC62D06EDF6}"/>
            </a:ext>
          </a:extLst>
        </xdr:cNvPr>
        <xdr:cNvSpPr>
          <a:spLocks noChangeAspect="1"/>
        </xdr:cNvSpPr>
      </xdr:nvSpPr>
      <xdr:spPr>
        <a:xfrm>
          <a:off x="495756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64</xdr:row>
      <xdr:rowOff>64500</xdr:rowOff>
    </xdr:from>
    <xdr:to>
      <xdr:col>73</xdr:col>
      <xdr:colOff>502200</xdr:colOff>
      <xdr:row>65</xdr:row>
      <xdr:rowOff>37051</xdr:rowOff>
    </xdr:to>
    <xdr:sp macro="" textlink="">
      <xdr:nvSpPr>
        <xdr:cNvPr id="246583" name="フリーフォーム: 図形 246582">
          <a:extLst>
            <a:ext uri="{FF2B5EF4-FFF2-40B4-BE49-F238E27FC236}">
              <a16:creationId xmlns:a16="http://schemas.microsoft.com/office/drawing/2014/main" id="{8900886E-25B2-4EF6-B698-DB80168EA31A}"/>
            </a:ext>
          </a:extLst>
        </xdr:cNvPr>
        <xdr:cNvSpPr>
          <a:spLocks noChangeAspect="1"/>
        </xdr:cNvSpPr>
      </xdr:nvSpPr>
      <xdr:spPr>
        <a:xfrm>
          <a:off x="50097599" y="113040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59</xdr:row>
      <xdr:rowOff>75750</xdr:rowOff>
    </xdr:from>
    <xdr:to>
      <xdr:col>72</xdr:col>
      <xdr:colOff>432003</xdr:colOff>
      <xdr:row>64</xdr:row>
      <xdr:rowOff>136501</xdr:rowOff>
    </xdr:to>
    <xdr:sp macro="" textlink="">
      <xdr:nvSpPr>
        <xdr:cNvPr id="246584" name="フリーフォーム: 図形 246583">
          <a:extLst>
            <a:ext uri="{FF2B5EF4-FFF2-40B4-BE49-F238E27FC236}">
              <a16:creationId xmlns:a16="http://schemas.microsoft.com/office/drawing/2014/main" id="{54D24C29-B143-4C4D-80F2-D7528EC0EB4D}"/>
            </a:ext>
          </a:extLst>
        </xdr:cNvPr>
        <xdr:cNvSpPr>
          <a:spLocks noChangeAspect="1"/>
        </xdr:cNvSpPr>
      </xdr:nvSpPr>
      <xdr:spPr>
        <a:xfrm>
          <a:off x="495216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53</xdr:row>
      <xdr:rowOff>114450</xdr:rowOff>
    </xdr:from>
    <xdr:to>
      <xdr:col>72</xdr:col>
      <xdr:colOff>576000</xdr:colOff>
      <xdr:row>59</xdr:row>
      <xdr:rowOff>21751</xdr:rowOff>
    </xdr:to>
    <xdr:sp macro="" textlink="">
      <xdr:nvSpPr>
        <xdr:cNvPr id="246585" name="フリーフォーム: 図形 246584">
          <a:extLst>
            <a:ext uri="{FF2B5EF4-FFF2-40B4-BE49-F238E27FC236}">
              <a16:creationId xmlns:a16="http://schemas.microsoft.com/office/drawing/2014/main" id="{A075C58C-7740-4D3F-9695-93E085ED8A52}"/>
            </a:ext>
          </a:extLst>
        </xdr:cNvPr>
        <xdr:cNvSpPr>
          <a:spLocks noChangeAspect="1"/>
        </xdr:cNvSpPr>
      </xdr:nvSpPr>
      <xdr:spPr>
        <a:xfrm>
          <a:off x="497015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58</xdr:row>
      <xdr:rowOff>139200</xdr:rowOff>
    </xdr:from>
    <xdr:to>
      <xdr:col>73</xdr:col>
      <xdr:colOff>160202</xdr:colOff>
      <xdr:row>59</xdr:row>
      <xdr:rowOff>111751</xdr:rowOff>
    </xdr:to>
    <xdr:sp macro="" textlink="">
      <xdr:nvSpPr>
        <xdr:cNvPr id="246586" name="フリーフォーム: 図形 246585">
          <a:extLst>
            <a:ext uri="{FF2B5EF4-FFF2-40B4-BE49-F238E27FC236}">
              <a16:creationId xmlns:a16="http://schemas.microsoft.com/office/drawing/2014/main" id="{98E9D17B-13C0-4A7F-99A0-AF541DB3910A}"/>
            </a:ext>
          </a:extLst>
        </xdr:cNvPr>
        <xdr:cNvSpPr>
          <a:spLocks noChangeAspect="1"/>
        </xdr:cNvSpPr>
      </xdr:nvSpPr>
      <xdr:spPr>
        <a:xfrm>
          <a:off x="497736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58</xdr:row>
      <xdr:rowOff>139200</xdr:rowOff>
    </xdr:from>
    <xdr:to>
      <xdr:col>73</xdr:col>
      <xdr:colOff>664202</xdr:colOff>
      <xdr:row>59</xdr:row>
      <xdr:rowOff>111751</xdr:rowOff>
    </xdr:to>
    <xdr:sp macro="" textlink="">
      <xdr:nvSpPr>
        <xdr:cNvPr id="246587" name="フリーフォーム: 図形 246586">
          <a:extLst>
            <a:ext uri="{FF2B5EF4-FFF2-40B4-BE49-F238E27FC236}">
              <a16:creationId xmlns:a16="http://schemas.microsoft.com/office/drawing/2014/main" id="{D809202A-72B2-4753-8D21-91098477A196}"/>
            </a:ext>
          </a:extLst>
        </xdr:cNvPr>
        <xdr:cNvSpPr>
          <a:spLocks noChangeAspect="1"/>
        </xdr:cNvSpPr>
      </xdr:nvSpPr>
      <xdr:spPr>
        <a:xfrm>
          <a:off x="50277601" y="10350000"/>
          <a:ext cx="450001" cy="144001"/>
        </a:xfrm>
        <a:custGeom>
          <a:avLst/>
          <a:gdLst/>
          <a:ahLst/>
          <a:cxnLst/>
          <a:rect l="0" t="0" r="0" b="0"/>
          <a:pathLst>
            <a:path w="450001" h="144001">
              <a:moveTo>
                <a:pt x="144000" y="0"/>
              </a:moveTo>
              <a:lnTo>
                <a:pt x="396001" y="0"/>
              </a:lnTo>
              <a:lnTo>
                <a:pt x="450000" y="72000"/>
              </a:lnTo>
              <a:lnTo>
                <a:pt x="360000"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54</xdr:row>
      <xdr:rowOff>51000</xdr:rowOff>
    </xdr:from>
    <xdr:to>
      <xdr:col>73</xdr:col>
      <xdr:colOff>178201</xdr:colOff>
      <xdr:row>59</xdr:row>
      <xdr:rowOff>3751</xdr:rowOff>
    </xdr:to>
    <xdr:sp macro="" textlink="">
      <xdr:nvSpPr>
        <xdr:cNvPr id="246588" name="フリーフォーム: 図形 246587">
          <a:extLst>
            <a:ext uri="{FF2B5EF4-FFF2-40B4-BE49-F238E27FC236}">
              <a16:creationId xmlns:a16="http://schemas.microsoft.com/office/drawing/2014/main" id="{03546AC9-089A-47DF-A944-AEA3DE07960A}"/>
            </a:ext>
          </a:extLst>
        </xdr:cNvPr>
        <xdr:cNvSpPr>
          <a:spLocks noChangeAspect="1"/>
        </xdr:cNvSpPr>
      </xdr:nvSpPr>
      <xdr:spPr>
        <a:xfrm>
          <a:off x="49971601" y="95760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53</xdr:row>
      <xdr:rowOff>114450</xdr:rowOff>
    </xdr:from>
    <xdr:to>
      <xdr:col>73</xdr:col>
      <xdr:colOff>430201</xdr:colOff>
      <xdr:row>58</xdr:row>
      <xdr:rowOff>157201</xdr:rowOff>
    </xdr:to>
    <xdr:sp macro="" textlink="">
      <xdr:nvSpPr>
        <xdr:cNvPr id="246589" name="フリーフォーム: 図形 246588">
          <a:extLst>
            <a:ext uri="{FF2B5EF4-FFF2-40B4-BE49-F238E27FC236}">
              <a16:creationId xmlns:a16="http://schemas.microsoft.com/office/drawing/2014/main" id="{86BDDD90-B3F0-4F38-B1E2-E4F80025316E}"/>
            </a:ext>
          </a:extLst>
        </xdr:cNvPr>
        <xdr:cNvSpPr>
          <a:spLocks noChangeAspect="1"/>
        </xdr:cNvSpPr>
      </xdr:nvSpPr>
      <xdr:spPr>
        <a:xfrm>
          <a:off x="50241600" y="94680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54</xdr:row>
      <xdr:rowOff>69000</xdr:rowOff>
    </xdr:from>
    <xdr:to>
      <xdr:col>74</xdr:col>
      <xdr:colOff>68400</xdr:colOff>
      <xdr:row>59</xdr:row>
      <xdr:rowOff>3751</xdr:rowOff>
    </xdr:to>
    <xdr:sp macro="" textlink="">
      <xdr:nvSpPr>
        <xdr:cNvPr id="246590" name="フリーフォーム: 図形 246589">
          <a:extLst>
            <a:ext uri="{FF2B5EF4-FFF2-40B4-BE49-F238E27FC236}">
              <a16:creationId xmlns:a16="http://schemas.microsoft.com/office/drawing/2014/main" id="{1E6FA2D4-1D97-483F-A21C-A45D35F4A40C}"/>
            </a:ext>
          </a:extLst>
        </xdr:cNvPr>
        <xdr:cNvSpPr>
          <a:spLocks noChangeAspect="1"/>
        </xdr:cNvSpPr>
      </xdr:nvSpPr>
      <xdr:spPr>
        <a:xfrm>
          <a:off x="50295600" y="95940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59</xdr:row>
      <xdr:rowOff>75750</xdr:rowOff>
    </xdr:from>
    <xdr:to>
      <xdr:col>73</xdr:col>
      <xdr:colOff>466202</xdr:colOff>
      <xdr:row>63</xdr:row>
      <xdr:rowOff>163951</xdr:rowOff>
    </xdr:to>
    <xdr:sp macro="" textlink="">
      <xdr:nvSpPr>
        <xdr:cNvPr id="246591" name="フリーフォーム: 図形 246590">
          <a:extLst>
            <a:ext uri="{FF2B5EF4-FFF2-40B4-BE49-F238E27FC236}">
              <a16:creationId xmlns:a16="http://schemas.microsoft.com/office/drawing/2014/main" id="{3145EA85-7356-4DCD-A5FC-608C07D2D272}"/>
            </a:ext>
          </a:extLst>
        </xdr:cNvPr>
        <xdr:cNvSpPr>
          <a:spLocks noChangeAspect="1"/>
        </xdr:cNvSpPr>
      </xdr:nvSpPr>
      <xdr:spPr>
        <a:xfrm>
          <a:off x="50259599" y="10458000"/>
          <a:ext cx="270003" cy="774001"/>
        </a:xfrm>
        <a:custGeom>
          <a:avLst/>
          <a:gdLst/>
          <a:ahLst/>
          <a:cxnLst/>
          <a:rect l="0" t="0" r="0" b="0"/>
          <a:pathLst>
            <a:path w="270003" h="774001">
              <a:moveTo>
                <a:pt x="54000" y="342000"/>
              </a:moveTo>
              <a:lnTo>
                <a:pt x="0" y="0"/>
              </a:lnTo>
              <a:lnTo>
                <a:pt x="90001" y="72000"/>
              </a:lnTo>
              <a:lnTo>
                <a:pt x="270002" y="630000"/>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59</xdr:row>
      <xdr:rowOff>93750</xdr:rowOff>
    </xdr:from>
    <xdr:to>
      <xdr:col>73</xdr:col>
      <xdr:colOff>196200</xdr:colOff>
      <xdr:row>64</xdr:row>
      <xdr:rowOff>118501</xdr:rowOff>
    </xdr:to>
    <xdr:sp macro="" textlink="">
      <xdr:nvSpPr>
        <xdr:cNvPr id="246592" name="フリーフォーム: 図形 246591">
          <a:extLst>
            <a:ext uri="{FF2B5EF4-FFF2-40B4-BE49-F238E27FC236}">
              <a16:creationId xmlns:a16="http://schemas.microsoft.com/office/drawing/2014/main" id="{9217F5A3-76DA-4F20-8E4E-6379F6E13150}"/>
            </a:ext>
          </a:extLst>
        </xdr:cNvPr>
        <xdr:cNvSpPr>
          <a:spLocks noChangeAspect="1"/>
        </xdr:cNvSpPr>
      </xdr:nvSpPr>
      <xdr:spPr>
        <a:xfrm>
          <a:off x="50025601" y="10476000"/>
          <a:ext cx="233999" cy="882001"/>
        </a:xfrm>
        <a:custGeom>
          <a:avLst/>
          <a:gdLst/>
          <a:ahLst/>
          <a:cxnLst/>
          <a:rect l="0" t="0" r="0" b="0"/>
          <a:pathLst>
            <a:path w="233999" h="882001">
              <a:moveTo>
                <a:pt x="107999" y="216000"/>
              </a:moveTo>
              <a:lnTo>
                <a:pt x="215999"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59</xdr:row>
      <xdr:rowOff>75750</xdr:rowOff>
    </xdr:from>
    <xdr:to>
      <xdr:col>73</xdr:col>
      <xdr:colOff>160202</xdr:colOff>
      <xdr:row>64</xdr:row>
      <xdr:rowOff>10501</xdr:rowOff>
    </xdr:to>
    <xdr:sp macro="" textlink="">
      <xdr:nvSpPr>
        <xdr:cNvPr id="246593" name="フリーフォーム: 図形 246592">
          <a:extLst>
            <a:ext uri="{FF2B5EF4-FFF2-40B4-BE49-F238E27FC236}">
              <a16:creationId xmlns:a16="http://schemas.microsoft.com/office/drawing/2014/main" id="{0B638A9D-C851-481C-AE33-BD7ABF8ED753}"/>
            </a:ext>
          </a:extLst>
        </xdr:cNvPr>
        <xdr:cNvSpPr>
          <a:spLocks noChangeAspect="1"/>
        </xdr:cNvSpPr>
      </xdr:nvSpPr>
      <xdr:spPr>
        <a:xfrm>
          <a:off x="497015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53</xdr:row>
      <xdr:rowOff>42450</xdr:rowOff>
    </xdr:from>
    <xdr:to>
      <xdr:col>76</xdr:col>
      <xdr:colOff>93601</xdr:colOff>
      <xdr:row>54</xdr:row>
      <xdr:rowOff>15001</xdr:rowOff>
    </xdr:to>
    <xdr:sp macro="" textlink="">
      <xdr:nvSpPr>
        <xdr:cNvPr id="246594" name="フリーフォーム: 図形 246593">
          <a:extLst>
            <a:ext uri="{FF2B5EF4-FFF2-40B4-BE49-F238E27FC236}">
              <a16:creationId xmlns:a16="http://schemas.microsoft.com/office/drawing/2014/main" id="{E368CCC8-8770-4141-A40E-4BFDEC3F63A6}"/>
            </a:ext>
          </a:extLst>
        </xdr:cNvPr>
        <xdr:cNvSpPr>
          <a:spLocks noChangeAspect="1"/>
        </xdr:cNvSpPr>
      </xdr:nvSpPr>
      <xdr:spPr>
        <a:xfrm>
          <a:off x="51746401" y="9396000"/>
          <a:ext cx="468000" cy="144001"/>
        </a:xfrm>
        <a:custGeom>
          <a:avLst/>
          <a:gdLst/>
          <a:ahLst/>
          <a:cxnLst/>
          <a:rect l="0" t="0" r="0" b="0"/>
          <a:pathLst>
            <a:path w="468000" h="144001">
              <a:moveTo>
                <a:pt x="71999" y="0"/>
              </a:moveTo>
              <a:lnTo>
                <a:pt x="432002"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53</xdr:row>
      <xdr:rowOff>42450</xdr:rowOff>
    </xdr:from>
    <xdr:to>
      <xdr:col>76</xdr:col>
      <xdr:colOff>633600</xdr:colOff>
      <xdr:row>54</xdr:row>
      <xdr:rowOff>15001</xdr:rowOff>
    </xdr:to>
    <xdr:sp macro="" textlink="">
      <xdr:nvSpPr>
        <xdr:cNvPr id="246595" name="フリーフォーム: 図形 246594">
          <a:extLst>
            <a:ext uri="{FF2B5EF4-FFF2-40B4-BE49-F238E27FC236}">
              <a16:creationId xmlns:a16="http://schemas.microsoft.com/office/drawing/2014/main" id="{A31973DD-6C4E-401C-AE8E-8F0CD90177A2}"/>
            </a:ext>
          </a:extLst>
        </xdr:cNvPr>
        <xdr:cNvSpPr>
          <a:spLocks noChangeAspect="1"/>
        </xdr:cNvSpPr>
      </xdr:nvSpPr>
      <xdr:spPr>
        <a:xfrm>
          <a:off x="52286402" y="93960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53</xdr:row>
      <xdr:rowOff>114450</xdr:rowOff>
    </xdr:from>
    <xdr:to>
      <xdr:col>77</xdr:col>
      <xdr:colOff>19801</xdr:colOff>
      <xdr:row>59</xdr:row>
      <xdr:rowOff>21751</xdr:rowOff>
    </xdr:to>
    <xdr:sp macro="" textlink="">
      <xdr:nvSpPr>
        <xdr:cNvPr id="246596" name="フリーフォーム: 図形 246595">
          <a:extLst>
            <a:ext uri="{FF2B5EF4-FFF2-40B4-BE49-F238E27FC236}">
              <a16:creationId xmlns:a16="http://schemas.microsoft.com/office/drawing/2014/main" id="{DD476742-DEB9-4D8C-B1A4-644814653BD7}"/>
            </a:ext>
          </a:extLst>
        </xdr:cNvPr>
        <xdr:cNvSpPr>
          <a:spLocks noChangeAspect="1"/>
        </xdr:cNvSpPr>
      </xdr:nvSpPr>
      <xdr:spPr>
        <a:xfrm>
          <a:off x="52538399" y="94680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59</xdr:row>
      <xdr:rowOff>75750</xdr:rowOff>
    </xdr:from>
    <xdr:to>
      <xdr:col>76</xdr:col>
      <xdr:colOff>525600</xdr:colOff>
      <xdr:row>64</xdr:row>
      <xdr:rowOff>136501</xdr:rowOff>
    </xdr:to>
    <xdr:sp macro="" textlink="">
      <xdr:nvSpPr>
        <xdr:cNvPr id="246597" name="フリーフォーム: 図形 246596">
          <a:extLst>
            <a:ext uri="{FF2B5EF4-FFF2-40B4-BE49-F238E27FC236}">
              <a16:creationId xmlns:a16="http://schemas.microsoft.com/office/drawing/2014/main" id="{DFFDD369-ADB2-4B8F-8379-BE91EA2E191D}"/>
            </a:ext>
          </a:extLst>
        </xdr:cNvPr>
        <xdr:cNvSpPr>
          <a:spLocks noChangeAspect="1"/>
        </xdr:cNvSpPr>
      </xdr:nvSpPr>
      <xdr:spPr>
        <a:xfrm>
          <a:off x="52358398" y="104580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64</xdr:row>
      <xdr:rowOff>64500</xdr:rowOff>
    </xdr:from>
    <xdr:to>
      <xdr:col>75</xdr:col>
      <xdr:colOff>455400</xdr:colOff>
      <xdr:row>65</xdr:row>
      <xdr:rowOff>37051</xdr:rowOff>
    </xdr:to>
    <xdr:sp macro="" textlink="">
      <xdr:nvSpPr>
        <xdr:cNvPr id="246598" name="フリーフォーム: 図形 246597">
          <a:extLst>
            <a:ext uri="{FF2B5EF4-FFF2-40B4-BE49-F238E27FC236}">
              <a16:creationId xmlns:a16="http://schemas.microsoft.com/office/drawing/2014/main" id="{8DC5F9CC-E572-4E26-B731-E53DA8C72DAD}"/>
            </a:ext>
          </a:extLst>
        </xdr:cNvPr>
        <xdr:cNvSpPr>
          <a:spLocks noChangeAspect="1"/>
        </xdr:cNvSpPr>
      </xdr:nvSpPr>
      <xdr:spPr>
        <a:xfrm>
          <a:off x="51404400" y="113040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64</xdr:row>
      <xdr:rowOff>64500</xdr:rowOff>
    </xdr:from>
    <xdr:to>
      <xdr:col>76</xdr:col>
      <xdr:colOff>273603</xdr:colOff>
      <xdr:row>65</xdr:row>
      <xdr:rowOff>37051</xdr:rowOff>
    </xdr:to>
    <xdr:sp macro="" textlink="">
      <xdr:nvSpPr>
        <xdr:cNvPr id="246599" name="フリーフォーム: 図形 246598">
          <a:extLst>
            <a:ext uri="{FF2B5EF4-FFF2-40B4-BE49-F238E27FC236}">
              <a16:creationId xmlns:a16="http://schemas.microsoft.com/office/drawing/2014/main" id="{9D051F43-25D3-45D5-BEE5-6C4091C06034}"/>
            </a:ext>
          </a:extLst>
        </xdr:cNvPr>
        <xdr:cNvSpPr>
          <a:spLocks noChangeAspect="1"/>
        </xdr:cNvSpPr>
      </xdr:nvSpPr>
      <xdr:spPr>
        <a:xfrm>
          <a:off x="51926399" y="113040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59</xdr:row>
      <xdr:rowOff>75750</xdr:rowOff>
    </xdr:from>
    <xdr:to>
      <xdr:col>75</xdr:col>
      <xdr:colOff>203403</xdr:colOff>
      <xdr:row>64</xdr:row>
      <xdr:rowOff>136501</xdr:rowOff>
    </xdr:to>
    <xdr:sp macro="" textlink="">
      <xdr:nvSpPr>
        <xdr:cNvPr id="246600" name="フリーフォーム: 図形 246599">
          <a:extLst>
            <a:ext uri="{FF2B5EF4-FFF2-40B4-BE49-F238E27FC236}">
              <a16:creationId xmlns:a16="http://schemas.microsoft.com/office/drawing/2014/main" id="{56277491-922D-4556-8BA2-200C1E52F1FD}"/>
            </a:ext>
          </a:extLst>
        </xdr:cNvPr>
        <xdr:cNvSpPr>
          <a:spLocks noChangeAspect="1"/>
        </xdr:cNvSpPr>
      </xdr:nvSpPr>
      <xdr:spPr>
        <a:xfrm>
          <a:off x="51350401" y="10458000"/>
          <a:ext cx="288002" cy="918001"/>
        </a:xfrm>
        <a:custGeom>
          <a:avLst/>
          <a:gdLst/>
          <a:ahLst/>
          <a:cxnLst/>
          <a:rect l="0" t="0" r="0" b="0"/>
          <a:pathLst>
            <a:path w="288002" h="918001">
              <a:moveTo>
                <a:pt x="144000" y="54000"/>
              </a:moveTo>
              <a:lnTo>
                <a:pt x="215999" y="0"/>
              </a:lnTo>
              <a:lnTo>
                <a:pt x="288001" y="72000"/>
              </a:lnTo>
              <a:lnTo>
                <a:pt x="144000" y="810000"/>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53</xdr:row>
      <xdr:rowOff>114450</xdr:rowOff>
    </xdr:from>
    <xdr:to>
      <xdr:col>75</xdr:col>
      <xdr:colOff>347400</xdr:colOff>
      <xdr:row>59</xdr:row>
      <xdr:rowOff>21751</xdr:rowOff>
    </xdr:to>
    <xdr:sp macro="" textlink="">
      <xdr:nvSpPr>
        <xdr:cNvPr id="246601" name="フリーフォーム: 図形 246600">
          <a:extLst>
            <a:ext uri="{FF2B5EF4-FFF2-40B4-BE49-F238E27FC236}">
              <a16:creationId xmlns:a16="http://schemas.microsoft.com/office/drawing/2014/main" id="{09255F57-07C7-4DD6-9402-B920E4806758}"/>
            </a:ext>
          </a:extLst>
        </xdr:cNvPr>
        <xdr:cNvSpPr>
          <a:spLocks noChangeAspect="1"/>
        </xdr:cNvSpPr>
      </xdr:nvSpPr>
      <xdr:spPr>
        <a:xfrm>
          <a:off x="51530399" y="9468000"/>
          <a:ext cx="252001" cy="936001"/>
        </a:xfrm>
        <a:custGeom>
          <a:avLst/>
          <a:gdLst/>
          <a:ahLst/>
          <a:cxnLst/>
          <a:rect l="0" t="0" r="0" b="0"/>
          <a:pathLst>
            <a:path w="252001" h="936001">
              <a:moveTo>
                <a:pt x="126001" y="72000"/>
              </a:moveTo>
              <a:lnTo>
                <a:pt x="180001" y="0"/>
              </a:lnTo>
              <a:lnTo>
                <a:pt x="252000" y="108000"/>
              </a:lnTo>
              <a:lnTo>
                <a:pt x="144000" y="846000"/>
              </a:lnTo>
              <a:lnTo>
                <a:pt x="36001"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58</xdr:row>
      <xdr:rowOff>139200</xdr:rowOff>
    </xdr:from>
    <xdr:to>
      <xdr:col>75</xdr:col>
      <xdr:colOff>617402</xdr:colOff>
      <xdr:row>59</xdr:row>
      <xdr:rowOff>111751</xdr:rowOff>
    </xdr:to>
    <xdr:sp macro="" textlink="">
      <xdr:nvSpPr>
        <xdr:cNvPr id="246602" name="フリーフォーム: 図形 246601">
          <a:extLst>
            <a:ext uri="{FF2B5EF4-FFF2-40B4-BE49-F238E27FC236}">
              <a16:creationId xmlns:a16="http://schemas.microsoft.com/office/drawing/2014/main" id="{EBEFD647-A64D-4A72-906E-F29E3A75B3CE}"/>
            </a:ext>
          </a:extLst>
        </xdr:cNvPr>
        <xdr:cNvSpPr>
          <a:spLocks noChangeAspect="1"/>
        </xdr:cNvSpPr>
      </xdr:nvSpPr>
      <xdr:spPr>
        <a:xfrm>
          <a:off x="51602401" y="10350000"/>
          <a:ext cx="450001" cy="144001"/>
        </a:xfrm>
        <a:custGeom>
          <a:avLst/>
          <a:gdLst/>
          <a:ahLst/>
          <a:cxnLst/>
          <a:rect l="0" t="0" r="0" b="0"/>
          <a:pathLst>
            <a:path w="450001" h="144001">
              <a:moveTo>
                <a:pt x="90000" y="0"/>
              </a:moveTo>
              <a:lnTo>
                <a:pt x="359999" y="0"/>
              </a:lnTo>
              <a:lnTo>
                <a:pt x="450000" y="72000"/>
              </a:lnTo>
              <a:lnTo>
                <a:pt x="323998" y="144000"/>
              </a:lnTo>
              <a:lnTo>
                <a:pt x="71998"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58</xdr:row>
      <xdr:rowOff>139200</xdr:rowOff>
    </xdr:from>
    <xdr:to>
      <xdr:col>76</xdr:col>
      <xdr:colOff>435602</xdr:colOff>
      <xdr:row>59</xdr:row>
      <xdr:rowOff>111751</xdr:rowOff>
    </xdr:to>
    <xdr:sp macro="" textlink="">
      <xdr:nvSpPr>
        <xdr:cNvPr id="246603" name="フリーフォーム: 図形 246602">
          <a:extLst>
            <a:ext uri="{FF2B5EF4-FFF2-40B4-BE49-F238E27FC236}">
              <a16:creationId xmlns:a16="http://schemas.microsoft.com/office/drawing/2014/main" id="{D81B5927-2E6B-437F-A9C0-42F101CB8A7D}"/>
            </a:ext>
          </a:extLst>
        </xdr:cNvPr>
        <xdr:cNvSpPr>
          <a:spLocks noChangeAspect="1"/>
        </xdr:cNvSpPr>
      </xdr:nvSpPr>
      <xdr:spPr>
        <a:xfrm>
          <a:off x="52106401" y="103500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54</xdr:row>
      <xdr:rowOff>51000</xdr:rowOff>
    </xdr:from>
    <xdr:to>
      <xdr:col>75</xdr:col>
      <xdr:colOff>635404</xdr:colOff>
      <xdr:row>59</xdr:row>
      <xdr:rowOff>3751</xdr:rowOff>
    </xdr:to>
    <xdr:sp macro="" textlink="">
      <xdr:nvSpPr>
        <xdr:cNvPr id="246604" name="フリーフォーム: 図形 246603">
          <a:extLst>
            <a:ext uri="{FF2B5EF4-FFF2-40B4-BE49-F238E27FC236}">
              <a16:creationId xmlns:a16="http://schemas.microsoft.com/office/drawing/2014/main" id="{77580ADD-C269-40E5-B5E6-370B79B00AC6}"/>
            </a:ext>
          </a:extLst>
        </xdr:cNvPr>
        <xdr:cNvSpPr>
          <a:spLocks noChangeAspect="1"/>
        </xdr:cNvSpPr>
      </xdr:nvSpPr>
      <xdr:spPr>
        <a:xfrm>
          <a:off x="51800401" y="9576000"/>
          <a:ext cx="270003" cy="810001"/>
        </a:xfrm>
        <a:custGeom>
          <a:avLst/>
          <a:gdLst/>
          <a:ahLst/>
          <a:cxnLst/>
          <a:rect l="0" t="0" r="0" b="0"/>
          <a:pathLst>
            <a:path w="270003" h="810001">
              <a:moveTo>
                <a:pt x="0" y="180000"/>
              </a:moveTo>
              <a:lnTo>
                <a:pt x="17999" y="0"/>
              </a:lnTo>
              <a:lnTo>
                <a:pt x="108000" y="108000"/>
              </a:lnTo>
              <a:lnTo>
                <a:pt x="215999" y="468000"/>
              </a:lnTo>
              <a:lnTo>
                <a:pt x="270002"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53</xdr:row>
      <xdr:rowOff>114450</xdr:rowOff>
    </xdr:from>
    <xdr:to>
      <xdr:col>76</xdr:col>
      <xdr:colOff>201601</xdr:colOff>
      <xdr:row>58</xdr:row>
      <xdr:rowOff>157201</xdr:rowOff>
    </xdr:to>
    <xdr:sp macro="" textlink="">
      <xdr:nvSpPr>
        <xdr:cNvPr id="246605" name="フリーフォーム: 図形 246604">
          <a:extLst>
            <a:ext uri="{FF2B5EF4-FFF2-40B4-BE49-F238E27FC236}">
              <a16:creationId xmlns:a16="http://schemas.microsoft.com/office/drawing/2014/main" id="{AB577084-8B1A-4D73-AAC2-888566F24977}"/>
            </a:ext>
          </a:extLst>
        </xdr:cNvPr>
        <xdr:cNvSpPr>
          <a:spLocks noChangeAspect="1"/>
        </xdr:cNvSpPr>
      </xdr:nvSpPr>
      <xdr:spPr>
        <a:xfrm>
          <a:off x="52070403" y="94680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54</xdr:row>
      <xdr:rowOff>69000</xdr:rowOff>
    </xdr:from>
    <xdr:to>
      <xdr:col>76</xdr:col>
      <xdr:colOff>525600</xdr:colOff>
      <xdr:row>59</xdr:row>
      <xdr:rowOff>3751</xdr:rowOff>
    </xdr:to>
    <xdr:sp macro="" textlink="">
      <xdr:nvSpPr>
        <xdr:cNvPr id="246606" name="フリーフォーム: 図形 246605">
          <a:extLst>
            <a:ext uri="{FF2B5EF4-FFF2-40B4-BE49-F238E27FC236}">
              <a16:creationId xmlns:a16="http://schemas.microsoft.com/office/drawing/2014/main" id="{40174429-2794-4789-8466-1AF9C8C2BF8B}"/>
            </a:ext>
          </a:extLst>
        </xdr:cNvPr>
        <xdr:cNvSpPr>
          <a:spLocks noChangeAspect="1"/>
        </xdr:cNvSpPr>
      </xdr:nvSpPr>
      <xdr:spPr>
        <a:xfrm>
          <a:off x="52124403" y="95940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59</xdr:row>
      <xdr:rowOff>75750</xdr:rowOff>
    </xdr:from>
    <xdr:to>
      <xdr:col>76</xdr:col>
      <xdr:colOff>237599</xdr:colOff>
      <xdr:row>63</xdr:row>
      <xdr:rowOff>163951</xdr:rowOff>
    </xdr:to>
    <xdr:sp macro="" textlink="">
      <xdr:nvSpPr>
        <xdr:cNvPr id="246607" name="フリーフォーム: 図形 246606">
          <a:extLst>
            <a:ext uri="{FF2B5EF4-FFF2-40B4-BE49-F238E27FC236}">
              <a16:creationId xmlns:a16="http://schemas.microsoft.com/office/drawing/2014/main" id="{F65B9C21-0E51-4743-9D41-DCD55B4E90EA}"/>
            </a:ext>
          </a:extLst>
        </xdr:cNvPr>
        <xdr:cNvSpPr>
          <a:spLocks noChangeAspect="1"/>
        </xdr:cNvSpPr>
      </xdr:nvSpPr>
      <xdr:spPr>
        <a:xfrm>
          <a:off x="52088399" y="104580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59</xdr:row>
      <xdr:rowOff>93750</xdr:rowOff>
    </xdr:from>
    <xdr:to>
      <xdr:col>75</xdr:col>
      <xdr:colOff>653400</xdr:colOff>
      <xdr:row>64</xdr:row>
      <xdr:rowOff>118501</xdr:rowOff>
    </xdr:to>
    <xdr:sp macro="" textlink="">
      <xdr:nvSpPr>
        <xdr:cNvPr id="246608" name="フリーフォーム: 図形 246607">
          <a:extLst>
            <a:ext uri="{FF2B5EF4-FFF2-40B4-BE49-F238E27FC236}">
              <a16:creationId xmlns:a16="http://schemas.microsoft.com/office/drawing/2014/main" id="{3D2D3D64-ECFA-417C-8C65-9A3D7B878600}"/>
            </a:ext>
          </a:extLst>
        </xdr:cNvPr>
        <xdr:cNvSpPr>
          <a:spLocks noChangeAspect="1"/>
        </xdr:cNvSpPr>
      </xdr:nvSpPr>
      <xdr:spPr>
        <a:xfrm>
          <a:off x="51854401" y="10476000"/>
          <a:ext cx="233999" cy="882001"/>
        </a:xfrm>
        <a:custGeom>
          <a:avLst/>
          <a:gdLst/>
          <a:ahLst/>
          <a:cxnLst/>
          <a:rect l="0" t="0" r="0" b="0"/>
          <a:pathLst>
            <a:path w="233999" h="882001">
              <a:moveTo>
                <a:pt x="107999" y="216000"/>
              </a:moveTo>
              <a:lnTo>
                <a:pt x="216002" y="0"/>
              </a:lnTo>
              <a:lnTo>
                <a:pt x="233998" y="216000"/>
              </a:lnTo>
              <a:lnTo>
                <a:pt x="144000" y="810000"/>
              </a:lnTo>
              <a:lnTo>
                <a:pt x="54000"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59</xdr:row>
      <xdr:rowOff>75750</xdr:rowOff>
    </xdr:from>
    <xdr:to>
      <xdr:col>75</xdr:col>
      <xdr:colOff>617402</xdr:colOff>
      <xdr:row>64</xdr:row>
      <xdr:rowOff>10501</xdr:rowOff>
    </xdr:to>
    <xdr:sp macro="" textlink="">
      <xdr:nvSpPr>
        <xdr:cNvPr id="246609" name="フリーフォーム: 図形 246608">
          <a:extLst>
            <a:ext uri="{FF2B5EF4-FFF2-40B4-BE49-F238E27FC236}">
              <a16:creationId xmlns:a16="http://schemas.microsoft.com/office/drawing/2014/main" id="{1CCE7D48-4A43-4D32-8C26-ECF01B74EFE7}"/>
            </a:ext>
          </a:extLst>
        </xdr:cNvPr>
        <xdr:cNvSpPr>
          <a:spLocks noChangeAspect="1"/>
        </xdr:cNvSpPr>
      </xdr:nvSpPr>
      <xdr:spPr>
        <a:xfrm>
          <a:off x="51530399" y="10458000"/>
          <a:ext cx="522003" cy="792001"/>
        </a:xfrm>
        <a:custGeom>
          <a:avLst/>
          <a:gdLst/>
          <a:ahLst/>
          <a:cxnLst/>
          <a:rect l="0" t="0" r="0" b="0"/>
          <a:pathLst>
            <a:path w="522003" h="792001">
              <a:moveTo>
                <a:pt x="396000" y="72000"/>
              </a:moveTo>
              <a:lnTo>
                <a:pt x="522002" y="0"/>
              </a:lnTo>
              <a:lnTo>
                <a:pt x="324002" y="378000"/>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53</xdr:row>
      <xdr:rowOff>42450</xdr:rowOff>
    </xdr:from>
    <xdr:to>
      <xdr:col>78</xdr:col>
      <xdr:colOff>550801</xdr:colOff>
      <xdr:row>54</xdr:row>
      <xdr:rowOff>15001</xdr:rowOff>
    </xdr:to>
    <xdr:sp macro="" textlink="">
      <xdr:nvSpPr>
        <xdr:cNvPr id="246610" name="フリーフォーム: 図形 246609">
          <a:extLst>
            <a:ext uri="{FF2B5EF4-FFF2-40B4-BE49-F238E27FC236}">
              <a16:creationId xmlns:a16="http://schemas.microsoft.com/office/drawing/2014/main" id="{C43BE2C4-D90F-4391-9E06-E6F0F998AB2C}"/>
            </a:ext>
          </a:extLst>
        </xdr:cNvPr>
        <xdr:cNvSpPr>
          <a:spLocks noChangeAspect="1"/>
        </xdr:cNvSpPr>
      </xdr:nvSpPr>
      <xdr:spPr>
        <a:xfrm>
          <a:off x="53575198" y="93960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53</xdr:row>
      <xdr:rowOff>42450</xdr:rowOff>
    </xdr:from>
    <xdr:to>
      <xdr:col>79</xdr:col>
      <xdr:colOff>405000</xdr:colOff>
      <xdr:row>54</xdr:row>
      <xdr:rowOff>15001</xdr:rowOff>
    </xdr:to>
    <xdr:sp macro="" textlink="">
      <xdr:nvSpPr>
        <xdr:cNvPr id="246611" name="フリーフォーム: 図形 246610">
          <a:extLst>
            <a:ext uri="{FF2B5EF4-FFF2-40B4-BE49-F238E27FC236}">
              <a16:creationId xmlns:a16="http://schemas.microsoft.com/office/drawing/2014/main" id="{424065C8-07D2-40E4-836C-16EC98D1CA1D}"/>
            </a:ext>
          </a:extLst>
        </xdr:cNvPr>
        <xdr:cNvSpPr>
          <a:spLocks noChangeAspect="1"/>
        </xdr:cNvSpPr>
      </xdr:nvSpPr>
      <xdr:spPr>
        <a:xfrm>
          <a:off x="54115202" y="93960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53</xdr:row>
      <xdr:rowOff>114450</xdr:rowOff>
    </xdr:from>
    <xdr:to>
      <xdr:col>79</xdr:col>
      <xdr:colOff>477001</xdr:colOff>
      <xdr:row>59</xdr:row>
      <xdr:rowOff>21751</xdr:rowOff>
    </xdr:to>
    <xdr:sp macro="" textlink="">
      <xdr:nvSpPr>
        <xdr:cNvPr id="246612" name="フリーフォーム: 図形 246611">
          <a:extLst>
            <a:ext uri="{FF2B5EF4-FFF2-40B4-BE49-F238E27FC236}">
              <a16:creationId xmlns:a16="http://schemas.microsoft.com/office/drawing/2014/main" id="{CACEADD0-C820-407E-9EE6-CFC39D3BF40C}"/>
            </a:ext>
          </a:extLst>
        </xdr:cNvPr>
        <xdr:cNvSpPr>
          <a:spLocks noChangeAspect="1"/>
        </xdr:cNvSpPr>
      </xdr:nvSpPr>
      <xdr:spPr>
        <a:xfrm>
          <a:off x="54367199" y="94680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59</xdr:row>
      <xdr:rowOff>75750</xdr:rowOff>
    </xdr:from>
    <xdr:to>
      <xdr:col>79</xdr:col>
      <xdr:colOff>297000</xdr:colOff>
      <xdr:row>64</xdr:row>
      <xdr:rowOff>136501</xdr:rowOff>
    </xdr:to>
    <xdr:sp macro="" textlink="">
      <xdr:nvSpPr>
        <xdr:cNvPr id="246613" name="フリーフォーム: 図形 246612">
          <a:extLst>
            <a:ext uri="{FF2B5EF4-FFF2-40B4-BE49-F238E27FC236}">
              <a16:creationId xmlns:a16="http://schemas.microsoft.com/office/drawing/2014/main" id="{85967354-EE14-472A-873C-BD8FD2AB98BC}"/>
            </a:ext>
          </a:extLst>
        </xdr:cNvPr>
        <xdr:cNvSpPr>
          <a:spLocks noChangeAspect="1"/>
        </xdr:cNvSpPr>
      </xdr:nvSpPr>
      <xdr:spPr>
        <a:xfrm>
          <a:off x="54187198" y="104580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64</xdr:row>
      <xdr:rowOff>64500</xdr:rowOff>
    </xdr:from>
    <xdr:to>
      <xdr:col>78</xdr:col>
      <xdr:colOff>226803</xdr:colOff>
      <xdr:row>65</xdr:row>
      <xdr:rowOff>37051</xdr:rowOff>
    </xdr:to>
    <xdr:sp macro="" textlink="">
      <xdr:nvSpPr>
        <xdr:cNvPr id="246614" name="フリーフォーム: 図形 246613">
          <a:extLst>
            <a:ext uri="{FF2B5EF4-FFF2-40B4-BE49-F238E27FC236}">
              <a16:creationId xmlns:a16="http://schemas.microsoft.com/office/drawing/2014/main" id="{4375FB26-A07F-4945-86D3-DE35F45DCE0C}"/>
            </a:ext>
          </a:extLst>
        </xdr:cNvPr>
        <xdr:cNvSpPr>
          <a:spLocks noChangeAspect="1"/>
        </xdr:cNvSpPr>
      </xdr:nvSpPr>
      <xdr:spPr>
        <a:xfrm>
          <a:off x="53233197" y="113040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64</xdr:row>
      <xdr:rowOff>64500</xdr:rowOff>
    </xdr:from>
    <xdr:to>
      <xdr:col>79</xdr:col>
      <xdr:colOff>45003</xdr:colOff>
      <xdr:row>65</xdr:row>
      <xdr:rowOff>37051</xdr:rowOff>
    </xdr:to>
    <xdr:sp macro="" textlink="">
      <xdr:nvSpPr>
        <xdr:cNvPr id="246615" name="フリーフォーム: 図形 246614">
          <a:extLst>
            <a:ext uri="{FF2B5EF4-FFF2-40B4-BE49-F238E27FC236}">
              <a16:creationId xmlns:a16="http://schemas.microsoft.com/office/drawing/2014/main" id="{A7E62670-4A9E-42AB-8627-FFDC8EF390F1}"/>
            </a:ext>
          </a:extLst>
        </xdr:cNvPr>
        <xdr:cNvSpPr>
          <a:spLocks noChangeAspect="1"/>
        </xdr:cNvSpPr>
      </xdr:nvSpPr>
      <xdr:spPr>
        <a:xfrm>
          <a:off x="53755199" y="113040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59</xdr:row>
      <xdr:rowOff>75750</xdr:rowOff>
    </xdr:from>
    <xdr:to>
      <xdr:col>77</xdr:col>
      <xdr:colOff>660599</xdr:colOff>
      <xdr:row>64</xdr:row>
      <xdr:rowOff>136501</xdr:rowOff>
    </xdr:to>
    <xdr:sp macro="" textlink="">
      <xdr:nvSpPr>
        <xdr:cNvPr id="246616" name="フリーフォーム: 図形 246615">
          <a:extLst>
            <a:ext uri="{FF2B5EF4-FFF2-40B4-BE49-F238E27FC236}">
              <a16:creationId xmlns:a16="http://schemas.microsoft.com/office/drawing/2014/main" id="{BE25441F-43CA-4C03-9E04-7F7EFA281338}"/>
            </a:ext>
          </a:extLst>
        </xdr:cNvPr>
        <xdr:cNvSpPr>
          <a:spLocks noChangeAspect="1"/>
        </xdr:cNvSpPr>
      </xdr:nvSpPr>
      <xdr:spPr>
        <a:xfrm>
          <a:off x="53179197" y="104580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53</xdr:row>
      <xdr:rowOff>114450</xdr:rowOff>
    </xdr:from>
    <xdr:to>
      <xdr:col>78</xdr:col>
      <xdr:colOff>118803</xdr:colOff>
      <xdr:row>59</xdr:row>
      <xdr:rowOff>21751</xdr:rowOff>
    </xdr:to>
    <xdr:sp macro="" textlink="">
      <xdr:nvSpPr>
        <xdr:cNvPr id="246617" name="フリーフォーム: 図形 246616">
          <a:extLst>
            <a:ext uri="{FF2B5EF4-FFF2-40B4-BE49-F238E27FC236}">
              <a16:creationId xmlns:a16="http://schemas.microsoft.com/office/drawing/2014/main" id="{F0F6EF09-1BD1-49EB-A4F0-FC8619234C0A}"/>
            </a:ext>
          </a:extLst>
        </xdr:cNvPr>
        <xdr:cNvSpPr>
          <a:spLocks noChangeAspect="1"/>
        </xdr:cNvSpPr>
      </xdr:nvSpPr>
      <xdr:spPr>
        <a:xfrm>
          <a:off x="53359199" y="94680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58</xdr:row>
      <xdr:rowOff>139200</xdr:rowOff>
    </xdr:from>
    <xdr:to>
      <xdr:col>78</xdr:col>
      <xdr:colOff>388802</xdr:colOff>
      <xdr:row>59</xdr:row>
      <xdr:rowOff>111751</xdr:rowOff>
    </xdr:to>
    <xdr:sp macro="" textlink="">
      <xdr:nvSpPr>
        <xdr:cNvPr id="246618" name="フリーフォーム: 図形 246617">
          <a:extLst>
            <a:ext uri="{FF2B5EF4-FFF2-40B4-BE49-F238E27FC236}">
              <a16:creationId xmlns:a16="http://schemas.microsoft.com/office/drawing/2014/main" id="{7A9AEC85-5176-4F17-A8F4-BF12F5FE09ED}"/>
            </a:ext>
          </a:extLst>
        </xdr:cNvPr>
        <xdr:cNvSpPr>
          <a:spLocks noChangeAspect="1"/>
        </xdr:cNvSpPr>
      </xdr:nvSpPr>
      <xdr:spPr>
        <a:xfrm>
          <a:off x="53431201" y="103500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58</xdr:row>
      <xdr:rowOff>139200</xdr:rowOff>
    </xdr:from>
    <xdr:to>
      <xdr:col>79</xdr:col>
      <xdr:colOff>207002</xdr:colOff>
      <xdr:row>59</xdr:row>
      <xdr:rowOff>111751</xdr:rowOff>
    </xdr:to>
    <xdr:sp macro="" textlink="">
      <xdr:nvSpPr>
        <xdr:cNvPr id="246619" name="フリーフォーム: 図形 246618">
          <a:extLst>
            <a:ext uri="{FF2B5EF4-FFF2-40B4-BE49-F238E27FC236}">
              <a16:creationId xmlns:a16="http://schemas.microsoft.com/office/drawing/2014/main" id="{04831896-44B4-4FDB-8C34-2433BB5CC557}"/>
            </a:ext>
          </a:extLst>
        </xdr:cNvPr>
        <xdr:cNvSpPr>
          <a:spLocks noChangeAspect="1"/>
        </xdr:cNvSpPr>
      </xdr:nvSpPr>
      <xdr:spPr>
        <a:xfrm>
          <a:off x="53935201" y="103500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54</xdr:row>
      <xdr:rowOff>51000</xdr:rowOff>
    </xdr:from>
    <xdr:to>
      <xdr:col>78</xdr:col>
      <xdr:colOff>406804</xdr:colOff>
      <xdr:row>59</xdr:row>
      <xdr:rowOff>3751</xdr:rowOff>
    </xdr:to>
    <xdr:sp macro="" textlink="">
      <xdr:nvSpPr>
        <xdr:cNvPr id="246620" name="フリーフォーム: 図形 246619">
          <a:extLst>
            <a:ext uri="{FF2B5EF4-FFF2-40B4-BE49-F238E27FC236}">
              <a16:creationId xmlns:a16="http://schemas.microsoft.com/office/drawing/2014/main" id="{87B4EE21-FBD4-48E7-B0EE-3EB3EB983C74}"/>
            </a:ext>
          </a:extLst>
        </xdr:cNvPr>
        <xdr:cNvSpPr>
          <a:spLocks noChangeAspect="1"/>
        </xdr:cNvSpPr>
      </xdr:nvSpPr>
      <xdr:spPr>
        <a:xfrm>
          <a:off x="53629198" y="95760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53</xdr:row>
      <xdr:rowOff>114450</xdr:rowOff>
    </xdr:from>
    <xdr:to>
      <xdr:col>78</xdr:col>
      <xdr:colOff>658801</xdr:colOff>
      <xdr:row>58</xdr:row>
      <xdr:rowOff>157201</xdr:rowOff>
    </xdr:to>
    <xdr:sp macro="" textlink="">
      <xdr:nvSpPr>
        <xdr:cNvPr id="246621" name="フリーフォーム: 図形 246620">
          <a:extLst>
            <a:ext uri="{FF2B5EF4-FFF2-40B4-BE49-F238E27FC236}">
              <a16:creationId xmlns:a16="http://schemas.microsoft.com/office/drawing/2014/main" id="{799DC3DC-BBAF-42AB-9206-2E932CC2E84A}"/>
            </a:ext>
          </a:extLst>
        </xdr:cNvPr>
        <xdr:cNvSpPr>
          <a:spLocks noChangeAspect="1"/>
        </xdr:cNvSpPr>
      </xdr:nvSpPr>
      <xdr:spPr>
        <a:xfrm>
          <a:off x="53899203" y="94680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54</xdr:row>
      <xdr:rowOff>69000</xdr:rowOff>
    </xdr:from>
    <xdr:to>
      <xdr:col>79</xdr:col>
      <xdr:colOff>297000</xdr:colOff>
      <xdr:row>59</xdr:row>
      <xdr:rowOff>3751</xdr:rowOff>
    </xdr:to>
    <xdr:sp macro="" textlink="">
      <xdr:nvSpPr>
        <xdr:cNvPr id="246622" name="フリーフォーム: 図形 246621">
          <a:extLst>
            <a:ext uri="{FF2B5EF4-FFF2-40B4-BE49-F238E27FC236}">
              <a16:creationId xmlns:a16="http://schemas.microsoft.com/office/drawing/2014/main" id="{9E3CA0BB-7ECE-42E7-8206-C2DCF47D15AE}"/>
            </a:ext>
          </a:extLst>
        </xdr:cNvPr>
        <xdr:cNvSpPr>
          <a:spLocks noChangeAspect="1"/>
        </xdr:cNvSpPr>
      </xdr:nvSpPr>
      <xdr:spPr>
        <a:xfrm>
          <a:off x="53953203" y="95940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59</xdr:row>
      <xdr:rowOff>75750</xdr:rowOff>
    </xdr:from>
    <xdr:to>
      <xdr:col>79</xdr:col>
      <xdr:colOff>8999</xdr:colOff>
      <xdr:row>63</xdr:row>
      <xdr:rowOff>163951</xdr:rowOff>
    </xdr:to>
    <xdr:sp macro="" textlink="">
      <xdr:nvSpPr>
        <xdr:cNvPr id="246623" name="フリーフォーム: 図形 246622">
          <a:extLst>
            <a:ext uri="{FF2B5EF4-FFF2-40B4-BE49-F238E27FC236}">
              <a16:creationId xmlns:a16="http://schemas.microsoft.com/office/drawing/2014/main" id="{82256C2C-E408-4A30-A9A2-1D50AF009C73}"/>
            </a:ext>
          </a:extLst>
        </xdr:cNvPr>
        <xdr:cNvSpPr>
          <a:spLocks noChangeAspect="1"/>
        </xdr:cNvSpPr>
      </xdr:nvSpPr>
      <xdr:spPr>
        <a:xfrm>
          <a:off x="53917199" y="104580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59</xdr:row>
      <xdr:rowOff>93750</xdr:rowOff>
    </xdr:from>
    <xdr:to>
      <xdr:col>78</xdr:col>
      <xdr:colOff>424800</xdr:colOff>
      <xdr:row>64</xdr:row>
      <xdr:rowOff>118501</xdr:rowOff>
    </xdr:to>
    <xdr:sp macro="" textlink="">
      <xdr:nvSpPr>
        <xdr:cNvPr id="246624" name="フリーフォーム: 図形 246623">
          <a:extLst>
            <a:ext uri="{FF2B5EF4-FFF2-40B4-BE49-F238E27FC236}">
              <a16:creationId xmlns:a16="http://schemas.microsoft.com/office/drawing/2014/main" id="{4A091DA5-CC66-4EAF-BC37-54313CDF3828}"/>
            </a:ext>
          </a:extLst>
        </xdr:cNvPr>
        <xdr:cNvSpPr>
          <a:spLocks noChangeAspect="1"/>
        </xdr:cNvSpPr>
      </xdr:nvSpPr>
      <xdr:spPr>
        <a:xfrm>
          <a:off x="53683198" y="104760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59</xdr:row>
      <xdr:rowOff>75750</xdr:rowOff>
    </xdr:from>
    <xdr:to>
      <xdr:col>78</xdr:col>
      <xdr:colOff>388802</xdr:colOff>
      <xdr:row>64</xdr:row>
      <xdr:rowOff>10501</xdr:rowOff>
    </xdr:to>
    <xdr:sp macro="" textlink="">
      <xdr:nvSpPr>
        <xdr:cNvPr id="246625" name="フリーフォーム: 図形 246624">
          <a:extLst>
            <a:ext uri="{FF2B5EF4-FFF2-40B4-BE49-F238E27FC236}">
              <a16:creationId xmlns:a16="http://schemas.microsoft.com/office/drawing/2014/main" id="{4AD48796-4B27-4F2F-9F01-7395E47CB9A9}"/>
            </a:ext>
          </a:extLst>
        </xdr:cNvPr>
        <xdr:cNvSpPr>
          <a:spLocks noChangeAspect="1"/>
        </xdr:cNvSpPr>
      </xdr:nvSpPr>
      <xdr:spPr>
        <a:xfrm>
          <a:off x="53359199" y="104580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53</xdr:row>
      <xdr:rowOff>42450</xdr:rowOff>
    </xdr:from>
    <xdr:to>
      <xdr:col>81</xdr:col>
      <xdr:colOff>322201</xdr:colOff>
      <xdr:row>54</xdr:row>
      <xdr:rowOff>15001</xdr:rowOff>
    </xdr:to>
    <xdr:sp macro="" textlink="">
      <xdr:nvSpPr>
        <xdr:cNvPr id="246626" name="フリーフォーム: 図形 246625">
          <a:extLst>
            <a:ext uri="{FF2B5EF4-FFF2-40B4-BE49-F238E27FC236}">
              <a16:creationId xmlns:a16="http://schemas.microsoft.com/office/drawing/2014/main" id="{F68F832D-C436-4CA8-A31F-D3C79E793974}"/>
            </a:ext>
          </a:extLst>
        </xdr:cNvPr>
        <xdr:cNvSpPr>
          <a:spLocks noChangeAspect="1"/>
        </xdr:cNvSpPr>
      </xdr:nvSpPr>
      <xdr:spPr>
        <a:xfrm>
          <a:off x="55403998" y="93960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53</xdr:row>
      <xdr:rowOff>42450</xdr:rowOff>
    </xdr:from>
    <xdr:to>
      <xdr:col>82</xdr:col>
      <xdr:colOff>176400</xdr:colOff>
      <xdr:row>54</xdr:row>
      <xdr:rowOff>15001</xdr:rowOff>
    </xdr:to>
    <xdr:sp macro="" textlink="">
      <xdr:nvSpPr>
        <xdr:cNvPr id="246627" name="フリーフォーム: 図形 246626">
          <a:extLst>
            <a:ext uri="{FF2B5EF4-FFF2-40B4-BE49-F238E27FC236}">
              <a16:creationId xmlns:a16="http://schemas.microsoft.com/office/drawing/2014/main" id="{827CEB59-5371-435D-8091-F8BEEF779CEA}"/>
            </a:ext>
          </a:extLst>
        </xdr:cNvPr>
        <xdr:cNvSpPr>
          <a:spLocks noChangeAspect="1"/>
        </xdr:cNvSpPr>
      </xdr:nvSpPr>
      <xdr:spPr>
        <a:xfrm>
          <a:off x="55944002" y="93960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53</xdr:row>
      <xdr:rowOff>114450</xdr:rowOff>
    </xdr:from>
    <xdr:to>
      <xdr:col>82</xdr:col>
      <xdr:colOff>248401</xdr:colOff>
      <xdr:row>59</xdr:row>
      <xdr:rowOff>21751</xdr:rowOff>
    </xdr:to>
    <xdr:sp macro="" textlink="">
      <xdr:nvSpPr>
        <xdr:cNvPr id="246628" name="フリーフォーム: 図形 246627">
          <a:extLst>
            <a:ext uri="{FF2B5EF4-FFF2-40B4-BE49-F238E27FC236}">
              <a16:creationId xmlns:a16="http://schemas.microsoft.com/office/drawing/2014/main" id="{2901D91D-EEDA-489C-826C-A94878F85337}"/>
            </a:ext>
          </a:extLst>
        </xdr:cNvPr>
        <xdr:cNvSpPr>
          <a:spLocks noChangeAspect="1"/>
        </xdr:cNvSpPr>
      </xdr:nvSpPr>
      <xdr:spPr>
        <a:xfrm>
          <a:off x="56195999" y="94680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59</xdr:row>
      <xdr:rowOff>75750</xdr:rowOff>
    </xdr:from>
    <xdr:to>
      <xdr:col>82</xdr:col>
      <xdr:colOff>68400</xdr:colOff>
      <xdr:row>64</xdr:row>
      <xdr:rowOff>136501</xdr:rowOff>
    </xdr:to>
    <xdr:sp macro="" textlink="">
      <xdr:nvSpPr>
        <xdr:cNvPr id="246629" name="フリーフォーム: 図形 246628">
          <a:extLst>
            <a:ext uri="{FF2B5EF4-FFF2-40B4-BE49-F238E27FC236}">
              <a16:creationId xmlns:a16="http://schemas.microsoft.com/office/drawing/2014/main" id="{15E480D5-B73B-4DCC-BD73-56225986A0B2}"/>
            </a:ext>
          </a:extLst>
        </xdr:cNvPr>
        <xdr:cNvSpPr>
          <a:spLocks noChangeAspect="1"/>
        </xdr:cNvSpPr>
      </xdr:nvSpPr>
      <xdr:spPr>
        <a:xfrm>
          <a:off x="56015998" y="104580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64</xdr:row>
      <xdr:rowOff>64500</xdr:rowOff>
    </xdr:from>
    <xdr:to>
      <xdr:col>80</xdr:col>
      <xdr:colOff>684003</xdr:colOff>
      <xdr:row>65</xdr:row>
      <xdr:rowOff>37051</xdr:rowOff>
    </xdr:to>
    <xdr:sp macro="" textlink="">
      <xdr:nvSpPr>
        <xdr:cNvPr id="246630" name="フリーフォーム: 図形 246629">
          <a:extLst>
            <a:ext uri="{FF2B5EF4-FFF2-40B4-BE49-F238E27FC236}">
              <a16:creationId xmlns:a16="http://schemas.microsoft.com/office/drawing/2014/main" id="{62804D26-0465-4F0D-AB89-84ECC0AFFED9}"/>
            </a:ext>
          </a:extLst>
        </xdr:cNvPr>
        <xdr:cNvSpPr>
          <a:spLocks noChangeAspect="1"/>
        </xdr:cNvSpPr>
      </xdr:nvSpPr>
      <xdr:spPr>
        <a:xfrm>
          <a:off x="55061997" y="113040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64</xdr:row>
      <xdr:rowOff>64500</xdr:rowOff>
    </xdr:from>
    <xdr:to>
      <xdr:col>81</xdr:col>
      <xdr:colOff>502203</xdr:colOff>
      <xdr:row>65</xdr:row>
      <xdr:rowOff>37051</xdr:rowOff>
    </xdr:to>
    <xdr:sp macro="" textlink="">
      <xdr:nvSpPr>
        <xdr:cNvPr id="246631" name="フリーフォーム: 図形 246630">
          <a:extLst>
            <a:ext uri="{FF2B5EF4-FFF2-40B4-BE49-F238E27FC236}">
              <a16:creationId xmlns:a16="http://schemas.microsoft.com/office/drawing/2014/main" id="{1A20529F-332C-4F7F-B966-C982C6A1B845}"/>
            </a:ext>
          </a:extLst>
        </xdr:cNvPr>
        <xdr:cNvSpPr>
          <a:spLocks noChangeAspect="1"/>
        </xdr:cNvSpPr>
      </xdr:nvSpPr>
      <xdr:spPr>
        <a:xfrm>
          <a:off x="55583999" y="113040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59</xdr:row>
      <xdr:rowOff>75750</xdr:rowOff>
    </xdr:from>
    <xdr:to>
      <xdr:col>80</xdr:col>
      <xdr:colOff>431999</xdr:colOff>
      <xdr:row>64</xdr:row>
      <xdr:rowOff>136501</xdr:rowOff>
    </xdr:to>
    <xdr:sp macro="" textlink="">
      <xdr:nvSpPr>
        <xdr:cNvPr id="246632" name="フリーフォーム: 図形 246631">
          <a:extLst>
            <a:ext uri="{FF2B5EF4-FFF2-40B4-BE49-F238E27FC236}">
              <a16:creationId xmlns:a16="http://schemas.microsoft.com/office/drawing/2014/main" id="{F21415F1-DAFD-4AA7-92E7-50C07051F2F7}"/>
            </a:ext>
          </a:extLst>
        </xdr:cNvPr>
        <xdr:cNvSpPr>
          <a:spLocks noChangeAspect="1"/>
        </xdr:cNvSpPr>
      </xdr:nvSpPr>
      <xdr:spPr>
        <a:xfrm>
          <a:off x="55007997" y="104580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53</xdr:row>
      <xdr:rowOff>114450</xdr:rowOff>
    </xdr:from>
    <xdr:to>
      <xdr:col>80</xdr:col>
      <xdr:colOff>576003</xdr:colOff>
      <xdr:row>59</xdr:row>
      <xdr:rowOff>21751</xdr:rowOff>
    </xdr:to>
    <xdr:sp macro="" textlink="">
      <xdr:nvSpPr>
        <xdr:cNvPr id="246633" name="フリーフォーム: 図形 246632">
          <a:extLst>
            <a:ext uri="{FF2B5EF4-FFF2-40B4-BE49-F238E27FC236}">
              <a16:creationId xmlns:a16="http://schemas.microsoft.com/office/drawing/2014/main" id="{B9072277-083C-4808-8AB2-912BB3C1401E}"/>
            </a:ext>
          </a:extLst>
        </xdr:cNvPr>
        <xdr:cNvSpPr>
          <a:spLocks noChangeAspect="1"/>
        </xdr:cNvSpPr>
      </xdr:nvSpPr>
      <xdr:spPr>
        <a:xfrm>
          <a:off x="55187999" y="94680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58</xdr:row>
      <xdr:rowOff>139200</xdr:rowOff>
    </xdr:from>
    <xdr:to>
      <xdr:col>81</xdr:col>
      <xdr:colOff>160202</xdr:colOff>
      <xdr:row>59</xdr:row>
      <xdr:rowOff>111751</xdr:rowOff>
    </xdr:to>
    <xdr:sp macro="" textlink="">
      <xdr:nvSpPr>
        <xdr:cNvPr id="246634" name="フリーフォーム: 図形 246633">
          <a:extLst>
            <a:ext uri="{FF2B5EF4-FFF2-40B4-BE49-F238E27FC236}">
              <a16:creationId xmlns:a16="http://schemas.microsoft.com/office/drawing/2014/main" id="{A45F047B-2024-4DA3-8D85-EFB53AB791F9}"/>
            </a:ext>
          </a:extLst>
        </xdr:cNvPr>
        <xdr:cNvSpPr>
          <a:spLocks noChangeAspect="1"/>
        </xdr:cNvSpPr>
      </xdr:nvSpPr>
      <xdr:spPr>
        <a:xfrm>
          <a:off x="55260001" y="103500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58</xdr:row>
      <xdr:rowOff>139200</xdr:rowOff>
    </xdr:from>
    <xdr:to>
      <xdr:col>81</xdr:col>
      <xdr:colOff>664202</xdr:colOff>
      <xdr:row>59</xdr:row>
      <xdr:rowOff>111751</xdr:rowOff>
    </xdr:to>
    <xdr:sp macro="" textlink="">
      <xdr:nvSpPr>
        <xdr:cNvPr id="246635" name="フリーフォーム: 図形 246634">
          <a:extLst>
            <a:ext uri="{FF2B5EF4-FFF2-40B4-BE49-F238E27FC236}">
              <a16:creationId xmlns:a16="http://schemas.microsoft.com/office/drawing/2014/main" id="{5366180D-EC61-4B4A-A404-A06D84F4EABC}"/>
            </a:ext>
          </a:extLst>
        </xdr:cNvPr>
        <xdr:cNvSpPr>
          <a:spLocks noChangeAspect="1"/>
        </xdr:cNvSpPr>
      </xdr:nvSpPr>
      <xdr:spPr>
        <a:xfrm>
          <a:off x="55764001" y="103500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54</xdr:row>
      <xdr:rowOff>51000</xdr:rowOff>
    </xdr:from>
    <xdr:to>
      <xdr:col>81</xdr:col>
      <xdr:colOff>178204</xdr:colOff>
      <xdr:row>59</xdr:row>
      <xdr:rowOff>3751</xdr:rowOff>
    </xdr:to>
    <xdr:sp macro="" textlink="">
      <xdr:nvSpPr>
        <xdr:cNvPr id="246636" name="フリーフォーム: 図形 246635">
          <a:extLst>
            <a:ext uri="{FF2B5EF4-FFF2-40B4-BE49-F238E27FC236}">
              <a16:creationId xmlns:a16="http://schemas.microsoft.com/office/drawing/2014/main" id="{A7BC246E-AB72-4E6A-BD06-B8851FE9608F}"/>
            </a:ext>
          </a:extLst>
        </xdr:cNvPr>
        <xdr:cNvSpPr>
          <a:spLocks noChangeAspect="1"/>
        </xdr:cNvSpPr>
      </xdr:nvSpPr>
      <xdr:spPr>
        <a:xfrm>
          <a:off x="55457998" y="95760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53</xdr:row>
      <xdr:rowOff>114450</xdr:rowOff>
    </xdr:from>
    <xdr:to>
      <xdr:col>81</xdr:col>
      <xdr:colOff>430201</xdr:colOff>
      <xdr:row>58</xdr:row>
      <xdr:rowOff>157201</xdr:rowOff>
    </xdr:to>
    <xdr:sp macro="" textlink="">
      <xdr:nvSpPr>
        <xdr:cNvPr id="246637" name="フリーフォーム: 図形 246636">
          <a:extLst>
            <a:ext uri="{FF2B5EF4-FFF2-40B4-BE49-F238E27FC236}">
              <a16:creationId xmlns:a16="http://schemas.microsoft.com/office/drawing/2014/main" id="{03F26C41-52FC-42D6-B7D3-2EF3B039CB3D}"/>
            </a:ext>
          </a:extLst>
        </xdr:cNvPr>
        <xdr:cNvSpPr>
          <a:spLocks noChangeAspect="1"/>
        </xdr:cNvSpPr>
      </xdr:nvSpPr>
      <xdr:spPr>
        <a:xfrm>
          <a:off x="55728003" y="94680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54</xdr:row>
      <xdr:rowOff>69000</xdr:rowOff>
    </xdr:from>
    <xdr:to>
      <xdr:col>82</xdr:col>
      <xdr:colOff>68400</xdr:colOff>
      <xdr:row>59</xdr:row>
      <xdr:rowOff>3751</xdr:rowOff>
    </xdr:to>
    <xdr:sp macro="" textlink="">
      <xdr:nvSpPr>
        <xdr:cNvPr id="246638" name="フリーフォーム: 図形 246637">
          <a:extLst>
            <a:ext uri="{FF2B5EF4-FFF2-40B4-BE49-F238E27FC236}">
              <a16:creationId xmlns:a16="http://schemas.microsoft.com/office/drawing/2014/main" id="{09C4E698-BA4E-406B-93AD-59182AB76DB5}"/>
            </a:ext>
          </a:extLst>
        </xdr:cNvPr>
        <xdr:cNvSpPr>
          <a:spLocks noChangeAspect="1"/>
        </xdr:cNvSpPr>
      </xdr:nvSpPr>
      <xdr:spPr>
        <a:xfrm>
          <a:off x="55782003" y="95940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59</xdr:row>
      <xdr:rowOff>75750</xdr:rowOff>
    </xdr:from>
    <xdr:to>
      <xdr:col>81</xdr:col>
      <xdr:colOff>466199</xdr:colOff>
      <xdr:row>63</xdr:row>
      <xdr:rowOff>163951</xdr:rowOff>
    </xdr:to>
    <xdr:sp macro="" textlink="">
      <xdr:nvSpPr>
        <xdr:cNvPr id="246639" name="フリーフォーム: 図形 246638">
          <a:extLst>
            <a:ext uri="{FF2B5EF4-FFF2-40B4-BE49-F238E27FC236}">
              <a16:creationId xmlns:a16="http://schemas.microsoft.com/office/drawing/2014/main" id="{B989CC79-FDD0-430C-BA2A-57D16C8D34E8}"/>
            </a:ext>
          </a:extLst>
        </xdr:cNvPr>
        <xdr:cNvSpPr>
          <a:spLocks noChangeAspect="1"/>
        </xdr:cNvSpPr>
      </xdr:nvSpPr>
      <xdr:spPr>
        <a:xfrm>
          <a:off x="55745999" y="104580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59</xdr:row>
      <xdr:rowOff>93750</xdr:rowOff>
    </xdr:from>
    <xdr:to>
      <xdr:col>81</xdr:col>
      <xdr:colOff>196200</xdr:colOff>
      <xdr:row>64</xdr:row>
      <xdr:rowOff>118501</xdr:rowOff>
    </xdr:to>
    <xdr:sp macro="" textlink="">
      <xdr:nvSpPr>
        <xdr:cNvPr id="246640" name="フリーフォーム: 図形 246639">
          <a:extLst>
            <a:ext uri="{FF2B5EF4-FFF2-40B4-BE49-F238E27FC236}">
              <a16:creationId xmlns:a16="http://schemas.microsoft.com/office/drawing/2014/main" id="{AD29FECB-F71F-4C90-947D-D74F7C0DE005}"/>
            </a:ext>
          </a:extLst>
        </xdr:cNvPr>
        <xdr:cNvSpPr>
          <a:spLocks noChangeAspect="1"/>
        </xdr:cNvSpPr>
      </xdr:nvSpPr>
      <xdr:spPr>
        <a:xfrm>
          <a:off x="55511998" y="104760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59</xdr:row>
      <xdr:rowOff>75750</xdr:rowOff>
    </xdr:from>
    <xdr:to>
      <xdr:col>81</xdr:col>
      <xdr:colOff>160202</xdr:colOff>
      <xdr:row>64</xdr:row>
      <xdr:rowOff>10501</xdr:rowOff>
    </xdr:to>
    <xdr:sp macro="" textlink="">
      <xdr:nvSpPr>
        <xdr:cNvPr id="246641" name="フリーフォーム: 図形 246640">
          <a:extLst>
            <a:ext uri="{FF2B5EF4-FFF2-40B4-BE49-F238E27FC236}">
              <a16:creationId xmlns:a16="http://schemas.microsoft.com/office/drawing/2014/main" id="{DD050A4C-8C36-4E66-972A-4CFF50F168B6}"/>
            </a:ext>
          </a:extLst>
        </xdr:cNvPr>
        <xdr:cNvSpPr>
          <a:spLocks noChangeAspect="1"/>
        </xdr:cNvSpPr>
      </xdr:nvSpPr>
      <xdr:spPr>
        <a:xfrm>
          <a:off x="55187999" y="104580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53</xdr:row>
      <xdr:rowOff>42450</xdr:rowOff>
    </xdr:from>
    <xdr:to>
      <xdr:col>84</xdr:col>
      <xdr:colOff>93601</xdr:colOff>
      <xdr:row>54</xdr:row>
      <xdr:rowOff>15001</xdr:rowOff>
    </xdr:to>
    <xdr:sp macro="" textlink="">
      <xdr:nvSpPr>
        <xdr:cNvPr id="246642" name="フリーフォーム: 図形 246641">
          <a:extLst>
            <a:ext uri="{FF2B5EF4-FFF2-40B4-BE49-F238E27FC236}">
              <a16:creationId xmlns:a16="http://schemas.microsoft.com/office/drawing/2014/main" id="{CACCA19B-0FF7-4856-BEC6-E37AA9006398}"/>
            </a:ext>
          </a:extLst>
        </xdr:cNvPr>
        <xdr:cNvSpPr>
          <a:spLocks noChangeAspect="1"/>
        </xdr:cNvSpPr>
      </xdr:nvSpPr>
      <xdr:spPr>
        <a:xfrm>
          <a:off x="57232798" y="93960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53</xdr:row>
      <xdr:rowOff>42450</xdr:rowOff>
    </xdr:from>
    <xdr:to>
      <xdr:col>84</xdr:col>
      <xdr:colOff>633600</xdr:colOff>
      <xdr:row>54</xdr:row>
      <xdr:rowOff>15001</xdr:rowOff>
    </xdr:to>
    <xdr:sp macro="" textlink="">
      <xdr:nvSpPr>
        <xdr:cNvPr id="246643" name="フリーフォーム: 図形 246642">
          <a:extLst>
            <a:ext uri="{FF2B5EF4-FFF2-40B4-BE49-F238E27FC236}">
              <a16:creationId xmlns:a16="http://schemas.microsoft.com/office/drawing/2014/main" id="{E356A047-BD5B-4DAB-8971-7E37EEEA3CF4}"/>
            </a:ext>
          </a:extLst>
        </xdr:cNvPr>
        <xdr:cNvSpPr>
          <a:spLocks noChangeAspect="1"/>
        </xdr:cNvSpPr>
      </xdr:nvSpPr>
      <xdr:spPr>
        <a:xfrm>
          <a:off x="57772802" y="93960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53</xdr:row>
      <xdr:rowOff>114450</xdr:rowOff>
    </xdr:from>
    <xdr:to>
      <xdr:col>85</xdr:col>
      <xdr:colOff>19801</xdr:colOff>
      <xdr:row>59</xdr:row>
      <xdr:rowOff>21751</xdr:rowOff>
    </xdr:to>
    <xdr:sp macro="" textlink="">
      <xdr:nvSpPr>
        <xdr:cNvPr id="246644" name="フリーフォーム: 図形 246643">
          <a:extLst>
            <a:ext uri="{FF2B5EF4-FFF2-40B4-BE49-F238E27FC236}">
              <a16:creationId xmlns:a16="http://schemas.microsoft.com/office/drawing/2014/main" id="{DA0990E2-AA80-4950-AA75-1DD3A6C6C8A6}"/>
            </a:ext>
          </a:extLst>
        </xdr:cNvPr>
        <xdr:cNvSpPr>
          <a:spLocks noChangeAspect="1"/>
        </xdr:cNvSpPr>
      </xdr:nvSpPr>
      <xdr:spPr>
        <a:xfrm>
          <a:off x="58024799" y="9468000"/>
          <a:ext cx="288002" cy="936001"/>
        </a:xfrm>
        <a:custGeom>
          <a:avLst/>
          <a:gdLst/>
          <a:ahLst/>
          <a:cxnLst/>
          <a:rect l="0" t="0" r="0" b="0"/>
          <a:pathLst>
            <a:path w="288002" h="936001">
              <a:moveTo>
                <a:pt x="144004" y="108000"/>
              </a:moveTo>
              <a:lnTo>
                <a:pt x="252004" y="0"/>
              </a:lnTo>
              <a:lnTo>
                <a:pt x="288001" y="72000"/>
              </a:lnTo>
              <a:lnTo>
                <a:pt x="144004" y="864000"/>
              </a:lnTo>
              <a:lnTo>
                <a:pt x="54000"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59</xdr:row>
      <xdr:rowOff>75750</xdr:rowOff>
    </xdr:from>
    <xdr:to>
      <xdr:col>84</xdr:col>
      <xdr:colOff>525600</xdr:colOff>
      <xdr:row>64</xdr:row>
      <xdr:rowOff>136501</xdr:rowOff>
    </xdr:to>
    <xdr:sp macro="" textlink="">
      <xdr:nvSpPr>
        <xdr:cNvPr id="246645" name="フリーフォーム: 図形 246644">
          <a:extLst>
            <a:ext uri="{FF2B5EF4-FFF2-40B4-BE49-F238E27FC236}">
              <a16:creationId xmlns:a16="http://schemas.microsoft.com/office/drawing/2014/main" id="{2675BA8A-40EB-4B0E-9E71-EE0055812FAB}"/>
            </a:ext>
          </a:extLst>
        </xdr:cNvPr>
        <xdr:cNvSpPr>
          <a:spLocks noChangeAspect="1"/>
        </xdr:cNvSpPr>
      </xdr:nvSpPr>
      <xdr:spPr>
        <a:xfrm>
          <a:off x="57844798" y="10458000"/>
          <a:ext cx="288002" cy="918001"/>
        </a:xfrm>
        <a:custGeom>
          <a:avLst/>
          <a:gdLst/>
          <a:ahLst/>
          <a:cxnLst/>
          <a:rect l="0" t="0" r="0" b="0"/>
          <a:pathLst>
            <a:path w="288002" h="918001">
              <a:moveTo>
                <a:pt x="144004" y="72000"/>
              </a:moveTo>
              <a:lnTo>
                <a:pt x="215999" y="0"/>
              </a:lnTo>
              <a:lnTo>
                <a:pt x="288001" y="54000"/>
              </a:lnTo>
              <a:lnTo>
                <a:pt x="144004" y="846000"/>
              </a:lnTo>
              <a:lnTo>
                <a:pt x="72002" y="918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64</xdr:row>
      <xdr:rowOff>64500</xdr:rowOff>
    </xdr:from>
    <xdr:to>
      <xdr:col>83</xdr:col>
      <xdr:colOff>455403</xdr:colOff>
      <xdr:row>65</xdr:row>
      <xdr:rowOff>37051</xdr:rowOff>
    </xdr:to>
    <xdr:sp macro="" textlink="">
      <xdr:nvSpPr>
        <xdr:cNvPr id="246646" name="フリーフォーム: 図形 246645">
          <a:extLst>
            <a:ext uri="{FF2B5EF4-FFF2-40B4-BE49-F238E27FC236}">
              <a16:creationId xmlns:a16="http://schemas.microsoft.com/office/drawing/2014/main" id="{0B913281-C9FA-4862-9F3E-9070F1650239}"/>
            </a:ext>
          </a:extLst>
        </xdr:cNvPr>
        <xdr:cNvSpPr>
          <a:spLocks noChangeAspect="1"/>
        </xdr:cNvSpPr>
      </xdr:nvSpPr>
      <xdr:spPr>
        <a:xfrm>
          <a:off x="56890797" y="113040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64</xdr:row>
      <xdr:rowOff>64500</xdr:rowOff>
    </xdr:from>
    <xdr:to>
      <xdr:col>84</xdr:col>
      <xdr:colOff>273603</xdr:colOff>
      <xdr:row>65</xdr:row>
      <xdr:rowOff>37051</xdr:rowOff>
    </xdr:to>
    <xdr:sp macro="" textlink="">
      <xdr:nvSpPr>
        <xdr:cNvPr id="246647" name="フリーフォーム: 図形 246646">
          <a:extLst>
            <a:ext uri="{FF2B5EF4-FFF2-40B4-BE49-F238E27FC236}">
              <a16:creationId xmlns:a16="http://schemas.microsoft.com/office/drawing/2014/main" id="{CC4F58AC-3EF2-45A7-BCDF-D7AE964863A0}"/>
            </a:ext>
          </a:extLst>
        </xdr:cNvPr>
        <xdr:cNvSpPr>
          <a:spLocks noChangeAspect="1"/>
        </xdr:cNvSpPr>
      </xdr:nvSpPr>
      <xdr:spPr>
        <a:xfrm>
          <a:off x="57412799" y="113040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59</xdr:row>
      <xdr:rowOff>75750</xdr:rowOff>
    </xdr:from>
    <xdr:to>
      <xdr:col>83</xdr:col>
      <xdr:colOff>203399</xdr:colOff>
      <xdr:row>64</xdr:row>
      <xdr:rowOff>136501</xdr:rowOff>
    </xdr:to>
    <xdr:sp macro="" textlink="">
      <xdr:nvSpPr>
        <xdr:cNvPr id="246648" name="フリーフォーム: 図形 246647">
          <a:extLst>
            <a:ext uri="{FF2B5EF4-FFF2-40B4-BE49-F238E27FC236}">
              <a16:creationId xmlns:a16="http://schemas.microsoft.com/office/drawing/2014/main" id="{D1EF35D1-0CE5-465C-9EB9-66B6E0632EB9}"/>
            </a:ext>
          </a:extLst>
        </xdr:cNvPr>
        <xdr:cNvSpPr>
          <a:spLocks noChangeAspect="1"/>
        </xdr:cNvSpPr>
      </xdr:nvSpPr>
      <xdr:spPr>
        <a:xfrm>
          <a:off x="56836797" y="10458000"/>
          <a:ext cx="288002" cy="918001"/>
        </a:xfrm>
        <a:custGeom>
          <a:avLst/>
          <a:gdLst/>
          <a:ahLst/>
          <a:cxnLst/>
          <a:rect l="0" t="0" r="0" b="0"/>
          <a:pathLst>
            <a:path w="288002" h="918001">
              <a:moveTo>
                <a:pt x="144004" y="54000"/>
              </a:moveTo>
              <a:lnTo>
                <a:pt x="216006" y="0"/>
              </a:lnTo>
              <a:lnTo>
                <a:pt x="288001" y="72000"/>
              </a:lnTo>
              <a:lnTo>
                <a:pt x="144004" y="810000"/>
              </a:lnTo>
              <a:lnTo>
                <a:pt x="36004"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53</xdr:row>
      <xdr:rowOff>114450</xdr:rowOff>
    </xdr:from>
    <xdr:to>
      <xdr:col>83</xdr:col>
      <xdr:colOff>347403</xdr:colOff>
      <xdr:row>59</xdr:row>
      <xdr:rowOff>21751</xdr:rowOff>
    </xdr:to>
    <xdr:sp macro="" textlink="">
      <xdr:nvSpPr>
        <xdr:cNvPr id="246649" name="フリーフォーム: 図形 246648">
          <a:extLst>
            <a:ext uri="{FF2B5EF4-FFF2-40B4-BE49-F238E27FC236}">
              <a16:creationId xmlns:a16="http://schemas.microsoft.com/office/drawing/2014/main" id="{D27F3A95-6B5E-4994-B7F3-C2E1690710DF}"/>
            </a:ext>
          </a:extLst>
        </xdr:cNvPr>
        <xdr:cNvSpPr>
          <a:spLocks noChangeAspect="1"/>
        </xdr:cNvSpPr>
      </xdr:nvSpPr>
      <xdr:spPr>
        <a:xfrm>
          <a:off x="57016799" y="9468000"/>
          <a:ext cx="252004" cy="936001"/>
        </a:xfrm>
        <a:custGeom>
          <a:avLst/>
          <a:gdLst/>
          <a:ahLst/>
          <a:cxnLst/>
          <a:rect l="0" t="0" r="0" b="0"/>
          <a:pathLst>
            <a:path w="252004" h="936001">
              <a:moveTo>
                <a:pt x="126001" y="72000"/>
              </a:moveTo>
              <a:lnTo>
                <a:pt x="180001" y="0"/>
              </a:lnTo>
              <a:lnTo>
                <a:pt x="252003" y="108000"/>
              </a:lnTo>
              <a:lnTo>
                <a:pt x="144003" y="846000"/>
              </a:lnTo>
              <a:lnTo>
                <a:pt x="36004" y="936000"/>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58</xdr:row>
      <xdr:rowOff>139200</xdr:rowOff>
    </xdr:from>
    <xdr:to>
      <xdr:col>83</xdr:col>
      <xdr:colOff>617402</xdr:colOff>
      <xdr:row>59</xdr:row>
      <xdr:rowOff>111751</xdr:rowOff>
    </xdr:to>
    <xdr:sp macro="" textlink="">
      <xdr:nvSpPr>
        <xdr:cNvPr id="246650" name="フリーフォーム: 図形 246649">
          <a:extLst>
            <a:ext uri="{FF2B5EF4-FFF2-40B4-BE49-F238E27FC236}">
              <a16:creationId xmlns:a16="http://schemas.microsoft.com/office/drawing/2014/main" id="{4A2A13F8-7BB9-46D6-88D4-647CDEC8F1B3}"/>
            </a:ext>
          </a:extLst>
        </xdr:cNvPr>
        <xdr:cNvSpPr>
          <a:spLocks noChangeAspect="1"/>
        </xdr:cNvSpPr>
      </xdr:nvSpPr>
      <xdr:spPr>
        <a:xfrm>
          <a:off x="57088801" y="10350000"/>
          <a:ext cx="450001" cy="144001"/>
        </a:xfrm>
        <a:custGeom>
          <a:avLst/>
          <a:gdLst/>
          <a:ahLst/>
          <a:cxnLst/>
          <a:rect l="0" t="0" r="0" b="0"/>
          <a:pathLst>
            <a:path w="450001" h="144001">
              <a:moveTo>
                <a:pt x="89997" y="0"/>
              </a:moveTo>
              <a:lnTo>
                <a:pt x="359996" y="0"/>
              </a:lnTo>
              <a:lnTo>
                <a:pt x="450000" y="72000"/>
              </a:lnTo>
              <a:lnTo>
                <a:pt x="323998" y="144000"/>
              </a:lnTo>
              <a:lnTo>
                <a:pt x="72001"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58</xdr:row>
      <xdr:rowOff>139200</xdr:rowOff>
    </xdr:from>
    <xdr:to>
      <xdr:col>84</xdr:col>
      <xdr:colOff>435602</xdr:colOff>
      <xdr:row>59</xdr:row>
      <xdr:rowOff>111751</xdr:rowOff>
    </xdr:to>
    <xdr:sp macro="" textlink="">
      <xdr:nvSpPr>
        <xdr:cNvPr id="246651" name="フリーフォーム: 図形 246650">
          <a:extLst>
            <a:ext uri="{FF2B5EF4-FFF2-40B4-BE49-F238E27FC236}">
              <a16:creationId xmlns:a16="http://schemas.microsoft.com/office/drawing/2014/main" id="{2BFBA8B5-2AD6-4B7C-BAEE-2686A705E5D3}"/>
            </a:ext>
          </a:extLst>
        </xdr:cNvPr>
        <xdr:cNvSpPr>
          <a:spLocks noChangeAspect="1"/>
        </xdr:cNvSpPr>
      </xdr:nvSpPr>
      <xdr:spPr>
        <a:xfrm>
          <a:off x="57592801" y="10350000"/>
          <a:ext cx="450001" cy="144001"/>
        </a:xfrm>
        <a:custGeom>
          <a:avLst/>
          <a:gdLst/>
          <a:ahLst/>
          <a:cxnLst/>
          <a:rect l="0" t="0" r="0" b="0"/>
          <a:pathLst>
            <a:path w="450001" h="144001">
              <a:moveTo>
                <a:pt x="143997" y="0"/>
              </a:moveTo>
              <a:lnTo>
                <a:pt x="396001" y="0"/>
              </a:lnTo>
              <a:lnTo>
                <a:pt x="450000" y="72000"/>
              </a:lnTo>
              <a:lnTo>
                <a:pt x="359997" y="144000"/>
              </a:lnTo>
              <a:lnTo>
                <a:pt x="89997" y="144000"/>
              </a:lnTo>
              <a:lnTo>
                <a:pt x="0" y="72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54</xdr:row>
      <xdr:rowOff>51000</xdr:rowOff>
    </xdr:from>
    <xdr:to>
      <xdr:col>83</xdr:col>
      <xdr:colOff>635404</xdr:colOff>
      <xdr:row>59</xdr:row>
      <xdr:rowOff>3751</xdr:rowOff>
    </xdr:to>
    <xdr:sp macro="" textlink="">
      <xdr:nvSpPr>
        <xdr:cNvPr id="246652" name="フリーフォーム: 図形 246651">
          <a:extLst>
            <a:ext uri="{FF2B5EF4-FFF2-40B4-BE49-F238E27FC236}">
              <a16:creationId xmlns:a16="http://schemas.microsoft.com/office/drawing/2014/main" id="{BAA35BC4-6BB0-4651-AD71-6C9E665E4A83}"/>
            </a:ext>
          </a:extLst>
        </xdr:cNvPr>
        <xdr:cNvSpPr>
          <a:spLocks noChangeAspect="1"/>
        </xdr:cNvSpPr>
      </xdr:nvSpPr>
      <xdr:spPr>
        <a:xfrm>
          <a:off x="57286798" y="95760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53</xdr:row>
      <xdr:rowOff>114450</xdr:rowOff>
    </xdr:from>
    <xdr:to>
      <xdr:col>84</xdr:col>
      <xdr:colOff>201601</xdr:colOff>
      <xdr:row>58</xdr:row>
      <xdr:rowOff>157201</xdr:rowOff>
    </xdr:to>
    <xdr:sp macro="" textlink="">
      <xdr:nvSpPr>
        <xdr:cNvPr id="246653" name="フリーフォーム: 図形 246652">
          <a:extLst>
            <a:ext uri="{FF2B5EF4-FFF2-40B4-BE49-F238E27FC236}">
              <a16:creationId xmlns:a16="http://schemas.microsoft.com/office/drawing/2014/main" id="{4BC82FEA-74D7-4107-9CE7-0DFB71724881}"/>
            </a:ext>
          </a:extLst>
        </xdr:cNvPr>
        <xdr:cNvSpPr>
          <a:spLocks noChangeAspect="1"/>
        </xdr:cNvSpPr>
      </xdr:nvSpPr>
      <xdr:spPr>
        <a:xfrm>
          <a:off x="57556803" y="94680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54</xdr:row>
      <xdr:rowOff>69000</xdr:rowOff>
    </xdr:from>
    <xdr:to>
      <xdr:col>84</xdr:col>
      <xdr:colOff>525600</xdr:colOff>
      <xdr:row>59</xdr:row>
      <xdr:rowOff>3751</xdr:rowOff>
    </xdr:to>
    <xdr:sp macro="" textlink="">
      <xdr:nvSpPr>
        <xdr:cNvPr id="246654" name="フリーフォーム: 図形 246653">
          <a:extLst>
            <a:ext uri="{FF2B5EF4-FFF2-40B4-BE49-F238E27FC236}">
              <a16:creationId xmlns:a16="http://schemas.microsoft.com/office/drawing/2014/main" id="{60C2F0F6-AE56-4F24-A958-11B09CFB34FF}"/>
            </a:ext>
          </a:extLst>
        </xdr:cNvPr>
        <xdr:cNvSpPr>
          <a:spLocks noChangeAspect="1"/>
        </xdr:cNvSpPr>
      </xdr:nvSpPr>
      <xdr:spPr>
        <a:xfrm>
          <a:off x="57610803" y="95940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59</xdr:row>
      <xdr:rowOff>75750</xdr:rowOff>
    </xdr:from>
    <xdr:to>
      <xdr:col>84</xdr:col>
      <xdr:colOff>237599</xdr:colOff>
      <xdr:row>63</xdr:row>
      <xdr:rowOff>163951</xdr:rowOff>
    </xdr:to>
    <xdr:sp macro="" textlink="">
      <xdr:nvSpPr>
        <xdr:cNvPr id="246655" name="フリーフォーム: 図形 246654">
          <a:extLst>
            <a:ext uri="{FF2B5EF4-FFF2-40B4-BE49-F238E27FC236}">
              <a16:creationId xmlns:a16="http://schemas.microsoft.com/office/drawing/2014/main" id="{1658B916-47DD-4048-98BD-B24F7496BA14}"/>
            </a:ext>
          </a:extLst>
        </xdr:cNvPr>
        <xdr:cNvSpPr>
          <a:spLocks noChangeAspect="1"/>
        </xdr:cNvSpPr>
      </xdr:nvSpPr>
      <xdr:spPr>
        <a:xfrm>
          <a:off x="57574799" y="10458000"/>
          <a:ext cx="270000" cy="774001"/>
        </a:xfrm>
        <a:custGeom>
          <a:avLst/>
          <a:gdLst/>
          <a:ahLst/>
          <a:cxnLst/>
          <a:rect l="0" t="0" r="0" b="0"/>
          <a:pathLst>
            <a:path w="270000" h="774001">
              <a:moveTo>
                <a:pt x="54000" y="342000"/>
              </a:moveTo>
              <a:lnTo>
                <a:pt x="0" y="0"/>
              </a:lnTo>
              <a:lnTo>
                <a:pt x="90004" y="72000"/>
              </a:lnTo>
              <a:lnTo>
                <a:pt x="269999" y="630000"/>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59</xdr:row>
      <xdr:rowOff>93750</xdr:rowOff>
    </xdr:from>
    <xdr:to>
      <xdr:col>83</xdr:col>
      <xdr:colOff>653400</xdr:colOff>
      <xdr:row>64</xdr:row>
      <xdr:rowOff>118501</xdr:rowOff>
    </xdr:to>
    <xdr:sp macro="" textlink="">
      <xdr:nvSpPr>
        <xdr:cNvPr id="246656" name="フリーフォーム: 図形 246655">
          <a:extLst>
            <a:ext uri="{FF2B5EF4-FFF2-40B4-BE49-F238E27FC236}">
              <a16:creationId xmlns:a16="http://schemas.microsoft.com/office/drawing/2014/main" id="{884CCC5D-FCC8-4876-95F3-41F18BC9051E}"/>
            </a:ext>
          </a:extLst>
        </xdr:cNvPr>
        <xdr:cNvSpPr>
          <a:spLocks noChangeAspect="1"/>
        </xdr:cNvSpPr>
      </xdr:nvSpPr>
      <xdr:spPr>
        <a:xfrm>
          <a:off x="57340798" y="10476000"/>
          <a:ext cx="234002" cy="882001"/>
        </a:xfrm>
        <a:custGeom>
          <a:avLst/>
          <a:gdLst/>
          <a:ahLst/>
          <a:cxnLst/>
          <a:rect l="0" t="0" r="0" b="0"/>
          <a:pathLst>
            <a:path w="234002" h="882001">
              <a:moveTo>
                <a:pt x="107999" y="216000"/>
              </a:moveTo>
              <a:lnTo>
                <a:pt x="216005" y="0"/>
              </a:lnTo>
              <a:lnTo>
                <a:pt x="234001" y="216000"/>
              </a:lnTo>
              <a:lnTo>
                <a:pt x="144003" y="810000"/>
              </a:lnTo>
              <a:lnTo>
                <a:pt x="53999" y="882000"/>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59</xdr:row>
      <xdr:rowOff>75750</xdr:rowOff>
    </xdr:from>
    <xdr:to>
      <xdr:col>83</xdr:col>
      <xdr:colOff>617402</xdr:colOff>
      <xdr:row>64</xdr:row>
      <xdr:rowOff>10501</xdr:rowOff>
    </xdr:to>
    <xdr:sp macro="" textlink="">
      <xdr:nvSpPr>
        <xdr:cNvPr id="246657" name="フリーフォーム: 図形 246656">
          <a:extLst>
            <a:ext uri="{FF2B5EF4-FFF2-40B4-BE49-F238E27FC236}">
              <a16:creationId xmlns:a16="http://schemas.microsoft.com/office/drawing/2014/main" id="{7F2DCE85-BFE2-43BA-A06F-A115CE1EBE45}"/>
            </a:ext>
          </a:extLst>
        </xdr:cNvPr>
        <xdr:cNvSpPr>
          <a:spLocks noChangeAspect="1"/>
        </xdr:cNvSpPr>
      </xdr:nvSpPr>
      <xdr:spPr>
        <a:xfrm>
          <a:off x="57016799" y="10458000"/>
          <a:ext cx="522003" cy="792001"/>
        </a:xfrm>
        <a:custGeom>
          <a:avLst/>
          <a:gdLst/>
          <a:ahLst/>
          <a:cxnLst/>
          <a:rect l="0" t="0" r="0" b="0"/>
          <a:pathLst>
            <a:path w="522003" h="792001">
              <a:moveTo>
                <a:pt x="396000" y="72000"/>
              </a:moveTo>
              <a:lnTo>
                <a:pt x="522002" y="0"/>
              </a:lnTo>
              <a:lnTo>
                <a:pt x="323999" y="378000"/>
              </a:lnTo>
              <a:lnTo>
                <a:pt x="161999" y="666000"/>
              </a:lnTo>
              <a:lnTo>
                <a:pt x="0" y="792000"/>
              </a:lnTo>
              <a:lnTo>
                <a:pt x="36004"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69</xdr:row>
      <xdr:rowOff>42450</xdr:rowOff>
    </xdr:from>
    <xdr:to>
      <xdr:col>1</xdr:col>
      <xdr:colOff>322201</xdr:colOff>
      <xdr:row>70</xdr:row>
      <xdr:rowOff>15001</xdr:rowOff>
    </xdr:to>
    <xdr:sp macro="" textlink="">
      <xdr:nvSpPr>
        <xdr:cNvPr id="246658" name="フリーフォーム: 図形 246657">
          <a:extLst>
            <a:ext uri="{FF2B5EF4-FFF2-40B4-BE49-F238E27FC236}">
              <a16:creationId xmlns:a16="http://schemas.microsoft.com/office/drawing/2014/main" id="{E457019C-E50A-4FB5-8003-05D60808024F}"/>
            </a:ext>
          </a:extLst>
        </xdr:cNvPr>
        <xdr:cNvSpPr>
          <a:spLocks noChangeAspect="1"/>
        </xdr:cNvSpPr>
      </xdr:nvSpPr>
      <xdr:spPr>
        <a:xfrm>
          <a:off x="5400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69</xdr:row>
      <xdr:rowOff>42450</xdr:rowOff>
    </xdr:from>
    <xdr:to>
      <xdr:col>2</xdr:col>
      <xdr:colOff>176401</xdr:colOff>
      <xdr:row>70</xdr:row>
      <xdr:rowOff>15001</xdr:rowOff>
    </xdr:to>
    <xdr:sp macro="" textlink="">
      <xdr:nvSpPr>
        <xdr:cNvPr id="246659" name="フリーフォーム: 図形 246658">
          <a:extLst>
            <a:ext uri="{FF2B5EF4-FFF2-40B4-BE49-F238E27FC236}">
              <a16:creationId xmlns:a16="http://schemas.microsoft.com/office/drawing/2014/main" id="{E6DCA917-BDFC-415E-BA59-162B1D9D6623}"/>
            </a:ext>
          </a:extLst>
        </xdr:cNvPr>
        <xdr:cNvSpPr>
          <a:spLocks noChangeAspect="1"/>
        </xdr:cNvSpPr>
      </xdr:nvSpPr>
      <xdr:spPr>
        <a:xfrm>
          <a:off x="10800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69</xdr:row>
      <xdr:rowOff>114450</xdr:rowOff>
    </xdr:from>
    <xdr:to>
      <xdr:col>2</xdr:col>
      <xdr:colOff>248401</xdr:colOff>
      <xdr:row>75</xdr:row>
      <xdr:rowOff>21752</xdr:rowOff>
    </xdr:to>
    <xdr:sp macro="" textlink="">
      <xdr:nvSpPr>
        <xdr:cNvPr id="246660" name="フリーフォーム: 図形 246659">
          <a:extLst>
            <a:ext uri="{FF2B5EF4-FFF2-40B4-BE49-F238E27FC236}">
              <a16:creationId xmlns:a16="http://schemas.microsoft.com/office/drawing/2014/main" id="{88B941FB-8D5C-4D57-AF1E-89417F52325E}"/>
            </a:ext>
          </a:extLst>
        </xdr:cNvPr>
        <xdr:cNvSpPr>
          <a:spLocks noChangeAspect="1"/>
        </xdr:cNvSpPr>
      </xdr:nvSpPr>
      <xdr:spPr>
        <a:xfrm>
          <a:off x="13320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75</xdr:row>
      <xdr:rowOff>75750</xdr:rowOff>
    </xdr:from>
    <xdr:to>
      <xdr:col>2</xdr:col>
      <xdr:colOff>68401</xdr:colOff>
      <xdr:row>80</xdr:row>
      <xdr:rowOff>136501</xdr:rowOff>
    </xdr:to>
    <xdr:sp macro="" textlink="">
      <xdr:nvSpPr>
        <xdr:cNvPr id="246661" name="フリーフォーム: 図形 246660">
          <a:extLst>
            <a:ext uri="{FF2B5EF4-FFF2-40B4-BE49-F238E27FC236}">
              <a16:creationId xmlns:a16="http://schemas.microsoft.com/office/drawing/2014/main" id="{810BDA20-A34F-413E-BBDB-B25D9C878B64}"/>
            </a:ext>
          </a:extLst>
        </xdr:cNvPr>
        <xdr:cNvSpPr>
          <a:spLocks noChangeAspect="1"/>
        </xdr:cNvSpPr>
      </xdr:nvSpPr>
      <xdr:spPr>
        <a:xfrm>
          <a:off x="11520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80</xdr:row>
      <xdr:rowOff>64500</xdr:rowOff>
    </xdr:from>
    <xdr:to>
      <xdr:col>0</xdr:col>
      <xdr:colOff>684001</xdr:colOff>
      <xdr:row>81</xdr:row>
      <xdr:rowOff>37051</xdr:rowOff>
    </xdr:to>
    <xdr:sp macro="" textlink="">
      <xdr:nvSpPr>
        <xdr:cNvPr id="246662" name="フリーフォーム: 図形 246661">
          <a:extLst>
            <a:ext uri="{FF2B5EF4-FFF2-40B4-BE49-F238E27FC236}">
              <a16:creationId xmlns:a16="http://schemas.microsoft.com/office/drawing/2014/main" id="{78DF1E41-B7F4-4328-8728-2F0E2C0623AD}"/>
            </a:ext>
          </a:extLst>
        </xdr:cNvPr>
        <xdr:cNvSpPr>
          <a:spLocks noChangeAspect="1"/>
        </xdr:cNvSpPr>
      </xdr:nvSpPr>
      <xdr:spPr>
        <a:xfrm>
          <a:off x="1980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80</xdr:row>
      <xdr:rowOff>64500</xdr:rowOff>
    </xdr:from>
    <xdr:to>
      <xdr:col>1</xdr:col>
      <xdr:colOff>502201</xdr:colOff>
      <xdr:row>81</xdr:row>
      <xdr:rowOff>37051</xdr:rowOff>
    </xdr:to>
    <xdr:sp macro="" textlink="">
      <xdr:nvSpPr>
        <xdr:cNvPr id="246663" name="フリーフォーム: 図形 246662">
          <a:extLst>
            <a:ext uri="{FF2B5EF4-FFF2-40B4-BE49-F238E27FC236}">
              <a16:creationId xmlns:a16="http://schemas.microsoft.com/office/drawing/2014/main" id="{835BC783-91FA-49F8-BD61-4CB569EB22E4}"/>
            </a:ext>
          </a:extLst>
        </xdr:cNvPr>
        <xdr:cNvSpPr>
          <a:spLocks noChangeAspect="1"/>
        </xdr:cNvSpPr>
      </xdr:nvSpPr>
      <xdr:spPr>
        <a:xfrm>
          <a:off x="7200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75</xdr:row>
      <xdr:rowOff>75750</xdr:rowOff>
    </xdr:from>
    <xdr:to>
      <xdr:col>0</xdr:col>
      <xdr:colOff>432001</xdr:colOff>
      <xdr:row>80</xdr:row>
      <xdr:rowOff>136501</xdr:rowOff>
    </xdr:to>
    <xdr:sp macro="" textlink="">
      <xdr:nvSpPr>
        <xdr:cNvPr id="246664" name="フリーフォーム: 図形 246663">
          <a:extLst>
            <a:ext uri="{FF2B5EF4-FFF2-40B4-BE49-F238E27FC236}">
              <a16:creationId xmlns:a16="http://schemas.microsoft.com/office/drawing/2014/main" id="{88958852-87BB-4428-A951-42244025D494}"/>
            </a:ext>
          </a:extLst>
        </xdr:cNvPr>
        <xdr:cNvSpPr>
          <a:spLocks noChangeAspect="1"/>
        </xdr:cNvSpPr>
      </xdr:nvSpPr>
      <xdr:spPr>
        <a:xfrm>
          <a:off x="1440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69</xdr:row>
      <xdr:rowOff>114450</xdr:rowOff>
    </xdr:from>
    <xdr:to>
      <xdr:col>0</xdr:col>
      <xdr:colOff>576001</xdr:colOff>
      <xdr:row>75</xdr:row>
      <xdr:rowOff>21752</xdr:rowOff>
    </xdr:to>
    <xdr:sp macro="" textlink="">
      <xdr:nvSpPr>
        <xdr:cNvPr id="246665" name="フリーフォーム: 図形 246664">
          <a:extLst>
            <a:ext uri="{FF2B5EF4-FFF2-40B4-BE49-F238E27FC236}">
              <a16:creationId xmlns:a16="http://schemas.microsoft.com/office/drawing/2014/main" id="{0C9C388B-87FA-40CC-9162-F4230A8B85F2}"/>
            </a:ext>
          </a:extLst>
        </xdr:cNvPr>
        <xdr:cNvSpPr>
          <a:spLocks noChangeAspect="1"/>
        </xdr:cNvSpPr>
      </xdr:nvSpPr>
      <xdr:spPr>
        <a:xfrm>
          <a:off x="3240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74</xdr:row>
      <xdr:rowOff>139199</xdr:rowOff>
    </xdr:from>
    <xdr:to>
      <xdr:col>1</xdr:col>
      <xdr:colOff>160201</xdr:colOff>
      <xdr:row>75</xdr:row>
      <xdr:rowOff>111751</xdr:rowOff>
    </xdr:to>
    <xdr:sp macro="" textlink="">
      <xdr:nvSpPr>
        <xdr:cNvPr id="246666" name="フリーフォーム: 図形 246665">
          <a:extLst>
            <a:ext uri="{FF2B5EF4-FFF2-40B4-BE49-F238E27FC236}">
              <a16:creationId xmlns:a16="http://schemas.microsoft.com/office/drawing/2014/main" id="{06FA8387-7736-4D98-9552-125694B27CF9}"/>
            </a:ext>
          </a:extLst>
        </xdr:cNvPr>
        <xdr:cNvSpPr>
          <a:spLocks noChangeAspect="1"/>
        </xdr:cNvSpPr>
      </xdr:nvSpPr>
      <xdr:spPr>
        <a:xfrm>
          <a:off x="3960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74</xdr:row>
      <xdr:rowOff>139199</xdr:rowOff>
    </xdr:from>
    <xdr:to>
      <xdr:col>1</xdr:col>
      <xdr:colOff>664201</xdr:colOff>
      <xdr:row>75</xdr:row>
      <xdr:rowOff>111751</xdr:rowOff>
    </xdr:to>
    <xdr:sp macro="" textlink="">
      <xdr:nvSpPr>
        <xdr:cNvPr id="246667" name="フリーフォーム: 図形 246666">
          <a:extLst>
            <a:ext uri="{FF2B5EF4-FFF2-40B4-BE49-F238E27FC236}">
              <a16:creationId xmlns:a16="http://schemas.microsoft.com/office/drawing/2014/main" id="{98108AAA-DB01-4DF4-A9A3-E9C08F249145}"/>
            </a:ext>
          </a:extLst>
        </xdr:cNvPr>
        <xdr:cNvSpPr>
          <a:spLocks noChangeAspect="1"/>
        </xdr:cNvSpPr>
      </xdr:nvSpPr>
      <xdr:spPr>
        <a:xfrm>
          <a:off x="9000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70</xdr:row>
      <xdr:rowOff>51000</xdr:rowOff>
    </xdr:from>
    <xdr:to>
      <xdr:col>1</xdr:col>
      <xdr:colOff>178201</xdr:colOff>
      <xdr:row>75</xdr:row>
      <xdr:rowOff>3751</xdr:rowOff>
    </xdr:to>
    <xdr:sp macro="" textlink="">
      <xdr:nvSpPr>
        <xdr:cNvPr id="246668" name="フリーフォーム: 図形 246667">
          <a:extLst>
            <a:ext uri="{FF2B5EF4-FFF2-40B4-BE49-F238E27FC236}">
              <a16:creationId xmlns:a16="http://schemas.microsoft.com/office/drawing/2014/main" id="{6118500D-BBB0-4DCB-A155-F59DD7986DBF}"/>
            </a:ext>
          </a:extLst>
        </xdr:cNvPr>
        <xdr:cNvSpPr>
          <a:spLocks noChangeAspect="1"/>
        </xdr:cNvSpPr>
      </xdr:nvSpPr>
      <xdr:spPr>
        <a:xfrm>
          <a:off x="5940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69</xdr:row>
      <xdr:rowOff>114450</xdr:rowOff>
    </xdr:from>
    <xdr:to>
      <xdr:col>1</xdr:col>
      <xdr:colOff>430201</xdr:colOff>
      <xdr:row>74</xdr:row>
      <xdr:rowOff>157201</xdr:rowOff>
    </xdr:to>
    <xdr:sp macro="" textlink="">
      <xdr:nvSpPr>
        <xdr:cNvPr id="246669" name="フリーフォーム: 図形 246668">
          <a:extLst>
            <a:ext uri="{FF2B5EF4-FFF2-40B4-BE49-F238E27FC236}">
              <a16:creationId xmlns:a16="http://schemas.microsoft.com/office/drawing/2014/main" id="{6E979098-AA9B-4B49-8C5C-9B807FE39FC8}"/>
            </a:ext>
          </a:extLst>
        </xdr:cNvPr>
        <xdr:cNvSpPr>
          <a:spLocks noChangeAspect="1"/>
        </xdr:cNvSpPr>
      </xdr:nvSpPr>
      <xdr:spPr>
        <a:xfrm>
          <a:off x="8640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70</xdr:row>
      <xdr:rowOff>69000</xdr:rowOff>
    </xdr:from>
    <xdr:to>
      <xdr:col>2</xdr:col>
      <xdr:colOff>68401</xdr:colOff>
      <xdr:row>75</xdr:row>
      <xdr:rowOff>3751</xdr:rowOff>
    </xdr:to>
    <xdr:sp macro="" textlink="">
      <xdr:nvSpPr>
        <xdr:cNvPr id="246670" name="フリーフォーム: 図形 246669">
          <a:extLst>
            <a:ext uri="{FF2B5EF4-FFF2-40B4-BE49-F238E27FC236}">
              <a16:creationId xmlns:a16="http://schemas.microsoft.com/office/drawing/2014/main" id="{C924881D-29F3-45C4-A53E-546413B988D5}"/>
            </a:ext>
          </a:extLst>
        </xdr:cNvPr>
        <xdr:cNvSpPr>
          <a:spLocks noChangeAspect="1"/>
        </xdr:cNvSpPr>
      </xdr:nvSpPr>
      <xdr:spPr>
        <a:xfrm>
          <a:off x="9180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75</xdr:row>
      <xdr:rowOff>75750</xdr:rowOff>
    </xdr:from>
    <xdr:to>
      <xdr:col>1</xdr:col>
      <xdr:colOff>466201</xdr:colOff>
      <xdr:row>79</xdr:row>
      <xdr:rowOff>163951</xdr:rowOff>
    </xdr:to>
    <xdr:sp macro="" textlink="">
      <xdr:nvSpPr>
        <xdr:cNvPr id="246671" name="フリーフォーム: 図形 246670">
          <a:extLst>
            <a:ext uri="{FF2B5EF4-FFF2-40B4-BE49-F238E27FC236}">
              <a16:creationId xmlns:a16="http://schemas.microsoft.com/office/drawing/2014/main" id="{9812CCB4-7851-4F2D-AA47-8F38D6DD136C}"/>
            </a:ext>
          </a:extLst>
        </xdr:cNvPr>
        <xdr:cNvSpPr>
          <a:spLocks noChangeAspect="1"/>
        </xdr:cNvSpPr>
      </xdr:nvSpPr>
      <xdr:spPr>
        <a:xfrm>
          <a:off x="8820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75</xdr:row>
      <xdr:rowOff>93749</xdr:rowOff>
    </xdr:from>
    <xdr:to>
      <xdr:col>1</xdr:col>
      <xdr:colOff>196201</xdr:colOff>
      <xdr:row>80</xdr:row>
      <xdr:rowOff>118501</xdr:rowOff>
    </xdr:to>
    <xdr:sp macro="" textlink="">
      <xdr:nvSpPr>
        <xdr:cNvPr id="246672" name="フリーフォーム: 図形 246671">
          <a:extLst>
            <a:ext uri="{FF2B5EF4-FFF2-40B4-BE49-F238E27FC236}">
              <a16:creationId xmlns:a16="http://schemas.microsoft.com/office/drawing/2014/main" id="{F73C6058-0996-4BCE-930C-BB2D5EEED310}"/>
            </a:ext>
          </a:extLst>
        </xdr:cNvPr>
        <xdr:cNvSpPr>
          <a:spLocks noChangeAspect="1"/>
        </xdr:cNvSpPr>
      </xdr:nvSpPr>
      <xdr:spPr>
        <a:xfrm>
          <a:off x="6480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75</xdr:row>
      <xdr:rowOff>75750</xdr:rowOff>
    </xdr:from>
    <xdr:to>
      <xdr:col>1</xdr:col>
      <xdr:colOff>160201</xdr:colOff>
      <xdr:row>80</xdr:row>
      <xdr:rowOff>10501</xdr:rowOff>
    </xdr:to>
    <xdr:sp macro="" textlink="">
      <xdr:nvSpPr>
        <xdr:cNvPr id="246673" name="フリーフォーム: 図形 246672">
          <a:extLst>
            <a:ext uri="{FF2B5EF4-FFF2-40B4-BE49-F238E27FC236}">
              <a16:creationId xmlns:a16="http://schemas.microsoft.com/office/drawing/2014/main" id="{33D39BFF-5597-4FFD-9E03-D8C5CFE40B3B}"/>
            </a:ext>
          </a:extLst>
        </xdr:cNvPr>
        <xdr:cNvSpPr>
          <a:spLocks noChangeAspect="1"/>
        </xdr:cNvSpPr>
      </xdr:nvSpPr>
      <xdr:spPr>
        <a:xfrm>
          <a:off x="3240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69</xdr:row>
      <xdr:rowOff>42450</xdr:rowOff>
    </xdr:from>
    <xdr:to>
      <xdr:col>4</xdr:col>
      <xdr:colOff>93601</xdr:colOff>
      <xdr:row>70</xdr:row>
      <xdr:rowOff>15001</xdr:rowOff>
    </xdr:to>
    <xdr:sp macro="" textlink="">
      <xdr:nvSpPr>
        <xdr:cNvPr id="246674" name="フリーフォーム: 図形 246673">
          <a:extLst>
            <a:ext uri="{FF2B5EF4-FFF2-40B4-BE49-F238E27FC236}">
              <a16:creationId xmlns:a16="http://schemas.microsoft.com/office/drawing/2014/main" id="{B39556BA-0B54-4B18-956F-773E461837E1}"/>
            </a:ext>
          </a:extLst>
        </xdr:cNvPr>
        <xdr:cNvSpPr>
          <a:spLocks noChangeAspect="1"/>
        </xdr:cNvSpPr>
      </xdr:nvSpPr>
      <xdr:spPr>
        <a:xfrm>
          <a:off x="23688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69</xdr:row>
      <xdr:rowOff>42450</xdr:rowOff>
    </xdr:from>
    <xdr:to>
      <xdr:col>4</xdr:col>
      <xdr:colOff>633601</xdr:colOff>
      <xdr:row>70</xdr:row>
      <xdr:rowOff>15001</xdr:rowOff>
    </xdr:to>
    <xdr:sp macro="" textlink="">
      <xdr:nvSpPr>
        <xdr:cNvPr id="246675" name="フリーフォーム: 図形 246674">
          <a:extLst>
            <a:ext uri="{FF2B5EF4-FFF2-40B4-BE49-F238E27FC236}">
              <a16:creationId xmlns:a16="http://schemas.microsoft.com/office/drawing/2014/main" id="{8EDA904A-9A7D-43A7-96A6-4FA05BF5BB8D}"/>
            </a:ext>
          </a:extLst>
        </xdr:cNvPr>
        <xdr:cNvSpPr>
          <a:spLocks noChangeAspect="1"/>
        </xdr:cNvSpPr>
      </xdr:nvSpPr>
      <xdr:spPr>
        <a:xfrm>
          <a:off x="29088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69</xdr:row>
      <xdr:rowOff>114450</xdr:rowOff>
    </xdr:from>
    <xdr:to>
      <xdr:col>5</xdr:col>
      <xdr:colOff>19801</xdr:colOff>
      <xdr:row>75</xdr:row>
      <xdr:rowOff>21752</xdr:rowOff>
    </xdr:to>
    <xdr:sp macro="" textlink="">
      <xdr:nvSpPr>
        <xdr:cNvPr id="246676" name="フリーフォーム: 図形 246675">
          <a:extLst>
            <a:ext uri="{FF2B5EF4-FFF2-40B4-BE49-F238E27FC236}">
              <a16:creationId xmlns:a16="http://schemas.microsoft.com/office/drawing/2014/main" id="{61C39CC1-106B-4AA2-8274-B8787BC4C184}"/>
            </a:ext>
          </a:extLst>
        </xdr:cNvPr>
        <xdr:cNvSpPr>
          <a:spLocks noChangeAspect="1"/>
        </xdr:cNvSpPr>
      </xdr:nvSpPr>
      <xdr:spPr>
        <a:xfrm>
          <a:off x="31608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75</xdr:row>
      <xdr:rowOff>75750</xdr:rowOff>
    </xdr:from>
    <xdr:to>
      <xdr:col>4</xdr:col>
      <xdr:colOff>525601</xdr:colOff>
      <xdr:row>80</xdr:row>
      <xdr:rowOff>136501</xdr:rowOff>
    </xdr:to>
    <xdr:sp macro="" textlink="">
      <xdr:nvSpPr>
        <xdr:cNvPr id="246677" name="フリーフォーム: 図形 246676">
          <a:extLst>
            <a:ext uri="{FF2B5EF4-FFF2-40B4-BE49-F238E27FC236}">
              <a16:creationId xmlns:a16="http://schemas.microsoft.com/office/drawing/2014/main" id="{574EF168-65C4-46B0-8DAF-114A4C09A111}"/>
            </a:ext>
          </a:extLst>
        </xdr:cNvPr>
        <xdr:cNvSpPr>
          <a:spLocks noChangeAspect="1"/>
        </xdr:cNvSpPr>
      </xdr:nvSpPr>
      <xdr:spPr>
        <a:xfrm>
          <a:off x="29808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80</xdr:row>
      <xdr:rowOff>64500</xdr:rowOff>
    </xdr:from>
    <xdr:to>
      <xdr:col>3</xdr:col>
      <xdr:colOff>455401</xdr:colOff>
      <xdr:row>81</xdr:row>
      <xdr:rowOff>37051</xdr:rowOff>
    </xdr:to>
    <xdr:sp macro="" textlink="">
      <xdr:nvSpPr>
        <xdr:cNvPr id="246678" name="フリーフォーム: 図形 246677">
          <a:extLst>
            <a:ext uri="{FF2B5EF4-FFF2-40B4-BE49-F238E27FC236}">
              <a16:creationId xmlns:a16="http://schemas.microsoft.com/office/drawing/2014/main" id="{C4E311DF-1101-4228-8F10-F55D356F0CF5}"/>
            </a:ext>
          </a:extLst>
        </xdr:cNvPr>
        <xdr:cNvSpPr>
          <a:spLocks noChangeAspect="1"/>
        </xdr:cNvSpPr>
      </xdr:nvSpPr>
      <xdr:spPr>
        <a:xfrm>
          <a:off x="20268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80</xdr:row>
      <xdr:rowOff>64500</xdr:rowOff>
    </xdr:from>
    <xdr:to>
      <xdr:col>4</xdr:col>
      <xdr:colOff>273601</xdr:colOff>
      <xdr:row>81</xdr:row>
      <xdr:rowOff>37051</xdr:rowOff>
    </xdr:to>
    <xdr:sp macro="" textlink="">
      <xdr:nvSpPr>
        <xdr:cNvPr id="246679" name="フリーフォーム: 図形 246678">
          <a:extLst>
            <a:ext uri="{FF2B5EF4-FFF2-40B4-BE49-F238E27FC236}">
              <a16:creationId xmlns:a16="http://schemas.microsoft.com/office/drawing/2014/main" id="{2CE49B76-9011-4C3E-B8E2-91BC404FE41B}"/>
            </a:ext>
          </a:extLst>
        </xdr:cNvPr>
        <xdr:cNvSpPr>
          <a:spLocks noChangeAspect="1"/>
        </xdr:cNvSpPr>
      </xdr:nvSpPr>
      <xdr:spPr>
        <a:xfrm>
          <a:off x="25488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75</xdr:row>
      <xdr:rowOff>75750</xdr:rowOff>
    </xdr:from>
    <xdr:to>
      <xdr:col>3</xdr:col>
      <xdr:colOff>203401</xdr:colOff>
      <xdr:row>80</xdr:row>
      <xdr:rowOff>136501</xdr:rowOff>
    </xdr:to>
    <xdr:sp macro="" textlink="">
      <xdr:nvSpPr>
        <xdr:cNvPr id="246680" name="フリーフォーム: 図形 246679">
          <a:extLst>
            <a:ext uri="{FF2B5EF4-FFF2-40B4-BE49-F238E27FC236}">
              <a16:creationId xmlns:a16="http://schemas.microsoft.com/office/drawing/2014/main" id="{471BA847-A6F6-4698-8A3A-614B59D092D1}"/>
            </a:ext>
          </a:extLst>
        </xdr:cNvPr>
        <xdr:cNvSpPr>
          <a:spLocks noChangeAspect="1"/>
        </xdr:cNvSpPr>
      </xdr:nvSpPr>
      <xdr:spPr>
        <a:xfrm>
          <a:off x="19728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69</xdr:row>
      <xdr:rowOff>114450</xdr:rowOff>
    </xdr:from>
    <xdr:to>
      <xdr:col>3</xdr:col>
      <xdr:colOff>347401</xdr:colOff>
      <xdr:row>75</xdr:row>
      <xdr:rowOff>21752</xdr:rowOff>
    </xdr:to>
    <xdr:sp macro="" textlink="">
      <xdr:nvSpPr>
        <xdr:cNvPr id="246681" name="フリーフォーム: 図形 246680">
          <a:extLst>
            <a:ext uri="{FF2B5EF4-FFF2-40B4-BE49-F238E27FC236}">
              <a16:creationId xmlns:a16="http://schemas.microsoft.com/office/drawing/2014/main" id="{419101B5-F043-44E2-8BFA-029150D2A29E}"/>
            </a:ext>
          </a:extLst>
        </xdr:cNvPr>
        <xdr:cNvSpPr>
          <a:spLocks noChangeAspect="1"/>
        </xdr:cNvSpPr>
      </xdr:nvSpPr>
      <xdr:spPr>
        <a:xfrm>
          <a:off x="21528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74</xdr:row>
      <xdr:rowOff>139199</xdr:rowOff>
    </xdr:from>
    <xdr:to>
      <xdr:col>3</xdr:col>
      <xdr:colOff>617401</xdr:colOff>
      <xdr:row>75</xdr:row>
      <xdr:rowOff>111751</xdr:rowOff>
    </xdr:to>
    <xdr:sp macro="" textlink="">
      <xdr:nvSpPr>
        <xdr:cNvPr id="246682" name="フリーフォーム: 図形 246681">
          <a:extLst>
            <a:ext uri="{FF2B5EF4-FFF2-40B4-BE49-F238E27FC236}">
              <a16:creationId xmlns:a16="http://schemas.microsoft.com/office/drawing/2014/main" id="{09FAD222-E0E3-4A0D-A120-CA6098610133}"/>
            </a:ext>
          </a:extLst>
        </xdr:cNvPr>
        <xdr:cNvSpPr>
          <a:spLocks noChangeAspect="1"/>
        </xdr:cNvSpPr>
      </xdr:nvSpPr>
      <xdr:spPr>
        <a:xfrm>
          <a:off x="22248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74</xdr:row>
      <xdr:rowOff>139199</xdr:rowOff>
    </xdr:from>
    <xdr:to>
      <xdr:col>4</xdr:col>
      <xdr:colOff>435601</xdr:colOff>
      <xdr:row>75</xdr:row>
      <xdr:rowOff>111751</xdr:rowOff>
    </xdr:to>
    <xdr:sp macro="" textlink="">
      <xdr:nvSpPr>
        <xdr:cNvPr id="246683" name="フリーフォーム: 図形 246682">
          <a:extLst>
            <a:ext uri="{FF2B5EF4-FFF2-40B4-BE49-F238E27FC236}">
              <a16:creationId xmlns:a16="http://schemas.microsoft.com/office/drawing/2014/main" id="{BAC9CF5E-7354-4C8E-B299-B01FD43B89D6}"/>
            </a:ext>
          </a:extLst>
        </xdr:cNvPr>
        <xdr:cNvSpPr>
          <a:spLocks noChangeAspect="1"/>
        </xdr:cNvSpPr>
      </xdr:nvSpPr>
      <xdr:spPr>
        <a:xfrm>
          <a:off x="27288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70</xdr:row>
      <xdr:rowOff>51000</xdr:rowOff>
    </xdr:from>
    <xdr:to>
      <xdr:col>3</xdr:col>
      <xdr:colOff>635401</xdr:colOff>
      <xdr:row>75</xdr:row>
      <xdr:rowOff>3751</xdr:rowOff>
    </xdr:to>
    <xdr:sp macro="" textlink="">
      <xdr:nvSpPr>
        <xdr:cNvPr id="246684" name="フリーフォーム: 図形 246683">
          <a:extLst>
            <a:ext uri="{FF2B5EF4-FFF2-40B4-BE49-F238E27FC236}">
              <a16:creationId xmlns:a16="http://schemas.microsoft.com/office/drawing/2014/main" id="{F32D8005-8C78-4526-81CB-4FF513737777}"/>
            </a:ext>
          </a:extLst>
        </xdr:cNvPr>
        <xdr:cNvSpPr>
          <a:spLocks noChangeAspect="1"/>
        </xdr:cNvSpPr>
      </xdr:nvSpPr>
      <xdr:spPr>
        <a:xfrm>
          <a:off x="24228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69</xdr:row>
      <xdr:rowOff>114450</xdr:rowOff>
    </xdr:from>
    <xdr:to>
      <xdr:col>4</xdr:col>
      <xdr:colOff>201601</xdr:colOff>
      <xdr:row>74</xdr:row>
      <xdr:rowOff>157201</xdr:rowOff>
    </xdr:to>
    <xdr:sp macro="" textlink="">
      <xdr:nvSpPr>
        <xdr:cNvPr id="246685" name="フリーフォーム: 図形 246684">
          <a:extLst>
            <a:ext uri="{FF2B5EF4-FFF2-40B4-BE49-F238E27FC236}">
              <a16:creationId xmlns:a16="http://schemas.microsoft.com/office/drawing/2014/main" id="{F14EB7D6-A180-464E-AC35-25C1236E5D86}"/>
            </a:ext>
          </a:extLst>
        </xdr:cNvPr>
        <xdr:cNvSpPr>
          <a:spLocks noChangeAspect="1"/>
        </xdr:cNvSpPr>
      </xdr:nvSpPr>
      <xdr:spPr>
        <a:xfrm>
          <a:off x="26928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70</xdr:row>
      <xdr:rowOff>69000</xdr:rowOff>
    </xdr:from>
    <xdr:to>
      <xdr:col>4</xdr:col>
      <xdr:colOff>525601</xdr:colOff>
      <xdr:row>75</xdr:row>
      <xdr:rowOff>3751</xdr:rowOff>
    </xdr:to>
    <xdr:sp macro="" textlink="">
      <xdr:nvSpPr>
        <xdr:cNvPr id="246686" name="フリーフォーム: 図形 246685">
          <a:extLst>
            <a:ext uri="{FF2B5EF4-FFF2-40B4-BE49-F238E27FC236}">
              <a16:creationId xmlns:a16="http://schemas.microsoft.com/office/drawing/2014/main" id="{D2262EB9-132A-48E8-844B-51F95F610BDB}"/>
            </a:ext>
          </a:extLst>
        </xdr:cNvPr>
        <xdr:cNvSpPr>
          <a:spLocks noChangeAspect="1"/>
        </xdr:cNvSpPr>
      </xdr:nvSpPr>
      <xdr:spPr>
        <a:xfrm>
          <a:off x="27468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75</xdr:row>
      <xdr:rowOff>75750</xdr:rowOff>
    </xdr:from>
    <xdr:to>
      <xdr:col>4</xdr:col>
      <xdr:colOff>237601</xdr:colOff>
      <xdr:row>79</xdr:row>
      <xdr:rowOff>163951</xdr:rowOff>
    </xdr:to>
    <xdr:sp macro="" textlink="">
      <xdr:nvSpPr>
        <xdr:cNvPr id="246687" name="フリーフォーム: 図形 246686">
          <a:extLst>
            <a:ext uri="{FF2B5EF4-FFF2-40B4-BE49-F238E27FC236}">
              <a16:creationId xmlns:a16="http://schemas.microsoft.com/office/drawing/2014/main" id="{261E4D27-CC4A-4C99-8BEB-AB255788A97D}"/>
            </a:ext>
          </a:extLst>
        </xdr:cNvPr>
        <xdr:cNvSpPr>
          <a:spLocks noChangeAspect="1"/>
        </xdr:cNvSpPr>
      </xdr:nvSpPr>
      <xdr:spPr>
        <a:xfrm>
          <a:off x="27108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75</xdr:row>
      <xdr:rowOff>93749</xdr:rowOff>
    </xdr:from>
    <xdr:to>
      <xdr:col>3</xdr:col>
      <xdr:colOff>653401</xdr:colOff>
      <xdr:row>80</xdr:row>
      <xdr:rowOff>118501</xdr:rowOff>
    </xdr:to>
    <xdr:sp macro="" textlink="">
      <xdr:nvSpPr>
        <xdr:cNvPr id="246688" name="フリーフォーム: 図形 246687">
          <a:extLst>
            <a:ext uri="{FF2B5EF4-FFF2-40B4-BE49-F238E27FC236}">
              <a16:creationId xmlns:a16="http://schemas.microsoft.com/office/drawing/2014/main" id="{292DF59D-0C0D-45C0-B719-48A89C246935}"/>
            </a:ext>
          </a:extLst>
        </xdr:cNvPr>
        <xdr:cNvSpPr>
          <a:spLocks noChangeAspect="1"/>
        </xdr:cNvSpPr>
      </xdr:nvSpPr>
      <xdr:spPr>
        <a:xfrm>
          <a:off x="24768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75</xdr:row>
      <xdr:rowOff>75750</xdr:rowOff>
    </xdr:from>
    <xdr:to>
      <xdr:col>3</xdr:col>
      <xdr:colOff>617401</xdr:colOff>
      <xdr:row>80</xdr:row>
      <xdr:rowOff>10501</xdr:rowOff>
    </xdr:to>
    <xdr:sp macro="" textlink="">
      <xdr:nvSpPr>
        <xdr:cNvPr id="246689" name="フリーフォーム: 図形 246688">
          <a:extLst>
            <a:ext uri="{FF2B5EF4-FFF2-40B4-BE49-F238E27FC236}">
              <a16:creationId xmlns:a16="http://schemas.microsoft.com/office/drawing/2014/main" id="{51E13600-5D84-4A31-BE64-95E89F6CE8CB}"/>
            </a:ext>
          </a:extLst>
        </xdr:cNvPr>
        <xdr:cNvSpPr>
          <a:spLocks noChangeAspect="1"/>
        </xdr:cNvSpPr>
      </xdr:nvSpPr>
      <xdr:spPr>
        <a:xfrm>
          <a:off x="21528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69</xdr:row>
      <xdr:rowOff>42450</xdr:rowOff>
    </xdr:from>
    <xdr:to>
      <xdr:col>6</xdr:col>
      <xdr:colOff>550801</xdr:colOff>
      <xdr:row>70</xdr:row>
      <xdr:rowOff>15001</xdr:rowOff>
    </xdr:to>
    <xdr:sp macro="" textlink="">
      <xdr:nvSpPr>
        <xdr:cNvPr id="246690" name="フリーフォーム: 図形 246689">
          <a:extLst>
            <a:ext uri="{FF2B5EF4-FFF2-40B4-BE49-F238E27FC236}">
              <a16:creationId xmlns:a16="http://schemas.microsoft.com/office/drawing/2014/main" id="{C28F581D-9C19-4DEA-8927-AC2C4850CE45}"/>
            </a:ext>
          </a:extLst>
        </xdr:cNvPr>
        <xdr:cNvSpPr>
          <a:spLocks noChangeAspect="1"/>
        </xdr:cNvSpPr>
      </xdr:nvSpPr>
      <xdr:spPr>
        <a:xfrm>
          <a:off x="41976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69</xdr:row>
      <xdr:rowOff>42450</xdr:rowOff>
    </xdr:from>
    <xdr:to>
      <xdr:col>7</xdr:col>
      <xdr:colOff>405001</xdr:colOff>
      <xdr:row>70</xdr:row>
      <xdr:rowOff>15001</xdr:rowOff>
    </xdr:to>
    <xdr:sp macro="" textlink="">
      <xdr:nvSpPr>
        <xdr:cNvPr id="246691" name="フリーフォーム: 図形 246690">
          <a:extLst>
            <a:ext uri="{FF2B5EF4-FFF2-40B4-BE49-F238E27FC236}">
              <a16:creationId xmlns:a16="http://schemas.microsoft.com/office/drawing/2014/main" id="{50E058E1-9D93-4629-8B09-A77092064B4A}"/>
            </a:ext>
          </a:extLst>
        </xdr:cNvPr>
        <xdr:cNvSpPr>
          <a:spLocks noChangeAspect="1"/>
        </xdr:cNvSpPr>
      </xdr:nvSpPr>
      <xdr:spPr>
        <a:xfrm>
          <a:off x="47376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69</xdr:row>
      <xdr:rowOff>114450</xdr:rowOff>
    </xdr:from>
    <xdr:to>
      <xdr:col>7</xdr:col>
      <xdr:colOff>477001</xdr:colOff>
      <xdr:row>75</xdr:row>
      <xdr:rowOff>21752</xdr:rowOff>
    </xdr:to>
    <xdr:sp macro="" textlink="">
      <xdr:nvSpPr>
        <xdr:cNvPr id="246692" name="フリーフォーム: 図形 246691">
          <a:extLst>
            <a:ext uri="{FF2B5EF4-FFF2-40B4-BE49-F238E27FC236}">
              <a16:creationId xmlns:a16="http://schemas.microsoft.com/office/drawing/2014/main" id="{CB926C34-3117-4CBC-AF9D-2BF001A2698E}"/>
            </a:ext>
          </a:extLst>
        </xdr:cNvPr>
        <xdr:cNvSpPr>
          <a:spLocks noChangeAspect="1"/>
        </xdr:cNvSpPr>
      </xdr:nvSpPr>
      <xdr:spPr>
        <a:xfrm>
          <a:off x="49896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75</xdr:row>
      <xdr:rowOff>75750</xdr:rowOff>
    </xdr:from>
    <xdr:to>
      <xdr:col>7</xdr:col>
      <xdr:colOff>297001</xdr:colOff>
      <xdr:row>80</xdr:row>
      <xdr:rowOff>136501</xdr:rowOff>
    </xdr:to>
    <xdr:sp macro="" textlink="">
      <xdr:nvSpPr>
        <xdr:cNvPr id="246693" name="フリーフォーム: 図形 246692">
          <a:extLst>
            <a:ext uri="{FF2B5EF4-FFF2-40B4-BE49-F238E27FC236}">
              <a16:creationId xmlns:a16="http://schemas.microsoft.com/office/drawing/2014/main" id="{97A55734-81D8-42EF-A283-57B2E9F38FE6}"/>
            </a:ext>
          </a:extLst>
        </xdr:cNvPr>
        <xdr:cNvSpPr>
          <a:spLocks noChangeAspect="1"/>
        </xdr:cNvSpPr>
      </xdr:nvSpPr>
      <xdr:spPr>
        <a:xfrm>
          <a:off x="48096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80</xdr:row>
      <xdr:rowOff>64500</xdr:rowOff>
    </xdr:from>
    <xdr:to>
      <xdr:col>6</xdr:col>
      <xdr:colOff>226801</xdr:colOff>
      <xdr:row>81</xdr:row>
      <xdr:rowOff>37051</xdr:rowOff>
    </xdr:to>
    <xdr:sp macro="" textlink="">
      <xdr:nvSpPr>
        <xdr:cNvPr id="246694" name="フリーフォーム: 図形 246693">
          <a:extLst>
            <a:ext uri="{FF2B5EF4-FFF2-40B4-BE49-F238E27FC236}">
              <a16:creationId xmlns:a16="http://schemas.microsoft.com/office/drawing/2014/main" id="{6AC24CB0-38A6-4A0D-97F1-0987B897B072}"/>
            </a:ext>
          </a:extLst>
        </xdr:cNvPr>
        <xdr:cNvSpPr>
          <a:spLocks noChangeAspect="1"/>
        </xdr:cNvSpPr>
      </xdr:nvSpPr>
      <xdr:spPr>
        <a:xfrm>
          <a:off x="38556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80</xdr:row>
      <xdr:rowOff>64500</xdr:rowOff>
    </xdr:from>
    <xdr:to>
      <xdr:col>7</xdr:col>
      <xdr:colOff>45001</xdr:colOff>
      <xdr:row>81</xdr:row>
      <xdr:rowOff>37051</xdr:rowOff>
    </xdr:to>
    <xdr:sp macro="" textlink="">
      <xdr:nvSpPr>
        <xdr:cNvPr id="246695" name="フリーフォーム: 図形 246694">
          <a:extLst>
            <a:ext uri="{FF2B5EF4-FFF2-40B4-BE49-F238E27FC236}">
              <a16:creationId xmlns:a16="http://schemas.microsoft.com/office/drawing/2014/main" id="{A3786982-A5B5-4529-83AF-05F4D31D1DAB}"/>
            </a:ext>
          </a:extLst>
        </xdr:cNvPr>
        <xdr:cNvSpPr>
          <a:spLocks noChangeAspect="1"/>
        </xdr:cNvSpPr>
      </xdr:nvSpPr>
      <xdr:spPr>
        <a:xfrm>
          <a:off x="43776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75</xdr:row>
      <xdr:rowOff>75750</xdr:rowOff>
    </xdr:from>
    <xdr:to>
      <xdr:col>5</xdr:col>
      <xdr:colOff>660601</xdr:colOff>
      <xdr:row>80</xdr:row>
      <xdr:rowOff>136501</xdr:rowOff>
    </xdr:to>
    <xdr:sp macro="" textlink="">
      <xdr:nvSpPr>
        <xdr:cNvPr id="246696" name="フリーフォーム: 図形 246695">
          <a:extLst>
            <a:ext uri="{FF2B5EF4-FFF2-40B4-BE49-F238E27FC236}">
              <a16:creationId xmlns:a16="http://schemas.microsoft.com/office/drawing/2014/main" id="{7C31A8C2-EFA2-4C94-BD75-F4132E830907}"/>
            </a:ext>
          </a:extLst>
        </xdr:cNvPr>
        <xdr:cNvSpPr>
          <a:spLocks noChangeAspect="1"/>
        </xdr:cNvSpPr>
      </xdr:nvSpPr>
      <xdr:spPr>
        <a:xfrm>
          <a:off x="38016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69</xdr:row>
      <xdr:rowOff>114450</xdr:rowOff>
    </xdr:from>
    <xdr:to>
      <xdr:col>6</xdr:col>
      <xdr:colOff>118801</xdr:colOff>
      <xdr:row>75</xdr:row>
      <xdr:rowOff>21752</xdr:rowOff>
    </xdr:to>
    <xdr:sp macro="" textlink="">
      <xdr:nvSpPr>
        <xdr:cNvPr id="246697" name="フリーフォーム: 図形 246696">
          <a:extLst>
            <a:ext uri="{FF2B5EF4-FFF2-40B4-BE49-F238E27FC236}">
              <a16:creationId xmlns:a16="http://schemas.microsoft.com/office/drawing/2014/main" id="{46CBE5D1-12DF-41DB-B41B-63AA1EA33609}"/>
            </a:ext>
          </a:extLst>
        </xdr:cNvPr>
        <xdr:cNvSpPr>
          <a:spLocks noChangeAspect="1"/>
        </xdr:cNvSpPr>
      </xdr:nvSpPr>
      <xdr:spPr>
        <a:xfrm>
          <a:off x="39816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74</xdr:row>
      <xdr:rowOff>139199</xdr:rowOff>
    </xdr:from>
    <xdr:to>
      <xdr:col>6</xdr:col>
      <xdr:colOff>388801</xdr:colOff>
      <xdr:row>75</xdr:row>
      <xdr:rowOff>111751</xdr:rowOff>
    </xdr:to>
    <xdr:sp macro="" textlink="">
      <xdr:nvSpPr>
        <xdr:cNvPr id="246698" name="フリーフォーム: 図形 246697">
          <a:extLst>
            <a:ext uri="{FF2B5EF4-FFF2-40B4-BE49-F238E27FC236}">
              <a16:creationId xmlns:a16="http://schemas.microsoft.com/office/drawing/2014/main" id="{31B94713-5C67-468F-AF7E-C8535EF6FBE7}"/>
            </a:ext>
          </a:extLst>
        </xdr:cNvPr>
        <xdr:cNvSpPr>
          <a:spLocks noChangeAspect="1"/>
        </xdr:cNvSpPr>
      </xdr:nvSpPr>
      <xdr:spPr>
        <a:xfrm>
          <a:off x="40536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74</xdr:row>
      <xdr:rowOff>139199</xdr:rowOff>
    </xdr:from>
    <xdr:to>
      <xdr:col>7</xdr:col>
      <xdr:colOff>207001</xdr:colOff>
      <xdr:row>75</xdr:row>
      <xdr:rowOff>111751</xdr:rowOff>
    </xdr:to>
    <xdr:sp macro="" textlink="">
      <xdr:nvSpPr>
        <xdr:cNvPr id="246699" name="フリーフォーム: 図形 246698">
          <a:extLst>
            <a:ext uri="{FF2B5EF4-FFF2-40B4-BE49-F238E27FC236}">
              <a16:creationId xmlns:a16="http://schemas.microsoft.com/office/drawing/2014/main" id="{1DA6D9AD-BD39-4010-A2A5-7B843C2D6A7D}"/>
            </a:ext>
          </a:extLst>
        </xdr:cNvPr>
        <xdr:cNvSpPr>
          <a:spLocks noChangeAspect="1"/>
        </xdr:cNvSpPr>
      </xdr:nvSpPr>
      <xdr:spPr>
        <a:xfrm>
          <a:off x="45576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70</xdr:row>
      <xdr:rowOff>51000</xdr:rowOff>
    </xdr:from>
    <xdr:to>
      <xdr:col>6</xdr:col>
      <xdr:colOff>406801</xdr:colOff>
      <xdr:row>75</xdr:row>
      <xdr:rowOff>3751</xdr:rowOff>
    </xdr:to>
    <xdr:sp macro="" textlink="">
      <xdr:nvSpPr>
        <xdr:cNvPr id="246700" name="フリーフォーム: 図形 246699">
          <a:extLst>
            <a:ext uri="{FF2B5EF4-FFF2-40B4-BE49-F238E27FC236}">
              <a16:creationId xmlns:a16="http://schemas.microsoft.com/office/drawing/2014/main" id="{2B73F5EC-C093-4D76-9650-22928986FD4B}"/>
            </a:ext>
          </a:extLst>
        </xdr:cNvPr>
        <xdr:cNvSpPr>
          <a:spLocks noChangeAspect="1"/>
        </xdr:cNvSpPr>
      </xdr:nvSpPr>
      <xdr:spPr>
        <a:xfrm>
          <a:off x="42516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69</xdr:row>
      <xdr:rowOff>114450</xdr:rowOff>
    </xdr:from>
    <xdr:to>
      <xdr:col>6</xdr:col>
      <xdr:colOff>658801</xdr:colOff>
      <xdr:row>74</xdr:row>
      <xdr:rowOff>157201</xdr:rowOff>
    </xdr:to>
    <xdr:sp macro="" textlink="">
      <xdr:nvSpPr>
        <xdr:cNvPr id="246701" name="フリーフォーム: 図形 246700">
          <a:extLst>
            <a:ext uri="{FF2B5EF4-FFF2-40B4-BE49-F238E27FC236}">
              <a16:creationId xmlns:a16="http://schemas.microsoft.com/office/drawing/2014/main" id="{457B5296-AD9C-4EEA-B90F-0581F696267D}"/>
            </a:ext>
          </a:extLst>
        </xdr:cNvPr>
        <xdr:cNvSpPr>
          <a:spLocks noChangeAspect="1"/>
        </xdr:cNvSpPr>
      </xdr:nvSpPr>
      <xdr:spPr>
        <a:xfrm>
          <a:off x="45216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70</xdr:row>
      <xdr:rowOff>69000</xdr:rowOff>
    </xdr:from>
    <xdr:to>
      <xdr:col>7</xdr:col>
      <xdr:colOff>297001</xdr:colOff>
      <xdr:row>75</xdr:row>
      <xdr:rowOff>3751</xdr:rowOff>
    </xdr:to>
    <xdr:sp macro="" textlink="">
      <xdr:nvSpPr>
        <xdr:cNvPr id="246702" name="フリーフォーム: 図形 246701">
          <a:extLst>
            <a:ext uri="{FF2B5EF4-FFF2-40B4-BE49-F238E27FC236}">
              <a16:creationId xmlns:a16="http://schemas.microsoft.com/office/drawing/2014/main" id="{BD6A929B-6452-4CED-89C3-DEF9C841C1E5}"/>
            </a:ext>
          </a:extLst>
        </xdr:cNvPr>
        <xdr:cNvSpPr>
          <a:spLocks noChangeAspect="1"/>
        </xdr:cNvSpPr>
      </xdr:nvSpPr>
      <xdr:spPr>
        <a:xfrm>
          <a:off x="45756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75</xdr:row>
      <xdr:rowOff>75750</xdr:rowOff>
    </xdr:from>
    <xdr:to>
      <xdr:col>7</xdr:col>
      <xdr:colOff>9001</xdr:colOff>
      <xdr:row>79</xdr:row>
      <xdr:rowOff>163951</xdr:rowOff>
    </xdr:to>
    <xdr:sp macro="" textlink="">
      <xdr:nvSpPr>
        <xdr:cNvPr id="246703" name="フリーフォーム: 図形 246702">
          <a:extLst>
            <a:ext uri="{FF2B5EF4-FFF2-40B4-BE49-F238E27FC236}">
              <a16:creationId xmlns:a16="http://schemas.microsoft.com/office/drawing/2014/main" id="{03EC72A8-F342-4DF7-A1E6-61E24ACC3A77}"/>
            </a:ext>
          </a:extLst>
        </xdr:cNvPr>
        <xdr:cNvSpPr>
          <a:spLocks noChangeAspect="1"/>
        </xdr:cNvSpPr>
      </xdr:nvSpPr>
      <xdr:spPr>
        <a:xfrm>
          <a:off x="45396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75</xdr:row>
      <xdr:rowOff>93749</xdr:rowOff>
    </xdr:from>
    <xdr:to>
      <xdr:col>6</xdr:col>
      <xdr:colOff>424801</xdr:colOff>
      <xdr:row>80</xdr:row>
      <xdr:rowOff>118501</xdr:rowOff>
    </xdr:to>
    <xdr:sp macro="" textlink="">
      <xdr:nvSpPr>
        <xdr:cNvPr id="246704" name="フリーフォーム: 図形 246703">
          <a:extLst>
            <a:ext uri="{FF2B5EF4-FFF2-40B4-BE49-F238E27FC236}">
              <a16:creationId xmlns:a16="http://schemas.microsoft.com/office/drawing/2014/main" id="{7ED70CEF-C1F3-439C-86E9-1813C13394C4}"/>
            </a:ext>
          </a:extLst>
        </xdr:cNvPr>
        <xdr:cNvSpPr>
          <a:spLocks noChangeAspect="1"/>
        </xdr:cNvSpPr>
      </xdr:nvSpPr>
      <xdr:spPr>
        <a:xfrm>
          <a:off x="43056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75</xdr:row>
      <xdr:rowOff>75750</xdr:rowOff>
    </xdr:from>
    <xdr:to>
      <xdr:col>6</xdr:col>
      <xdr:colOff>388801</xdr:colOff>
      <xdr:row>80</xdr:row>
      <xdr:rowOff>10501</xdr:rowOff>
    </xdr:to>
    <xdr:sp macro="" textlink="">
      <xdr:nvSpPr>
        <xdr:cNvPr id="246705" name="フリーフォーム: 図形 246704">
          <a:extLst>
            <a:ext uri="{FF2B5EF4-FFF2-40B4-BE49-F238E27FC236}">
              <a16:creationId xmlns:a16="http://schemas.microsoft.com/office/drawing/2014/main" id="{1FFC6A82-93F5-4F12-8D42-3F809EC57498}"/>
            </a:ext>
          </a:extLst>
        </xdr:cNvPr>
        <xdr:cNvSpPr>
          <a:spLocks noChangeAspect="1"/>
        </xdr:cNvSpPr>
      </xdr:nvSpPr>
      <xdr:spPr>
        <a:xfrm>
          <a:off x="39816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69</xdr:row>
      <xdr:rowOff>42450</xdr:rowOff>
    </xdr:from>
    <xdr:to>
      <xdr:col>9</xdr:col>
      <xdr:colOff>322201</xdr:colOff>
      <xdr:row>70</xdr:row>
      <xdr:rowOff>15001</xdr:rowOff>
    </xdr:to>
    <xdr:sp macro="" textlink="">
      <xdr:nvSpPr>
        <xdr:cNvPr id="246706" name="フリーフォーム: 図形 246705">
          <a:extLst>
            <a:ext uri="{FF2B5EF4-FFF2-40B4-BE49-F238E27FC236}">
              <a16:creationId xmlns:a16="http://schemas.microsoft.com/office/drawing/2014/main" id="{C260F196-1153-48C4-AAC0-1F2F281048EE}"/>
            </a:ext>
          </a:extLst>
        </xdr:cNvPr>
        <xdr:cNvSpPr>
          <a:spLocks noChangeAspect="1"/>
        </xdr:cNvSpPr>
      </xdr:nvSpPr>
      <xdr:spPr>
        <a:xfrm>
          <a:off x="60264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69</xdr:row>
      <xdr:rowOff>42450</xdr:rowOff>
    </xdr:from>
    <xdr:to>
      <xdr:col>10</xdr:col>
      <xdr:colOff>176401</xdr:colOff>
      <xdr:row>70</xdr:row>
      <xdr:rowOff>15001</xdr:rowOff>
    </xdr:to>
    <xdr:sp macro="" textlink="">
      <xdr:nvSpPr>
        <xdr:cNvPr id="246707" name="フリーフォーム: 図形 246706">
          <a:extLst>
            <a:ext uri="{FF2B5EF4-FFF2-40B4-BE49-F238E27FC236}">
              <a16:creationId xmlns:a16="http://schemas.microsoft.com/office/drawing/2014/main" id="{E74FB872-795D-4EBD-B799-0BC52D518431}"/>
            </a:ext>
          </a:extLst>
        </xdr:cNvPr>
        <xdr:cNvSpPr>
          <a:spLocks noChangeAspect="1"/>
        </xdr:cNvSpPr>
      </xdr:nvSpPr>
      <xdr:spPr>
        <a:xfrm>
          <a:off x="65664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69</xdr:row>
      <xdr:rowOff>114450</xdr:rowOff>
    </xdr:from>
    <xdr:to>
      <xdr:col>10</xdr:col>
      <xdr:colOff>248401</xdr:colOff>
      <xdr:row>75</xdr:row>
      <xdr:rowOff>21752</xdr:rowOff>
    </xdr:to>
    <xdr:sp macro="" textlink="">
      <xdr:nvSpPr>
        <xdr:cNvPr id="246708" name="フリーフォーム: 図形 246707">
          <a:extLst>
            <a:ext uri="{FF2B5EF4-FFF2-40B4-BE49-F238E27FC236}">
              <a16:creationId xmlns:a16="http://schemas.microsoft.com/office/drawing/2014/main" id="{1A2DAA41-1E0A-4282-AE9F-CF30F86FA3F6}"/>
            </a:ext>
          </a:extLst>
        </xdr:cNvPr>
        <xdr:cNvSpPr>
          <a:spLocks noChangeAspect="1"/>
        </xdr:cNvSpPr>
      </xdr:nvSpPr>
      <xdr:spPr>
        <a:xfrm>
          <a:off x="68184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75</xdr:row>
      <xdr:rowOff>75750</xdr:rowOff>
    </xdr:from>
    <xdr:to>
      <xdr:col>10</xdr:col>
      <xdr:colOff>68401</xdr:colOff>
      <xdr:row>80</xdr:row>
      <xdr:rowOff>136501</xdr:rowOff>
    </xdr:to>
    <xdr:sp macro="" textlink="">
      <xdr:nvSpPr>
        <xdr:cNvPr id="246709" name="フリーフォーム: 図形 246708">
          <a:extLst>
            <a:ext uri="{FF2B5EF4-FFF2-40B4-BE49-F238E27FC236}">
              <a16:creationId xmlns:a16="http://schemas.microsoft.com/office/drawing/2014/main" id="{1A19C8AA-4741-4B35-9BE3-F91AF1314DDA}"/>
            </a:ext>
          </a:extLst>
        </xdr:cNvPr>
        <xdr:cNvSpPr>
          <a:spLocks noChangeAspect="1"/>
        </xdr:cNvSpPr>
      </xdr:nvSpPr>
      <xdr:spPr>
        <a:xfrm>
          <a:off x="66384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80</xdr:row>
      <xdr:rowOff>64500</xdr:rowOff>
    </xdr:from>
    <xdr:to>
      <xdr:col>8</xdr:col>
      <xdr:colOff>684001</xdr:colOff>
      <xdr:row>81</xdr:row>
      <xdr:rowOff>37051</xdr:rowOff>
    </xdr:to>
    <xdr:sp macro="" textlink="">
      <xdr:nvSpPr>
        <xdr:cNvPr id="246710" name="フリーフォーム: 図形 246709">
          <a:extLst>
            <a:ext uri="{FF2B5EF4-FFF2-40B4-BE49-F238E27FC236}">
              <a16:creationId xmlns:a16="http://schemas.microsoft.com/office/drawing/2014/main" id="{41BF584D-12F2-4494-AF53-4120D496E21F}"/>
            </a:ext>
          </a:extLst>
        </xdr:cNvPr>
        <xdr:cNvSpPr>
          <a:spLocks noChangeAspect="1"/>
        </xdr:cNvSpPr>
      </xdr:nvSpPr>
      <xdr:spPr>
        <a:xfrm>
          <a:off x="56844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80</xdr:row>
      <xdr:rowOff>64500</xdr:rowOff>
    </xdr:from>
    <xdr:to>
      <xdr:col>9</xdr:col>
      <xdr:colOff>502201</xdr:colOff>
      <xdr:row>81</xdr:row>
      <xdr:rowOff>37051</xdr:rowOff>
    </xdr:to>
    <xdr:sp macro="" textlink="">
      <xdr:nvSpPr>
        <xdr:cNvPr id="246711" name="フリーフォーム: 図形 246710">
          <a:extLst>
            <a:ext uri="{FF2B5EF4-FFF2-40B4-BE49-F238E27FC236}">
              <a16:creationId xmlns:a16="http://schemas.microsoft.com/office/drawing/2014/main" id="{DEC7E173-C7CA-41F9-8A59-E0319B9396B3}"/>
            </a:ext>
          </a:extLst>
        </xdr:cNvPr>
        <xdr:cNvSpPr>
          <a:spLocks noChangeAspect="1"/>
        </xdr:cNvSpPr>
      </xdr:nvSpPr>
      <xdr:spPr>
        <a:xfrm>
          <a:off x="62064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75</xdr:row>
      <xdr:rowOff>75750</xdr:rowOff>
    </xdr:from>
    <xdr:to>
      <xdr:col>8</xdr:col>
      <xdr:colOff>432001</xdr:colOff>
      <xdr:row>80</xdr:row>
      <xdr:rowOff>136501</xdr:rowOff>
    </xdr:to>
    <xdr:sp macro="" textlink="">
      <xdr:nvSpPr>
        <xdr:cNvPr id="246712" name="フリーフォーム: 図形 246711">
          <a:extLst>
            <a:ext uri="{FF2B5EF4-FFF2-40B4-BE49-F238E27FC236}">
              <a16:creationId xmlns:a16="http://schemas.microsoft.com/office/drawing/2014/main" id="{E9B4B72C-8643-4FBA-A647-BFBE4758D1FF}"/>
            </a:ext>
          </a:extLst>
        </xdr:cNvPr>
        <xdr:cNvSpPr>
          <a:spLocks noChangeAspect="1"/>
        </xdr:cNvSpPr>
      </xdr:nvSpPr>
      <xdr:spPr>
        <a:xfrm>
          <a:off x="56304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69</xdr:row>
      <xdr:rowOff>114450</xdr:rowOff>
    </xdr:from>
    <xdr:to>
      <xdr:col>8</xdr:col>
      <xdr:colOff>576001</xdr:colOff>
      <xdr:row>75</xdr:row>
      <xdr:rowOff>21752</xdr:rowOff>
    </xdr:to>
    <xdr:sp macro="" textlink="">
      <xdr:nvSpPr>
        <xdr:cNvPr id="246713" name="フリーフォーム: 図形 246712">
          <a:extLst>
            <a:ext uri="{FF2B5EF4-FFF2-40B4-BE49-F238E27FC236}">
              <a16:creationId xmlns:a16="http://schemas.microsoft.com/office/drawing/2014/main" id="{6B1B6C47-0003-4A04-91D7-7EF1F9F975BD}"/>
            </a:ext>
          </a:extLst>
        </xdr:cNvPr>
        <xdr:cNvSpPr>
          <a:spLocks noChangeAspect="1"/>
        </xdr:cNvSpPr>
      </xdr:nvSpPr>
      <xdr:spPr>
        <a:xfrm>
          <a:off x="58104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74</xdr:row>
      <xdr:rowOff>139199</xdr:rowOff>
    </xdr:from>
    <xdr:to>
      <xdr:col>9</xdr:col>
      <xdr:colOff>160201</xdr:colOff>
      <xdr:row>75</xdr:row>
      <xdr:rowOff>111751</xdr:rowOff>
    </xdr:to>
    <xdr:sp macro="" textlink="">
      <xdr:nvSpPr>
        <xdr:cNvPr id="246714" name="フリーフォーム: 図形 246713">
          <a:extLst>
            <a:ext uri="{FF2B5EF4-FFF2-40B4-BE49-F238E27FC236}">
              <a16:creationId xmlns:a16="http://schemas.microsoft.com/office/drawing/2014/main" id="{BBE4AD88-BCE3-4083-8A6A-19AF1CDC070C}"/>
            </a:ext>
          </a:extLst>
        </xdr:cNvPr>
        <xdr:cNvSpPr>
          <a:spLocks noChangeAspect="1"/>
        </xdr:cNvSpPr>
      </xdr:nvSpPr>
      <xdr:spPr>
        <a:xfrm>
          <a:off x="58824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74</xdr:row>
      <xdr:rowOff>139199</xdr:rowOff>
    </xdr:from>
    <xdr:to>
      <xdr:col>9</xdr:col>
      <xdr:colOff>664201</xdr:colOff>
      <xdr:row>75</xdr:row>
      <xdr:rowOff>111751</xdr:rowOff>
    </xdr:to>
    <xdr:sp macro="" textlink="">
      <xdr:nvSpPr>
        <xdr:cNvPr id="246715" name="フリーフォーム: 図形 246714">
          <a:extLst>
            <a:ext uri="{FF2B5EF4-FFF2-40B4-BE49-F238E27FC236}">
              <a16:creationId xmlns:a16="http://schemas.microsoft.com/office/drawing/2014/main" id="{4D168C14-4D6C-44AF-AB3A-40EBA9AFAF68}"/>
            </a:ext>
          </a:extLst>
        </xdr:cNvPr>
        <xdr:cNvSpPr>
          <a:spLocks noChangeAspect="1"/>
        </xdr:cNvSpPr>
      </xdr:nvSpPr>
      <xdr:spPr>
        <a:xfrm>
          <a:off x="63864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70</xdr:row>
      <xdr:rowOff>51000</xdr:rowOff>
    </xdr:from>
    <xdr:to>
      <xdr:col>9</xdr:col>
      <xdr:colOff>178201</xdr:colOff>
      <xdr:row>75</xdr:row>
      <xdr:rowOff>3751</xdr:rowOff>
    </xdr:to>
    <xdr:sp macro="" textlink="">
      <xdr:nvSpPr>
        <xdr:cNvPr id="246716" name="フリーフォーム: 図形 246715">
          <a:extLst>
            <a:ext uri="{FF2B5EF4-FFF2-40B4-BE49-F238E27FC236}">
              <a16:creationId xmlns:a16="http://schemas.microsoft.com/office/drawing/2014/main" id="{36BA684A-BC52-4A8B-ABD3-DBCA00E06F2F}"/>
            </a:ext>
          </a:extLst>
        </xdr:cNvPr>
        <xdr:cNvSpPr>
          <a:spLocks noChangeAspect="1"/>
        </xdr:cNvSpPr>
      </xdr:nvSpPr>
      <xdr:spPr>
        <a:xfrm>
          <a:off x="60804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69</xdr:row>
      <xdr:rowOff>114450</xdr:rowOff>
    </xdr:from>
    <xdr:to>
      <xdr:col>9</xdr:col>
      <xdr:colOff>430201</xdr:colOff>
      <xdr:row>74</xdr:row>
      <xdr:rowOff>157201</xdr:rowOff>
    </xdr:to>
    <xdr:sp macro="" textlink="">
      <xdr:nvSpPr>
        <xdr:cNvPr id="246717" name="フリーフォーム: 図形 246716">
          <a:extLst>
            <a:ext uri="{FF2B5EF4-FFF2-40B4-BE49-F238E27FC236}">
              <a16:creationId xmlns:a16="http://schemas.microsoft.com/office/drawing/2014/main" id="{41F63220-D066-472B-88A6-A1529AD75AA2}"/>
            </a:ext>
          </a:extLst>
        </xdr:cNvPr>
        <xdr:cNvSpPr>
          <a:spLocks noChangeAspect="1"/>
        </xdr:cNvSpPr>
      </xdr:nvSpPr>
      <xdr:spPr>
        <a:xfrm>
          <a:off x="63504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70</xdr:row>
      <xdr:rowOff>69000</xdr:rowOff>
    </xdr:from>
    <xdr:to>
      <xdr:col>10</xdr:col>
      <xdr:colOff>68401</xdr:colOff>
      <xdr:row>75</xdr:row>
      <xdr:rowOff>3751</xdr:rowOff>
    </xdr:to>
    <xdr:sp macro="" textlink="">
      <xdr:nvSpPr>
        <xdr:cNvPr id="246718" name="フリーフォーム: 図形 246717">
          <a:extLst>
            <a:ext uri="{FF2B5EF4-FFF2-40B4-BE49-F238E27FC236}">
              <a16:creationId xmlns:a16="http://schemas.microsoft.com/office/drawing/2014/main" id="{5373F122-4EEE-4F54-AE8B-D2C8CBF7A71C}"/>
            </a:ext>
          </a:extLst>
        </xdr:cNvPr>
        <xdr:cNvSpPr>
          <a:spLocks noChangeAspect="1"/>
        </xdr:cNvSpPr>
      </xdr:nvSpPr>
      <xdr:spPr>
        <a:xfrm>
          <a:off x="64044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75</xdr:row>
      <xdr:rowOff>75750</xdr:rowOff>
    </xdr:from>
    <xdr:to>
      <xdr:col>9</xdr:col>
      <xdr:colOff>466201</xdr:colOff>
      <xdr:row>79</xdr:row>
      <xdr:rowOff>163951</xdr:rowOff>
    </xdr:to>
    <xdr:sp macro="" textlink="">
      <xdr:nvSpPr>
        <xdr:cNvPr id="246719" name="フリーフォーム: 図形 246718">
          <a:extLst>
            <a:ext uri="{FF2B5EF4-FFF2-40B4-BE49-F238E27FC236}">
              <a16:creationId xmlns:a16="http://schemas.microsoft.com/office/drawing/2014/main" id="{00DC8C0A-CB5F-4D4D-8BA3-4B93E0556B89}"/>
            </a:ext>
          </a:extLst>
        </xdr:cNvPr>
        <xdr:cNvSpPr>
          <a:spLocks noChangeAspect="1"/>
        </xdr:cNvSpPr>
      </xdr:nvSpPr>
      <xdr:spPr>
        <a:xfrm>
          <a:off x="63684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75</xdr:row>
      <xdr:rowOff>93749</xdr:rowOff>
    </xdr:from>
    <xdr:to>
      <xdr:col>9</xdr:col>
      <xdr:colOff>196201</xdr:colOff>
      <xdr:row>80</xdr:row>
      <xdr:rowOff>118501</xdr:rowOff>
    </xdr:to>
    <xdr:sp macro="" textlink="">
      <xdr:nvSpPr>
        <xdr:cNvPr id="246720" name="フリーフォーム: 図形 246719">
          <a:extLst>
            <a:ext uri="{FF2B5EF4-FFF2-40B4-BE49-F238E27FC236}">
              <a16:creationId xmlns:a16="http://schemas.microsoft.com/office/drawing/2014/main" id="{02BA22EC-0F29-45A5-AB9F-AD9EFF02696A}"/>
            </a:ext>
          </a:extLst>
        </xdr:cNvPr>
        <xdr:cNvSpPr>
          <a:spLocks noChangeAspect="1"/>
        </xdr:cNvSpPr>
      </xdr:nvSpPr>
      <xdr:spPr>
        <a:xfrm>
          <a:off x="61344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75</xdr:row>
      <xdr:rowOff>75750</xdr:rowOff>
    </xdr:from>
    <xdr:to>
      <xdr:col>9</xdr:col>
      <xdr:colOff>160201</xdr:colOff>
      <xdr:row>80</xdr:row>
      <xdr:rowOff>10501</xdr:rowOff>
    </xdr:to>
    <xdr:sp macro="" textlink="">
      <xdr:nvSpPr>
        <xdr:cNvPr id="246721" name="フリーフォーム: 図形 246720">
          <a:extLst>
            <a:ext uri="{FF2B5EF4-FFF2-40B4-BE49-F238E27FC236}">
              <a16:creationId xmlns:a16="http://schemas.microsoft.com/office/drawing/2014/main" id="{5BB18E92-3BE4-403E-BE56-FABBACC3B9E3}"/>
            </a:ext>
          </a:extLst>
        </xdr:cNvPr>
        <xdr:cNvSpPr>
          <a:spLocks noChangeAspect="1"/>
        </xdr:cNvSpPr>
      </xdr:nvSpPr>
      <xdr:spPr>
        <a:xfrm>
          <a:off x="58104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69</xdr:row>
      <xdr:rowOff>42450</xdr:rowOff>
    </xdr:from>
    <xdr:to>
      <xdr:col>12</xdr:col>
      <xdr:colOff>93601</xdr:colOff>
      <xdr:row>70</xdr:row>
      <xdr:rowOff>15001</xdr:rowOff>
    </xdr:to>
    <xdr:sp macro="" textlink="">
      <xdr:nvSpPr>
        <xdr:cNvPr id="246722" name="フリーフォーム: 図形 246721">
          <a:extLst>
            <a:ext uri="{FF2B5EF4-FFF2-40B4-BE49-F238E27FC236}">
              <a16:creationId xmlns:a16="http://schemas.microsoft.com/office/drawing/2014/main" id="{3BF51FBB-121C-4DBB-AC2C-B2A675B99E74}"/>
            </a:ext>
          </a:extLst>
        </xdr:cNvPr>
        <xdr:cNvSpPr>
          <a:spLocks noChangeAspect="1"/>
        </xdr:cNvSpPr>
      </xdr:nvSpPr>
      <xdr:spPr>
        <a:xfrm>
          <a:off x="78552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69</xdr:row>
      <xdr:rowOff>42450</xdr:rowOff>
    </xdr:from>
    <xdr:to>
      <xdr:col>12</xdr:col>
      <xdr:colOff>633601</xdr:colOff>
      <xdr:row>70</xdr:row>
      <xdr:rowOff>15001</xdr:rowOff>
    </xdr:to>
    <xdr:sp macro="" textlink="">
      <xdr:nvSpPr>
        <xdr:cNvPr id="246723" name="フリーフォーム: 図形 246722">
          <a:extLst>
            <a:ext uri="{FF2B5EF4-FFF2-40B4-BE49-F238E27FC236}">
              <a16:creationId xmlns:a16="http://schemas.microsoft.com/office/drawing/2014/main" id="{7F666663-47FE-4710-AE97-AEF718E576BF}"/>
            </a:ext>
          </a:extLst>
        </xdr:cNvPr>
        <xdr:cNvSpPr>
          <a:spLocks noChangeAspect="1"/>
        </xdr:cNvSpPr>
      </xdr:nvSpPr>
      <xdr:spPr>
        <a:xfrm>
          <a:off x="83952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69</xdr:row>
      <xdr:rowOff>114450</xdr:rowOff>
    </xdr:from>
    <xdr:to>
      <xdr:col>13</xdr:col>
      <xdr:colOff>19801</xdr:colOff>
      <xdr:row>75</xdr:row>
      <xdr:rowOff>21752</xdr:rowOff>
    </xdr:to>
    <xdr:sp macro="" textlink="">
      <xdr:nvSpPr>
        <xdr:cNvPr id="246724" name="フリーフォーム: 図形 246723">
          <a:extLst>
            <a:ext uri="{FF2B5EF4-FFF2-40B4-BE49-F238E27FC236}">
              <a16:creationId xmlns:a16="http://schemas.microsoft.com/office/drawing/2014/main" id="{E5A974A6-FAED-4089-8F89-46E936EFE1A5}"/>
            </a:ext>
          </a:extLst>
        </xdr:cNvPr>
        <xdr:cNvSpPr>
          <a:spLocks noChangeAspect="1"/>
        </xdr:cNvSpPr>
      </xdr:nvSpPr>
      <xdr:spPr>
        <a:xfrm>
          <a:off x="86472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75</xdr:row>
      <xdr:rowOff>75750</xdr:rowOff>
    </xdr:from>
    <xdr:to>
      <xdr:col>12</xdr:col>
      <xdr:colOff>525601</xdr:colOff>
      <xdr:row>80</xdr:row>
      <xdr:rowOff>136501</xdr:rowOff>
    </xdr:to>
    <xdr:sp macro="" textlink="">
      <xdr:nvSpPr>
        <xdr:cNvPr id="246725" name="フリーフォーム: 図形 246724">
          <a:extLst>
            <a:ext uri="{FF2B5EF4-FFF2-40B4-BE49-F238E27FC236}">
              <a16:creationId xmlns:a16="http://schemas.microsoft.com/office/drawing/2014/main" id="{BBBD8D24-F623-4CB5-800B-09A48FAF6D47}"/>
            </a:ext>
          </a:extLst>
        </xdr:cNvPr>
        <xdr:cNvSpPr>
          <a:spLocks noChangeAspect="1"/>
        </xdr:cNvSpPr>
      </xdr:nvSpPr>
      <xdr:spPr>
        <a:xfrm>
          <a:off x="84672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80</xdr:row>
      <xdr:rowOff>64500</xdr:rowOff>
    </xdr:from>
    <xdr:to>
      <xdr:col>11</xdr:col>
      <xdr:colOff>455401</xdr:colOff>
      <xdr:row>81</xdr:row>
      <xdr:rowOff>37051</xdr:rowOff>
    </xdr:to>
    <xdr:sp macro="" textlink="">
      <xdr:nvSpPr>
        <xdr:cNvPr id="246726" name="フリーフォーム: 図形 246725">
          <a:extLst>
            <a:ext uri="{FF2B5EF4-FFF2-40B4-BE49-F238E27FC236}">
              <a16:creationId xmlns:a16="http://schemas.microsoft.com/office/drawing/2014/main" id="{5C5D60B2-E4D6-403B-BC0D-BD09F4FF63FD}"/>
            </a:ext>
          </a:extLst>
        </xdr:cNvPr>
        <xdr:cNvSpPr>
          <a:spLocks noChangeAspect="1"/>
        </xdr:cNvSpPr>
      </xdr:nvSpPr>
      <xdr:spPr>
        <a:xfrm>
          <a:off x="75132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80</xdr:row>
      <xdr:rowOff>64500</xdr:rowOff>
    </xdr:from>
    <xdr:to>
      <xdr:col>12</xdr:col>
      <xdr:colOff>273601</xdr:colOff>
      <xdr:row>81</xdr:row>
      <xdr:rowOff>37051</xdr:rowOff>
    </xdr:to>
    <xdr:sp macro="" textlink="">
      <xdr:nvSpPr>
        <xdr:cNvPr id="246727" name="フリーフォーム: 図形 246726">
          <a:extLst>
            <a:ext uri="{FF2B5EF4-FFF2-40B4-BE49-F238E27FC236}">
              <a16:creationId xmlns:a16="http://schemas.microsoft.com/office/drawing/2014/main" id="{00697C58-C525-422A-BF73-FD0F48E2BAE5}"/>
            </a:ext>
          </a:extLst>
        </xdr:cNvPr>
        <xdr:cNvSpPr>
          <a:spLocks noChangeAspect="1"/>
        </xdr:cNvSpPr>
      </xdr:nvSpPr>
      <xdr:spPr>
        <a:xfrm>
          <a:off x="80352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75</xdr:row>
      <xdr:rowOff>75750</xdr:rowOff>
    </xdr:from>
    <xdr:to>
      <xdr:col>11</xdr:col>
      <xdr:colOff>203401</xdr:colOff>
      <xdr:row>80</xdr:row>
      <xdr:rowOff>136501</xdr:rowOff>
    </xdr:to>
    <xdr:sp macro="" textlink="">
      <xdr:nvSpPr>
        <xdr:cNvPr id="246728" name="フリーフォーム: 図形 246727">
          <a:extLst>
            <a:ext uri="{FF2B5EF4-FFF2-40B4-BE49-F238E27FC236}">
              <a16:creationId xmlns:a16="http://schemas.microsoft.com/office/drawing/2014/main" id="{04303EFB-72A8-4E17-9568-C58718F59887}"/>
            </a:ext>
          </a:extLst>
        </xdr:cNvPr>
        <xdr:cNvSpPr>
          <a:spLocks noChangeAspect="1"/>
        </xdr:cNvSpPr>
      </xdr:nvSpPr>
      <xdr:spPr>
        <a:xfrm>
          <a:off x="74592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69</xdr:row>
      <xdr:rowOff>114450</xdr:rowOff>
    </xdr:from>
    <xdr:to>
      <xdr:col>11</xdr:col>
      <xdr:colOff>347401</xdr:colOff>
      <xdr:row>75</xdr:row>
      <xdr:rowOff>21752</xdr:rowOff>
    </xdr:to>
    <xdr:sp macro="" textlink="">
      <xdr:nvSpPr>
        <xdr:cNvPr id="246729" name="フリーフォーム: 図形 246728">
          <a:extLst>
            <a:ext uri="{FF2B5EF4-FFF2-40B4-BE49-F238E27FC236}">
              <a16:creationId xmlns:a16="http://schemas.microsoft.com/office/drawing/2014/main" id="{6DAEF6D6-8B25-4C79-9D96-0D91A1137622}"/>
            </a:ext>
          </a:extLst>
        </xdr:cNvPr>
        <xdr:cNvSpPr>
          <a:spLocks noChangeAspect="1"/>
        </xdr:cNvSpPr>
      </xdr:nvSpPr>
      <xdr:spPr>
        <a:xfrm>
          <a:off x="76392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74</xdr:row>
      <xdr:rowOff>139199</xdr:rowOff>
    </xdr:from>
    <xdr:to>
      <xdr:col>11</xdr:col>
      <xdr:colOff>617401</xdr:colOff>
      <xdr:row>75</xdr:row>
      <xdr:rowOff>111751</xdr:rowOff>
    </xdr:to>
    <xdr:sp macro="" textlink="">
      <xdr:nvSpPr>
        <xdr:cNvPr id="246730" name="フリーフォーム: 図形 246729">
          <a:extLst>
            <a:ext uri="{FF2B5EF4-FFF2-40B4-BE49-F238E27FC236}">
              <a16:creationId xmlns:a16="http://schemas.microsoft.com/office/drawing/2014/main" id="{7F993C1B-A779-49D1-B8E3-1A897B2F4DE3}"/>
            </a:ext>
          </a:extLst>
        </xdr:cNvPr>
        <xdr:cNvSpPr>
          <a:spLocks noChangeAspect="1"/>
        </xdr:cNvSpPr>
      </xdr:nvSpPr>
      <xdr:spPr>
        <a:xfrm>
          <a:off x="77112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74</xdr:row>
      <xdr:rowOff>139199</xdr:rowOff>
    </xdr:from>
    <xdr:to>
      <xdr:col>12</xdr:col>
      <xdr:colOff>435601</xdr:colOff>
      <xdr:row>75</xdr:row>
      <xdr:rowOff>111751</xdr:rowOff>
    </xdr:to>
    <xdr:sp macro="" textlink="">
      <xdr:nvSpPr>
        <xdr:cNvPr id="246731" name="フリーフォーム: 図形 246730">
          <a:extLst>
            <a:ext uri="{FF2B5EF4-FFF2-40B4-BE49-F238E27FC236}">
              <a16:creationId xmlns:a16="http://schemas.microsoft.com/office/drawing/2014/main" id="{1BFE232D-FA99-402C-917C-6B8AD74DD1CB}"/>
            </a:ext>
          </a:extLst>
        </xdr:cNvPr>
        <xdr:cNvSpPr>
          <a:spLocks noChangeAspect="1"/>
        </xdr:cNvSpPr>
      </xdr:nvSpPr>
      <xdr:spPr>
        <a:xfrm>
          <a:off x="82152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70</xdr:row>
      <xdr:rowOff>51000</xdr:rowOff>
    </xdr:from>
    <xdr:to>
      <xdr:col>11</xdr:col>
      <xdr:colOff>635401</xdr:colOff>
      <xdr:row>75</xdr:row>
      <xdr:rowOff>3751</xdr:rowOff>
    </xdr:to>
    <xdr:sp macro="" textlink="">
      <xdr:nvSpPr>
        <xdr:cNvPr id="246732" name="フリーフォーム: 図形 246731">
          <a:extLst>
            <a:ext uri="{FF2B5EF4-FFF2-40B4-BE49-F238E27FC236}">
              <a16:creationId xmlns:a16="http://schemas.microsoft.com/office/drawing/2014/main" id="{ADF5EC18-06D5-40B9-85CD-D403708B0F21}"/>
            </a:ext>
          </a:extLst>
        </xdr:cNvPr>
        <xdr:cNvSpPr>
          <a:spLocks noChangeAspect="1"/>
        </xdr:cNvSpPr>
      </xdr:nvSpPr>
      <xdr:spPr>
        <a:xfrm>
          <a:off x="79092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69</xdr:row>
      <xdr:rowOff>114450</xdr:rowOff>
    </xdr:from>
    <xdr:to>
      <xdr:col>12</xdr:col>
      <xdr:colOff>201601</xdr:colOff>
      <xdr:row>74</xdr:row>
      <xdr:rowOff>157201</xdr:rowOff>
    </xdr:to>
    <xdr:sp macro="" textlink="">
      <xdr:nvSpPr>
        <xdr:cNvPr id="246733" name="フリーフォーム: 図形 246732">
          <a:extLst>
            <a:ext uri="{FF2B5EF4-FFF2-40B4-BE49-F238E27FC236}">
              <a16:creationId xmlns:a16="http://schemas.microsoft.com/office/drawing/2014/main" id="{F76DED59-D87B-44B5-9C8D-0C6A563FA01A}"/>
            </a:ext>
          </a:extLst>
        </xdr:cNvPr>
        <xdr:cNvSpPr>
          <a:spLocks noChangeAspect="1"/>
        </xdr:cNvSpPr>
      </xdr:nvSpPr>
      <xdr:spPr>
        <a:xfrm>
          <a:off x="81792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70</xdr:row>
      <xdr:rowOff>69000</xdr:rowOff>
    </xdr:from>
    <xdr:to>
      <xdr:col>12</xdr:col>
      <xdr:colOff>525601</xdr:colOff>
      <xdr:row>75</xdr:row>
      <xdr:rowOff>3751</xdr:rowOff>
    </xdr:to>
    <xdr:sp macro="" textlink="">
      <xdr:nvSpPr>
        <xdr:cNvPr id="246734" name="フリーフォーム: 図形 246733">
          <a:extLst>
            <a:ext uri="{FF2B5EF4-FFF2-40B4-BE49-F238E27FC236}">
              <a16:creationId xmlns:a16="http://schemas.microsoft.com/office/drawing/2014/main" id="{AB05A469-F5BC-4A5D-9374-D2A7BB509052}"/>
            </a:ext>
          </a:extLst>
        </xdr:cNvPr>
        <xdr:cNvSpPr>
          <a:spLocks noChangeAspect="1"/>
        </xdr:cNvSpPr>
      </xdr:nvSpPr>
      <xdr:spPr>
        <a:xfrm>
          <a:off x="82332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75</xdr:row>
      <xdr:rowOff>75750</xdr:rowOff>
    </xdr:from>
    <xdr:to>
      <xdr:col>12</xdr:col>
      <xdr:colOff>237601</xdr:colOff>
      <xdr:row>79</xdr:row>
      <xdr:rowOff>163951</xdr:rowOff>
    </xdr:to>
    <xdr:sp macro="" textlink="">
      <xdr:nvSpPr>
        <xdr:cNvPr id="246735" name="フリーフォーム: 図形 246734">
          <a:extLst>
            <a:ext uri="{FF2B5EF4-FFF2-40B4-BE49-F238E27FC236}">
              <a16:creationId xmlns:a16="http://schemas.microsoft.com/office/drawing/2014/main" id="{CBF3B87E-5392-4D41-9BAD-42D523AA187B}"/>
            </a:ext>
          </a:extLst>
        </xdr:cNvPr>
        <xdr:cNvSpPr>
          <a:spLocks noChangeAspect="1"/>
        </xdr:cNvSpPr>
      </xdr:nvSpPr>
      <xdr:spPr>
        <a:xfrm>
          <a:off x="81972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75</xdr:row>
      <xdr:rowOff>93749</xdr:rowOff>
    </xdr:from>
    <xdr:to>
      <xdr:col>11</xdr:col>
      <xdr:colOff>653401</xdr:colOff>
      <xdr:row>80</xdr:row>
      <xdr:rowOff>118501</xdr:rowOff>
    </xdr:to>
    <xdr:sp macro="" textlink="">
      <xdr:nvSpPr>
        <xdr:cNvPr id="246736" name="フリーフォーム: 図形 246735">
          <a:extLst>
            <a:ext uri="{FF2B5EF4-FFF2-40B4-BE49-F238E27FC236}">
              <a16:creationId xmlns:a16="http://schemas.microsoft.com/office/drawing/2014/main" id="{A6C1C695-500C-4A2F-9867-5900510A6BEE}"/>
            </a:ext>
          </a:extLst>
        </xdr:cNvPr>
        <xdr:cNvSpPr>
          <a:spLocks noChangeAspect="1"/>
        </xdr:cNvSpPr>
      </xdr:nvSpPr>
      <xdr:spPr>
        <a:xfrm>
          <a:off x="79632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75</xdr:row>
      <xdr:rowOff>75750</xdr:rowOff>
    </xdr:from>
    <xdr:to>
      <xdr:col>11</xdr:col>
      <xdr:colOff>617401</xdr:colOff>
      <xdr:row>80</xdr:row>
      <xdr:rowOff>10501</xdr:rowOff>
    </xdr:to>
    <xdr:sp macro="" textlink="">
      <xdr:nvSpPr>
        <xdr:cNvPr id="246737" name="フリーフォーム: 図形 246736">
          <a:extLst>
            <a:ext uri="{FF2B5EF4-FFF2-40B4-BE49-F238E27FC236}">
              <a16:creationId xmlns:a16="http://schemas.microsoft.com/office/drawing/2014/main" id="{3C5DBDE6-EB10-43E7-B9F1-91EE303DFD06}"/>
            </a:ext>
          </a:extLst>
        </xdr:cNvPr>
        <xdr:cNvSpPr>
          <a:spLocks noChangeAspect="1"/>
        </xdr:cNvSpPr>
      </xdr:nvSpPr>
      <xdr:spPr>
        <a:xfrm>
          <a:off x="76392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69</xdr:row>
      <xdr:rowOff>42450</xdr:rowOff>
    </xdr:from>
    <xdr:to>
      <xdr:col>14</xdr:col>
      <xdr:colOff>550801</xdr:colOff>
      <xdr:row>70</xdr:row>
      <xdr:rowOff>15001</xdr:rowOff>
    </xdr:to>
    <xdr:sp macro="" textlink="">
      <xdr:nvSpPr>
        <xdr:cNvPr id="246738" name="フリーフォーム: 図形 246737">
          <a:extLst>
            <a:ext uri="{FF2B5EF4-FFF2-40B4-BE49-F238E27FC236}">
              <a16:creationId xmlns:a16="http://schemas.microsoft.com/office/drawing/2014/main" id="{FEE45A91-E93C-4B4B-B1A1-056830BE84EF}"/>
            </a:ext>
          </a:extLst>
        </xdr:cNvPr>
        <xdr:cNvSpPr>
          <a:spLocks noChangeAspect="1"/>
        </xdr:cNvSpPr>
      </xdr:nvSpPr>
      <xdr:spPr>
        <a:xfrm>
          <a:off x="96840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69</xdr:row>
      <xdr:rowOff>42450</xdr:rowOff>
    </xdr:from>
    <xdr:to>
      <xdr:col>15</xdr:col>
      <xdr:colOff>405001</xdr:colOff>
      <xdr:row>70</xdr:row>
      <xdr:rowOff>15001</xdr:rowOff>
    </xdr:to>
    <xdr:sp macro="" textlink="">
      <xdr:nvSpPr>
        <xdr:cNvPr id="246739" name="フリーフォーム: 図形 246738">
          <a:extLst>
            <a:ext uri="{FF2B5EF4-FFF2-40B4-BE49-F238E27FC236}">
              <a16:creationId xmlns:a16="http://schemas.microsoft.com/office/drawing/2014/main" id="{B846CF66-7529-4E3E-93EB-8BE3735CC931}"/>
            </a:ext>
          </a:extLst>
        </xdr:cNvPr>
        <xdr:cNvSpPr>
          <a:spLocks noChangeAspect="1"/>
        </xdr:cNvSpPr>
      </xdr:nvSpPr>
      <xdr:spPr>
        <a:xfrm>
          <a:off x="102240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69</xdr:row>
      <xdr:rowOff>114450</xdr:rowOff>
    </xdr:from>
    <xdr:to>
      <xdr:col>15</xdr:col>
      <xdr:colOff>477001</xdr:colOff>
      <xdr:row>75</xdr:row>
      <xdr:rowOff>21752</xdr:rowOff>
    </xdr:to>
    <xdr:sp macro="" textlink="">
      <xdr:nvSpPr>
        <xdr:cNvPr id="246740" name="フリーフォーム: 図形 246739">
          <a:extLst>
            <a:ext uri="{FF2B5EF4-FFF2-40B4-BE49-F238E27FC236}">
              <a16:creationId xmlns:a16="http://schemas.microsoft.com/office/drawing/2014/main" id="{364B66DB-A632-4445-9277-23BBF3095411}"/>
            </a:ext>
          </a:extLst>
        </xdr:cNvPr>
        <xdr:cNvSpPr>
          <a:spLocks noChangeAspect="1"/>
        </xdr:cNvSpPr>
      </xdr:nvSpPr>
      <xdr:spPr>
        <a:xfrm>
          <a:off x="104760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75</xdr:row>
      <xdr:rowOff>75750</xdr:rowOff>
    </xdr:from>
    <xdr:to>
      <xdr:col>15</xdr:col>
      <xdr:colOff>297001</xdr:colOff>
      <xdr:row>80</xdr:row>
      <xdr:rowOff>136501</xdr:rowOff>
    </xdr:to>
    <xdr:sp macro="" textlink="">
      <xdr:nvSpPr>
        <xdr:cNvPr id="246741" name="フリーフォーム: 図形 246740">
          <a:extLst>
            <a:ext uri="{FF2B5EF4-FFF2-40B4-BE49-F238E27FC236}">
              <a16:creationId xmlns:a16="http://schemas.microsoft.com/office/drawing/2014/main" id="{C9CF81FB-073B-459C-B293-F9B7F4C3E9E4}"/>
            </a:ext>
          </a:extLst>
        </xdr:cNvPr>
        <xdr:cNvSpPr>
          <a:spLocks noChangeAspect="1"/>
        </xdr:cNvSpPr>
      </xdr:nvSpPr>
      <xdr:spPr>
        <a:xfrm>
          <a:off x="102960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80</xdr:row>
      <xdr:rowOff>64500</xdr:rowOff>
    </xdr:from>
    <xdr:to>
      <xdr:col>14</xdr:col>
      <xdr:colOff>226801</xdr:colOff>
      <xdr:row>81</xdr:row>
      <xdr:rowOff>37051</xdr:rowOff>
    </xdr:to>
    <xdr:sp macro="" textlink="">
      <xdr:nvSpPr>
        <xdr:cNvPr id="246742" name="フリーフォーム: 図形 246741">
          <a:extLst>
            <a:ext uri="{FF2B5EF4-FFF2-40B4-BE49-F238E27FC236}">
              <a16:creationId xmlns:a16="http://schemas.microsoft.com/office/drawing/2014/main" id="{64B0ADE0-CEB3-4794-A9EE-CCFCCA5D9031}"/>
            </a:ext>
          </a:extLst>
        </xdr:cNvPr>
        <xdr:cNvSpPr>
          <a:spLocks noChangeAspect="1"/>
        </xdr:cNvSpPr>
      </xdr:nvSpPr>
      <xdr:spPr>
        <a:xfrm>
          <a:off x="93420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80</xdr:row>
      <xdr:rowOff>64500</xdr:rowOff>
    </xdr:from>
    <xdr:to>
      <xdr:col>15</xdr:col>
      <xdr:colOff>45001</xdr:colOff>
      <xdr:row>81</xdr:row>
      <xdr:rowOff>37051</xdr:rowOff>
    </xdr:to>
    <xdr:sp macro="" textlink="">
      <xdr:nvSpPr>
        <xdr:cNvPr id="246743" name="フリーフォーム: 図形 246742">
          <a:extLst>
            <a:ext uri="{FF2B5EF4-FFF2-40B4-BE49-F238E27FC236}">
              <a16:creationId xmlns:a16="http://schemas.microsoft.com/office/drawing/2014/main" id="{4B58FA37-E56C-45E8-9159-D7B731FD529A}"/>
            </a:ext>
          </a:extLst>
        </xdr:cNvPr>
        <xdr:cNvSpPr>
          <a:spLocks noChangeAspect="1"/>
        </xdr:cNvSpPr>
      </xdr:nvSpPr>
      <xdr:spPr>
        <a:xfrm>
          <a:off x="98640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75</xdr:row>
      <xdr:rowOff>75750</xdr:rowOff>
    </xdr:from>
    <xdr:to>
      <xdr:col>13</xdr:col>
      <xdr:colOff>660601</xdr:colOff>
      <xdr:row>80</xdr:row>
      <xdr:rowOff>136501</xdr:rowOff>
    </xdr:to>
    <xdr:sp macro="" textlink="">
      <xdr:nvSpPr>
        <xdr:cNvPr id="246744" name="フリーフォーム: 図形 246743">
          <a:extLst>
            <a:ext uri="{FF2B5EF4-FFF2-40B4-BE49-F238E27FC236}">
              <a16:creationId xmlns:a16="http://schemas.microsoft.com/office/drawing/2014/main" id="{8900CF0D-24A7-4413-AC88-CEEFD83365F7}"/>
            </a:ext>
          </a:extLst>
        </xdr:cNvPr>
        <xdr:cNvSpPr>
          <a:spLocks noChangeAspect="1"/>
        </xdr:cNvSpPr>
      </xdr:nvSpPr>
      <xdr:spPr>
        <a:xfrm>
          <a:off x="92880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69</xdr:row>
      <xdr:rowOff>114450</xdr:rowOff>
    </xdr:from>
    <xdr:to>
      <xdr:col>14</xdr:col>
      <xdr:colOff>118801</xdr:colOff>
      <xdr:row>75</xdr:row>
      <xdr:rowOff>21752</xdr:rowOff>
    </xdr:to>
    <xdr:sp macro="" textlink="">
      <xdr:nvSpPr>
        <xdr:cNvPr id="246745" name="フリーフォーム: 図形 246744">
          <a:extLst>
            <a:ext uri="{FF2B5EF4-FFF2-40B4-BE49-F238E27FC236}">
              <a16:creationId xmlns:a16="http://schemas.microsoft.com/office/drawing/2014/main" id="{498D3D40-2FA9-43A1-B2AD-124EFD99B3D4}"/>
            </a:ext>
          </a:extLst>
        </xdr:cNvPr>
        <xdr:cNvSpPr>
          <a:spLocks noChangeAspect="1"/>
        </xdr:cNvSpPr>
      </xdr:nvSpPr>
      <xdr:spPr>
        <a:xfrm>
          <a:off x="94680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74</xdr:row>
      <xdr:rowOff>139199</xdr:rowOff>
    </xdr:from>
    <xdr:to>
      <xdr:col>14</xdr:col>
      <xdr:colOff>388801</xdr:colOff>
      <xdr:row>75</xdr:row>
      <xdr:rowOff>111751</xdr:rowOff>
    </xdr:to>
    <xdr:sp macro="" textlink="">
      <xdr:nvSpPr>
        <xdr:cNvPr id="246746" name="フリーフォーム: 図形 246745">
          <a:extLst>
            <a:ext uri="{FF2B5EF4-FFF2-40B4-BE49-F238E27FC236}">
              <a16:creationId xmlns:a16="http://schemas.microsoft.com/office/drawing/2014/main" id="{5440D315-6A3F-4DE5-8F9E-B5D90C5492C8}"/>
            </a:ext>
          </a:extLst>
        </xdr:cNvPr>
        <xdr:cNvSpPr>
          <a:spLocks noChangeAspect="1"/>
        </xdr:cNvSpPr>
      </xdr:nvSpPr>
      <xdr:spPr>
        <a:xfrm>
          <a:off x="95400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74</xdr:row>
      <xdr:rowOff>139199</xdr:rowOff>
    </xdr:from>
    <xdr:to>
      <xdr:col>15</xdr:col>
      <xdr:colOff>207001</xdr:colOff>
      <xdr:row>75</xdr:row>
      <xdr:rowOff>111751</xdr:rowOff>
    </xdr:to>
    <xdr:sp macro="" textlink="">
      <xdr:nvSpPr>
        <xdr:cNvPr id="246747" name="フリーフォーム: 図形 246746">
          <a:extLst>
            <a:ext uri="{FF2B5EF4-FFF2-40B4-BE49-F238E27FC236}">
              <a16:creationId xmlns:a16="http://schemas.microsoft.com/office/drawing/2014/main" id="{37648A90-CB2E-49B6-B72F-E64FDD383147}"/>
            </a:ext>
          </a:extLst>
        </xdr:cNvPr>
        <xdr:cNvSpPr>
          <a:spLocks noChangeAspect="1"/>
        </xdr:cNvSpPr>
      </xdr:nvSpPr>
      <xdr:spPr>
        <a:xfrm>
          <a:off x="100440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70</xdr:row>
      <xdr:rowOff>51000</xdr:rowOff>
    </xdr:from>
    <xdr:to>
      <xdr:col>14</xdr:col>
      <xdr:colOff>406801</xdr:colOff>
      <xdr:row>75</xdr:row>
      <xdr:rowOff>3751</xdr:rowOff>
    </xdr:to>
    <xdr:sp macro="" textlink="">
      <xdr:nvSpPr>
        <xdr:cNvPr id="246748" name="フリーフォーム: 図形 246747">
          <a:extLst>
            <a:ext uri="{FF2B5EF4-FFF2-40B4-BE49-F238E27FC236}">
              <a16:creationId xmlns:a16="http://schemas.microsoft.com/office/drawing/2014/main" id="{1284292E-3C7C-4BFE-9BCD-0490CD6FD9AF}"/>
            </a:ext>
          </a:extLst>
        </xdr:cNvPr>
        <xdr:cNvSpPr>
          <a:spLocks noChangeAspect="1"/>
        </xdr:cNvSpPr>
      </xdr:nvSpPr>
      <xdr:spPr>
        <a:xfrm>
          <a:off x="97380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69</xdr:row>
      <xdr:rowOff>114450</xdr:rowOff>
    </xdr:from>
    <xdr:to>
      <xdr:col>14</xdr:col>
      <xdr:colOff>658801</xdr:colOff>
      <xdr:row>74</xdr:row>
      <xdr:rowOff>157201</xdr:rowOff>
    </xdr:to>
    <xdr:sp macro="" textlink="">
      <xdr:nvSpPr>
        <xdr:cNvPr id="246749" name="フリーフォーム: 図形 246748">
          <a:extLst>
            <a:ext uri="{FF2B5EF4-FFF2-40B4-BE49-F238E27FC236}">
              <a16:creationId xmlns:a16="http://schemas.microsoft.com/office/drawing/2014/main" id="{7E2B2B66-81CF-4EFD-BB1C-957A1FFE7032}"/>
            </a:ext>
          </a:extLst>
        </xdr:cNvPr>
        <xdr:cNvSpPr>
          <a:spLocks noChangeAspect="1"/>
        </xdr:cNvSpPr>
      </xdr:nvSpPr>
      <xdr:spPr>
        <a:xfrm>
          <a:off x="100080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70</xdr:row>
      <xdr:rowOff>69000</xdr:rowOff>
    </xdr:from>
    <xdr:to>
      <xdr:col>15</xdr:col>
      <xdr:colOff>297001</xdr:colOff>
      <xdr:row>75</xdr:row>
      <xdr:rowOff>3751</xdr:rowOff>
    </xdr:to>
    <xdr:sp macro="" textlink="">
      <xdr:nvSpPr>
        <xdr:cNvPr id="246750" name="フリーフォーム: 図形 246749">
          <a:extLst>
            <a:ext uri="{FF2B5EF4-FFF2-40B4-BE49-F238E27FC236}">
              <a16:creationId xmlns:a16="http://schemas.microsoft.com/office/drawing/2014/main" id="{9896705D-3252-4B22-9813-4A504807EEDD}"/>
            </a:ext>
          </a:extLst>
        </xdr:cNvPr>
        <xdr:cNvSpPr>
          <a:spLocks noChangeAspect="1"/>
        </xdr:cNvSpPr>
      </xdr:nvSpPr>
      <xdr:spPr>
        <a:xfrm>
          <a:off x="100620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75</xdr:row>
      <xdr:rowOff>75750</xdr:rowOff>
    </xdr:from>
    <xdr:to>
      <xdr:col>15</xdr:col>
      <xdr:colOff>9001</xdr:colOff>
      <xdr:row>79</xdr:row>
      <xdr:rowOff>163951</xdr:rowOff>
    </xdr:to>
    <xdr:sp macro="" textlink="">
      <xdr:nvSpPr>
        <xdr:cNvPr id="246751" name="フリーフォーム: 図形 246750">
          <a:extLst>
            <a:ext uri="{FF2B5EF4-FFF2-40B4-BE49-F238E27FC236}">
              <a16:creationId xmlns:a16="http://schemas.microsoft.com/office/drawing/2014/main" id="{16581041-48AE-4647-81FA-12B76101935C}"/>
            </a:ext>
          </a:extLst>
        </xdr:cNvPr>
        <xdr:cNvSpPr>
          <a:spLocks noChangeAspect="1"/>
        </xdr:cNvSpPr>
      </xdr:nvSpPr>
      <xdr:spPr>
        <a:xfrm>
          <a:off x="100260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75</xdr:row>
      <xdr:rowOff>93749</xdr:rowOff>
    </xdr:from>
    <xdr:to>
      <xdr:col>14</xdr:col>
      <xdr:colOff>424801</xdr:colOff>
      <xdr:row>80</xdr:row>
      <xdr:rowOff>118501</xdr:rowOff>
    </xdr:to>
    <xdr:sp macro="" textlink="">
      <xdr:nvSpPr>
        <xdr:cNvPr id="246752" name="フリーフォーム: 図形 246751">
          <a:extLst>
            <a:ext uri="{FF2B5EF4-FFF2-40B4-BE49-F238E27FC236}">
              <a16:creationId xmlns:a16="http://schemas.microsoft.com/office/drawing/2014/main" id="{E64A3E6E-653B-4F56-BB55-A9B60A039A06}"/>
            </a:ext>
          </a:extLst>
        </xdr:cNvPr>
        <xdr:cNvSpPr>
          <a:spLocks noChangeAspect="1"/>
        </xdr:cNvSpPr>
      </xdr:nvSpPr>
      <xdr:spPr>
        <a:xfrm>
          <a:off x="97920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75</xdr:row>
      <xdr:rowOff>75750</xdr:rowOff>
    </xdr:from>
    <xdr:to>
      <xdr:col>14</xdr:col>
      <xdr:colOff>388801</xdr:colOff>
      <xdr:row>80</xdr:row>
      <xdr:rowOff>10501</xdr:rowOff>
    </xdr:to>
    <xdr:sp macro="" textlink="">
      <xdr:nvSpPr>
        <xdr:cNvPr id="246753" name="フリーフォーム: 図形 246752">
          <a:extLst>
            <a:ext uri="{FF2B5EF4-FFF2-40B4-BE49-F238E27FC236}">
              <a16:creationId xmlns:a16="http://schemas.microsoft.com/office/drawing/2014/main" id="{F60C02B0-B54A-46A0-BC7F-84A486EAA5B0}"/>
            </a:ext>
          </a:extLst>
        </xdr:cNvPr>
        <xdr:cNvSpPr>
          <a:spLocks noChangeAspect="1"/>
        </xdr:cNvSpPr>
      </xdr:nvSpPr>
      <xdr:spPr>
        <a:xfrm>
          <a:off x="94680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69</xdr:row>
      <xdr:rowOff>42450</xdr:rowOff>
    </xdr:from>
    <xdr:to>
      <xdr:col>17</xdr:col>
      <xdr:colOff>322201</xdr:colOff>
      <xdr:row>70</xdr:row>
      <xdr:rowOff>15001</xdr:rowOff>
    </xdr:to>
    <xdr:sp macro="" textlink="">
      <xdr:nvSpPr>
        <xdr:cNvPr id="246754" name="フリーフォーム: 図形 246753">
          <a:extLst>
            <a:ext uri="{FF2B5EF4-FFF2-40B4-BE49-F238E27FC236}">
              <a16:creationId xmlns:a16="http://schemas.microsoft.com/office/drawing/2014/main" id="{492565E8-418B-403A-A6C4-1C4AB7BBE521}"/>
            </a:ext>
          </a:extLst>
        </xdr:cNvPr>
        <xdr:cNvSpPr>
          <a:spLocks noChangeAspect="1"/>
        </xdr:cNvSpPr>
      </xdr:nvSpPr>
      <xdr:spPr>
        <a:xfrm>
          <a:off x="11512800" y="12139200"/>
          <a:ext cx="468001" cy="144001"/>
        </a:xfrm>
        <a:custGeom>
          <a:avLst/>
          <a:gdLst/>
          <a:ahLst/>
          <a:cxnLst/>
          <a:rect l="0" t="0" r="0" b="0"/>
          <a:pathLst>
            <a:path w="468001" h="144001">
              <a:moveTo>
                <a:pt x="72000" y="0"/>
              </a:moveTo>
              <a:lnTo>
                <a:pt x="432000" y="0"/>
              </a:lnTo>
              <a:lnTo>
                <a:pt x="468000" y="36000"/>
              </a:lnTo>
              <a:lnTo>
                <a:pt x="360000"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69</xdr:row>
      <xdr:rowOff>42450</xdr:rowOff>
    </xdr:from>
    <xdr:to>
      <xdr:col>18</xdr:col>
      <xdr:colOff>176401</xdr:colOff>
      <xdr:row>70</xdr:row>
      <xdr:rowOff>15001</xdr:rowOff>
    </xdr:to>
    <xdr:sp macro="" textlink="">
      <xdr:nvSpPr>
        <xdr:cNvPr id="246755" name="フリーフォーム: 図形 246754">
          <a:extLst>
            <a:ext uri="{FF2B5EF4-FFF2-40B4-BE49-F238E27FC236}">
              <a16:creationId xmlns:a16="http://schemas.microsoft.com/office/drawing/2014/main" id="{C9E84684-C3F6-4D0F-9EB0-A7496C8862C5}"/>
            </a:ext>
          </a:extLst>
        </xdr:cNvPr>
        <xdr:cNvSpPr>
          <a:spLocks noChangeAspect="1"/>
        </xdr:cNvSpPr>
      </xdr:nvSpPr>
      <xdr:spPr>
        <a:xfrm>
          <a:off x="12052800" y="12139200"/>
          <a:ext cx="468001" cy="144001"/>
        </a:xfrm>
        <a:custGeom>
          <a:avLst/>
          <a:gdLst/>
          <a:ahLst/>
          <a:cxnLst/>
          <a:rect l="0" t="0" r="0" b="0"/>
          <a:pathLst>
            <a:path w="468001" h="144001">
              <a:moveTo>
                <a:pt x="72000" y="0"/>
              </a:moveTo>
              <a:lnTo>
                <a:pt x="432000" y="0"/>
              </a:lnTo>
              <a:lnTo>
                <a:pt x="468000" y="36000"/>
              </a:lnTo>
              <a:lnTo>
                <a:pt x="360000" y="144000"/>
              </a:lnTo>
              <a:lnTo>
                <a:pt x="90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69</xdr:row>
      <xdr:rowOff>114450</xdr:rowOff>
    </xdr:from>
    <xdr:to>
      <xdr:col>18</xdr:col>
      <xdr:colOff>248401</xdr:colOff>
      <xdr:row>75</xdr:row>
      <xdr:rowOff>21752</xdr:rowOff>
    </xdr:to>
    <xdr:sp macro="" textlink="">
      <xdr:nvSpPr>
        <xdr:cNvPr id="246756" name="フリーフォーム: 図形 246755">
          <a:extLst>
            <a:ext uri="{FF2B5EF4-FFF2-40B4-BE49-F238E27FC236}">
              <a16:creationId xmlns:a16="http://schemas.microsoft.com/office/drawing/2014/main" id="{706B2C42-B1D7-42FE-B75F-50D1D110AF03}"/>
            </a:ext>
          </a:extLst>
        </xdr:cNvPr>
        <xdr:cNvSpPr>
          <a:spLocks noChangeAspect="1"/>
        </xdr:cNvSpPr>
      </xdr:nvSpPr>
      <xdr:spPr>
        <a:xfrm>
          <a:off x="12304800" y="12211200"/>
          <a:ext cx="288001" cy="936002"/>
        </a:xfrm>
        <a:custGeom>
          <a:avLst/>
          <a:gdLst/>
          <a:ahLst/>
          <a:cxnLst/>
          <a:rect l="0" t="0" r="0" b="0"/>
          <a:pathLst>
            <a:path w="288001" h="936002">
              <a:moveTo>
                <a:pt x="144000" y="108000"/>
              </a:moveTo>
              <a:lnTo>
                <a:pt x="252000" y="0"/>
              </a:lnTo>
              <a:lnTo>
                <a:pt x="288000" y="72000"/>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75</xdr:row>
      <xdr:rowOff>75750</xdr:rowOff>
    </xdr:from>
    <xdr:to>
      <xdr:col>18</xdr:col>
      <xdr:colOff>68401</xdr:colOff>
      <xdr:row>80</xdr:row>
      <xdr:rowOff>136501</xdr:rowOff>
    </xdr:to>
    <xdr:sp macro="" textlink="">
      <xdr:nvSpPr>
        <xdr:cNvPr id="246757" name="フリーフォーム: 図形 246756">
          <a:extLst>
            <a:ext uri="{FF2B5EF4-FFF2-40B4-BE49-F238E27FC236}">
              <a16:creationId xmlns:a16="http://schemas.microsoft.com/office/drawing/2014/main" id="{B6E6BC03-96BF-4771-AF3C-F34C2271F8A9}"/>
            </a:ext>
          </a:extLst>
        </xdr:cNvPr>
        <xdr:cNvSpPr>
          <a:spLocks noChangeAspect="1"/>
        </xdr:cNvSpPr>
      </xdr:nvSpPr>
      <xdr:spPr>
        <a:xfrm>
          <a:off x="12124800" y="132012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80</xdr:row>
      <xdr:rowOff>64500</xdr:rowOff>
    </xdr:from>
    <xdr:to>
      <xdr:col>16</xdr:col>
      <xdr:colOff>684001</xdr:colOff>
      <xdr:row>81</xdr:row>
      <xdr:rowOff>37051</xdr:rowOff>
    </xdr:to>
    <xdr:sp macro="" textlink="">
      <xdr:nvSpPr>
        <xdr:cNvPr id="246758" name="フリーフォーム: 図形 246757">
          <a:extLst>
            <a:ext uri="{FF2B5EF4-FFF2-40B4-BE49-F238E27FC236}">
              <a16:creationId xmlns:a16="http://schemas.microsoft.com/office/drawing/2014/main" id="{DD3A58E2-C990-4CCB-B2CE-5C87DA741482}"/>
            </a:ext>
          </a:extLst>
        </xdr:cNvPr>
        <xdr:cNvSpPr>
          <a:spLocks noChangeAspect="1"/>
        </xdr:cNvSpPr>
      </xdr:nvSpPr>
      <xdr:spPr>
        <a:xfrm>
          <a:off x="11170800" y="140472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80</xdr:row>
      <xdr:rowOff>64500</xdr:rowOff>
    </xdr:from>
    <xdr:to>
      <xdr:col>17</xdr:col>
      <xdr:colOff>502201</xdr:colOff>
      <xdr:row>81</xdr:row>
      <xdr:rowOff>37051</xdr:rowOff>
    </xdr:to>
    <xdr:sp macro="" textlink="">
      <xdr:nvSpPr>
        <xdr:cNvPr id="246759" name="フリーフォーム: 図形 246758">
          <a:extLst>
            <a:ext uri="{FF2B5EF4-FFF2-40B4-BE49-F238E27FC236}">
              <a16:creationId xmlns:a16="http://schemas.microsoft.com/office/drawing/2014/main" id="{DFBDED6C-DB25-4073-B34D-5440D9A5AF18}"/>
            </a:ext>
          </a:extLst>
        </xdr:cNvPr>
        <xdr:cNvSpPr>
          <a:spLocks noChangeAspect="1"/>
        </xdr:cNvSpPr>
      </xdr:nvSpPr>
      <xdr:spPr>
        <a:xfrm>
          <a:off x="11692800" y="140472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75</xdr:row>
      <xdr:rowOff>75750</xdr:rowOff>
    </xdr:from>
    <xdr:to>
      <xdr:col>16</xdr:col>
      <xdr:colOff>432001</xdr:colOff>
      <xdr:row>80</xdr:row>
      <xdr:rowOff>136501</xdr:rowOff>
    </xdr:to>
    <xdr:sp macro="" textlink="">
      <xdr:nvSpPr>
        <xdr:cNvPr id="246760" name="フリーフォーム: 図形 246759">
          <a:extLst>
            <a:ext uri="{FF2B5EF4-FFF2-40B4-BE49-F238E27FC236}">
              <a16:creationId xmlns:a16="http://schemas.microsoft.com/office/drawing/2014/main" id="{1991C84D-98A7-44CB-95A4-CF0AAD94DB0F}"/>
            </a:ext>
          </a:extLst>
        </xdr:cNvPr>
        <xdr:cNvSpPr>
          <a:spLocks noChangeAspect="1"/>
        </xdr:cNvSpPr>
      </xdr:nvSpPr>
      <xdr:spPr>
        <a:xfrm>
          <a:off x="11116800" y="132012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69</xdr:row>
      <xdr:rowOff>114450</xdr:rowOff>
    </xdr:from>
    <xdr:to>
      <xdr:col>16</xdr:col>
      <xdr:colOff>576001</xdr:colOff>
      <xdr:row>75</xdr:row>
      <xdr:rowOff>21752</xdr:rowOff>
    </xdr:to>
    <xdr:sp macro="" textlink="">
      <xdr:nvSpPr>
        <xdr:cNvPr id="246761" name="フリーフォーム: 図形 246760">
          <a:extLst>
            <a:ext uri="{FF2B5EF4-FFF2-40B4-BE49-F238E27FC236}">
              <a16:creationId xmlns:a16="http://schemas.microsoft.com/office/drawing/2014/main" id="{19AC64CA-0330-442D-8178-BEFFE1BD4D91}"/>
            </a:ext>
          </a:extLst>
        </xdr:cNvPr>
        <xdr:cNvSpPr>
          <a:spLocks noChangeAspect="1"/>
        </xdr:cNvSpPr>
      </xdr:nvSpPr>
      <xdr:spPr>
        <a:xfrm>
          <a:off x="11296800" y="12211200"/>
          <a:ext cx="252001" cy="936002"/>
        </a:xfrm>
        <a:custGeom>
          <a:avLst/>
          <a:gdLst/>
          <a:ahLst/>
          <a:cxnLst/>
          <a:rect l="0" t="0" r="0" b="0"/>
          <a:pathLst>
            <a:path w="252001" h="936002">
              <a:moveTo>
                <a:pt x="126000" y="72000"/>
              </a:moveTo>
              <a:lnTo>
                <a:pt x="180000" y="0"/>
              </a:lnTo>
              <a:lnTo>
                <a:pt x="252000" y="108000"/>
              </a:lnTo>
              <a:lnTo>
                <a:pt x="144000"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74</xdr:row>
      <xdr:rowOff>139199</xdr:rowOff>
    </xdr:from>
    <xdr:to>
      <xdr:col>17</xdr:col>
      <xdr:colOff>160201</xdr:colOff>
      <xdr:row>75</xdr:row>
      <xdr:rowOff>111751</xdr:rowOff>
    </xdr:to>
    <xdr:sp macro="" textlink="">
      <xdr:nvSpPr>
        <xdr:cNvPr id="246762" name="フリーフォーム: 図形 246761">
          <a:extLst>
            <a:ext uri="{FF2B5EF4-FFF2-40B4-BE49-F238E27FC236}">
              <a16:creationId xmlns:a16="http://schemas.microsoft.com/office/drawing/2014/main" id="{CCFFE9D9-9FAA-4114-B501-38E951B879C2}"/>
            </a:ext>
          </a:extLst>
        </xdr:cNvPr>
        <xdr:cNvSpPr>
          <a:spLocks noChangeAspect="1"/>
        </xdr:cNvSpPr>
      </xdr:nvSpPr>
      <xdr:spPr>
        <a:xfrm>
          <a:off x="11368800" y="130931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74</xdr:row>
      <xdr:rowOff>139199</xdr:rowOff>
    </xdr:from>
    <xdr:to>
      <xdr:col>17</xdr:col>
      <xdr:colOff>664201</xdr:colOff>
      <xdr:row>75</xdr:row>
      <xdr:rowOff>111751</xdr:rowOff>
    </xdr:to>
    <xdr:sp macro="" textlink="">
      <xdr:nvSpPr>
        <xdr:cNvPr id="246763" name="フリーフォーム: 図形 246762">
          <a:extLst>
            <a:ext uri="{FF2B5EF4-FFF2-40B4-BE49-F238E27FC236}">
              <a16:creationId xmlns:a16="http://schemas.microsoft.com/office/drawing/2014/main" id="{93907F3C-4724-4C0A-A8E2-43F387306A1A}"/>
            </a:ext>
          </a:extLst>
        </xdr:cNvPr>
        <xdr:cNvSpPr>
          <a:spLocks noChangeAspect="1"/>
        </xdr:cNvSpPr>
      </xdr:nvSpPr>
      <xdr:spPr>
        <a:xfrm>
          <a:off x="11872800" y="130931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70</xdr:row>
      <xdr:rowOff>51000</xdr:rowOff>
    </xdr:from>
    <xdr:to>
      <xdr:col>17</xdr:col>
      <xdr:colOff>178201</xdr:colOff>
      <xdr:row>75</xdr:row>
      <xdr:rowOff>3751</xdr:rowOff>
    </xdr:to>
    <xdr:sp macro="" textlink="">
      <xdr:nvSpPr>
        <xdr:cNvPr id="246764" name="フリーフォーム: 図形 246763">
          <a:extLst>
            <a:ext uri="{FF2B5EF4-FFF2-40B4-BE49-F238E27FC236}">
              <a16:creationId xmlns:a16="http://schemas.microsoft.com/office/drawing/2014/main" id="{BB017EAB-7D20-4928-8AC4-90D6B95472D2}"/>
            </a:ext>
          </a:extLst>
        </xdr:cNvPr>
        <xdr:cNvSpPr>
          <a:spLocks noChangeAspect="1"/>
        </xdr:cNvSpPr>
      </xdr:nvSpPr>
      <xdr:spPr>
        <a:xfrm>
          <a:off x="11566800" y="12319200"/>
          <a:ext cx="270001" cy="810001"/>
        </a:xfrm>
        <a:custGeom>
          <a:avLst/>
          <a:gdLst/>
          <a:ahLst/>
          <a:cxnLst/>
          <a:rect l="0" t="0" r="0" b="0"/>
          <a:pathLst>
            <a:path w="270001" h="810001">
              <a:moveTo>
                <a:pt x="0" y="180000"/>
              </a:moveTo>
              <a:lnTo>
                <a:pt x="18000" y="0"/>
              </a:lnTo>
              <a:lnTo>
                <a:pt x="108000" y="108000"/>
              </a:lnTo>
              <a:lnTo>
                <a:pt x="216000" y="468000"/>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69</xdr:row>
      <xdr:rowOff>114450</xdr:rowOff>
    </xdr:from>
    <xdr:to>
      <xdr:col>17</xdr:col>
      <xdr:colOff>430201</xdr:colOff>
      <xdr:row>74</xdr:row>
      <xdr:rowOff>157201</xdr:rowOff>
    </xdr:to>
    <xdr:sp macro="" textlink="">
      <xdr:nvSpPr>
        <xdr:cNvPr id="246765" name="フリーフォーム: 図形 246764">
          <a:extLst>
            <a:ext uri="{FF2B5EF4-FFF2-40B4-BE49-F238E27FC236}">
              <a16:creationId xmlns:a16="http://schemas.microsoft.com/office/drawing/2014/main" id="{5AC66D4B-742A-4763-93B9-7AFF55CC081F}"/>
            </a:ext>
          </a:extLst>
        </xdr:cNvPr>
        <xdr:cNvSpPr>
          <a:spLocks noChangeAspect="1"/>
        </xdr:cNvSpPr>
      </xdr:nvSpPr>
      <xdr:spPr>
        <a:xfrm>
          <a:off x="118368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70</xdr:row>
      <xdr:rowOff>69000</xdr:rowOff>
    </xdr:from>
    <xdr:to>
      <xdr:col>18</xdr:col>
      <xdr:colOff>68401</xdr:colOff>
      <xdr:row>75</xdr:row>
      <xdr:rowOff>3751</xdr:rowOff>
    </xdr:to>
    <xdr:sp macro="" textlink="">
      <xdr:nvSpPr>
        <xdr:cNvPr id="246766" name="フリーフォーム: 図形 246765">
          <a:extLst>
            <a:ext uri="{FF2B5EF4-FFF2-40B4-BE49-F238E27FC236}">
              <a16:creationId xmlns:a16="http://schemas.microsoft.com/office/drawing/2014/main" id="{1F642CDE-9836-4733-A5EB-5EB729591DB6}"/>
            </a:ext>
          </a:extLst>
        </xdr:cNvPr>
        <xdr:cNvSpPr>
          <a:spLocks noChangeAspect="1"/>
        </xdr:cNvSpPr>
      </xdr:nvSpPr>
      <xdr:spPr>
        <a:xfrm>
          <a:off x="118908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75</xdr:row>
      <xdr:rowOff>75750</xdr:rowOff>
    </xdr:from>
    <xdr:to>
      <xdr:col>17</xdr:col>
      <xdr:colOff>466201</xdr:colOff>
      <xdr:row>79</xdr:row>
      <xdr:rowOff>163951</xdr:rowOff>
    </xdr:to>
    <xdr:sp macro="" textlink="">
      <xdr:nvSpPr>
        <xdr:cNvPr id="246767" name="フリーフォーム: 図形 246766">
          <a:extLst>
            <a:ext uri="{FF2B5EF4-FFF2-40B4-BE49-F238E27FC236}">
              <a16:creationId xmlns:a16="http://schemas.microsoft.com/office/drawing/2014/main" id="{EAB5B4D4-0461-4734-954A-0F1B9301788C}"/>
            </a:ext>
          </a:extLst>
        </xdr:cNvPr>
        <xdr:cNvSpPr>
          <a:spLocks noChangeAspect="1"/>
        </xdr:cNvSpPr>
      </xdr:nvSpPr>
      <xdr:spPr>
        <a:xfrm>
          <a:off x="11854800" y="132012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75</xdr:row>
      <xdr:rowOff>93749</xdr:rowOff>
    </xdr:from>
    <xdr:to>
      <xdr:col>17</xdr:col>
      <xdr:colOff>196201</xdr:colOff>
      <xdr:row>80</xdr:row>
      <xdr:rowOff>118501</xdr:rowOff>
    </xdr:to>
    <xdr:sp macro="" textlink="">
      <xdr:nvSpPr>
        <xdr:cNvPr id="246768" name="フリーフォーム: 図形 246767">
          <a:extLst>
            <a:ext uri="{FF2B5EF4-FFF2-40B4-BE49-F238E27FC236}">
              <a16:creationId xmlns:a16="http://schemas.microsoft.com/office/drawing/2014/main" id="{07839A92-80D2-4226-955B-E9F5C474ED68}"/>
            </a:ext>
          </a:extLst>
        </xdr:cNvPr>
        <xdr:cNvSpPr>
          <a:spLocks noChangeAspect="1"/>
        </xdr:cNvSpPr>
      </xdr:nvSpPr>
      <xdr:spPr>
        <a:xfrm>
          <a:off x="11620800" y="132191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75</xdr:row>
      <xdr:rowOff>75750</xdr:rowOff>
    </xdr:from>
    <xdr:to>
      <xdr:col>17</xdr:col>
      <xdr:colOff>160201</xdr:colOff>
      <xdr:row>80</xdr:row>
      <xdr:rowOff>10501</xdr:rowOff>
    </xdr:to>
    <xdr:sp macro="" textlink="">
      <xdr:nvSpPr>
        <xdr:cNvPr id="246769" name="フリーフォーム: 図形 246768">
          <a:extLst>
            <a:ext uri="{FF2B5EF4-FFF2-40B4-BE49-F238E27FC236}">
              <a16:creationId xmlns:a16="http://schemas.microsoft.com/office/drawing/2014/main" id="{DB366700-DE32-4879-A7A4-340F1C07BD7D}"/>
            </a:ext>
          </a:extLst>
        </xdr:cNvPr>
        <xdr:cNvSpPr>
          <a:spLocks noChangeAspect="1"/>
        </xdr:cNvSpPr>
      </xdr:nvSpPr>
      <xdr:spPr>
        <a:xfrm>
          <a:off x="11296800" y="132012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69</xdr:row>
      <xdr:rowOff>42450</xdr:rowOff>
    </xdr:from>
    <xdr:to>
      <xdr:col>20</xdr:col>
      <xdr:colOff>93601</xdr:colOff>
      <xdr:row>70</xdr:row>
      <xdr:rowOff>15001</xdr:rowOff>
    </xdr:to>
    <xdr:sp macro="" textlink="">
      <xdr:nvSpPr>
        <xdr:cNvPr id="246770" name="フリーフォーム: 図形 246769">
          <a:extLst>
            <a:ext uri="{FF2B5EF4-FFF2-40B4-BE49-F238E27FC236}">
              <a16:creationId xmlns:a16="http://schemas.microsoft.com/office/drawing/2014/main" id="{CCD7B710-2422-4AD5-B71A-BD8224FE6868}"/>
            </a:ext>
          </a:extLst>
        </xdr:cNvPr>
        <xdr:cNvSpPr>
          <a:spLocks noChangeAspect="1"/>
        </xdr:cNvSpPr>
      </xdr:nvSpPr>
      <xdr:spPr>
        <a:xfrm>
          <a:off x="133416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69</xdr:row>
      <xdr:rowOff>42450</xdr:rowOff>
    </xdr:from>
    <xdr:to>
      <xdr:col>20</xdr:col>
      <xdr:colOff>633601</xdr:colOff>
      <xdr:row>70</xdr:row>
      <xdr:rowOff>15001</xdr:rowOff>
    </xdr:to>
    <xdr:sp macro="" textlink="">
      <xdr:nvSpPr>
        <xdr:cNvPr id="246771" name="フリーフォーム: 図形 246770">
          <a:extLst>
            <a:ext uri="{FF2B5EF4-FFF2-40B4-BE49-F238E27FC236}">
              <a16:creationId xmlns:a16="http://schemas.microsoft.com/office/drawing/2014/main" id="{1CFD2F3A-B0E1-4769-BD52-C0E7FA6FEB9D}"/>
            </a:ext>
          </a:extLst>
        </xdr:cNvPr>
        <xdr:cNvSpPr>
          <a:spLocks noChangeAspect="1"/>
        </xdr:cNvSpPr>
      </xdr:nvSpPr>
      <xdr:spPr>
        <a:xfrm>
          <a:off x="138816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69</xdr:row>
      <xdr:rowOff>114450</xdr:rowOff>
    </xdr:from>
    <xdr:to>
      <xdr:col>21</xdr:col>
      <xdr:colOff>19801</xdr:colOff>
      <xdr:row>75</xdr:row>
      <xdr:rowOff>21752</xdr:rowOff>
    </xdr:to>
    <xdr:sp macro="" textlink="">
      <xdr:nvSpPr>
        <xdr:cNvPr id="246772" name="フリーフォーム: 図形 246771">
          <a:extLst>
            <a:ext uri="{FF2B5EF4-FFF2-40B4-BE49-F238E27FC236}">
              <a16:creationId xmlns:a16="http://schemas.microsoft.com/office/drawing/2014/main" id="{F8B05238-F6B0-48ED-B395-A8DAE656C006}"/>
            </a:ext>
          </a:extLst>
        </xdr:cNvPr>
        <xdr:cNvSpPr>
          <a:spLocks noChangeAspect="1"/>
        </xdr:cNvSpPr>
      </xdr:nvSpPr>
      <xdr:spPr>
        <a:xfrm>
          <a:off x="141335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75</xdr:row>
      <xdr:rowOff>75750</xdr:rowOff>
    </xdr:from>
    <xdr:to>
      <xdr:col>20</xdr:col>
      <xdr:colOff>525601</xdr:colOff>
      <xdr:row>80</xdr:row>
      <xdr:rowOff>136501</xdr:rowOff>
    </xdr:to>
    <xdr:sp macro="" textlink="">
      <xdr:nvSpPr>
        <xdr:cNvPr id="246773" name="フリーフォーム: 図形 246772">
          <a:extLst>
            <a:ext uri="{FF2B5EF4-FFF2-40B4-BE49-F238E27FC236}">
              <a16:creationId xmlns:a16="http://schemas.microsoft.com/office/drawing/2014/main" id="{E9B1A252-4935-4D45-805A-E7CA100068FA}"/>
            </a:ext>
          </a:extLst>
        </xdr:cNvPr>
        <xdr:cNvSpPr>
          <a:spLocks noChangeAspect="1"/>
        </xdr:cNvSpPr>
      </xdr:nvSpPr>
      <xdr:spPr>
        <a:xfrm>
          <a:off x="139535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80</xdr:row>
      <xdr:rowOff>64500</xdr:rowOff>
    </xdr:from>
    <xdr:to>
      <xdr:col>19</xdr:col>
      <xdr:colOff>455401</xdr:colOff>
      <xdr:row>81</xdr:row>
      <xdr:rowOff>37051</xdr:rowOff>
    </xdr:to>
    <xdr:sp macro="" textlink="">
      <xdr:nvSpPr>
        <xdr:cNvPr id="246774" name="フリーフォーム: 図形 246773">
          <a:extLst>
            <a:ext uri="{FF2B5EF4-FFF2-40B4-BE49-F238E27FC236}">
              <a16:creationId xmlns:a16="http://schemas.microsoft.com/office/drawing/2014/main" id="{AB9DEF4B-B0DA-4AB0-BA9B-DF110352596A}"/>
            </a:ext>
          </a:extLst>
        </xdr:cNvPr>
        <xdr:cNvSpPr>
          <a:spLocks noChangeAspect="1"/>
        </xdr:cNvSpPr>
      </xdr:nvSpPr>
      <xdr:spPr>
        <a:xfrm>
          <a:off x="129996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80</xdr:row>
      <xdr:rowOff>64500</xdr:rowOff>
    </xdr:from>
    <xdr:to>
      <xdr:col>20</xdr:col>
      <xdr:colOff>273601</xdr:colOff>
      <xdr:row>81</xdr:row>
      <xdr:rowOff>37051</xdr:rowOff>
    </xdr:to>
    <xdr:sp macro="" textlink="">
      <xdr:nvSpPr>
        <xdr:cNvPr id="246775" name="フリーフォーム: 図形 246774">
          <a:extLst>
            <a:ext uri="{FF2B5EF4-FFF2-40B4-BE49-F238E27FC236}">
              <a16:creationId xmlns:a16="http://schemas.microsoft.com/office/drawing/2014/main" id="{2F83636B-346B-45B9-9066-74A70EF9ED22}"/>
            </a:ext>
          </a:extLst>
        </xdr:cNvPr>
        <xdr:cNvSpPr>
          <a:spLocks noChangeAspect="1"/>
        </xdr:cNvSpPr>
      </xdr:nvSpPr>
      <xdr:spPr>
        <a:xfrm>
          <a:off x="135215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75</xdr:row>
      <xdr:rowOff>75750</xdr:rowOff>
    </xdr:from>
    <xdr:to>
      <xdr:col>19</xdr:col>
      <xdr:colOff>203401</xdr:colOff>
      <xdr:row>80</xdr:row>
      <xdr:rowOff>136501</xdr:rowOff>
    </xdr:to>
    <xdr:sp macro="" textlink="">
      <xdr:nvSpPr>
        <xdr:cNvPr id="246776" name="フリーフォーム: 図形 246775">
          <a:extLst>
            <a:ext uri="{FF2B5EF4-FFF2-40B4-BE49-F238E27FC236}">
              <a16:creationId xmlns:a16="http://schemas.microsoft.com/office/drawing/2014/main" id="{441C4E90-AA19-4B65-B09E-9F6C2296B770}"/>
            </a:ext>
          </a:extLst>
        </xdr:cNvPr>
        <xdr:cNvSpPr>
          <a:spLocks noChangeAspect="1"/>
        </xdr:cNvSpPr>
      </xdr:nvSpPr>
      <xdr:spPr>
        <a:xfrm>
          <a:off x="12945600" y="13201200"/>
          <a:ext cx="288001" cy="918001"/>
        </a:xfrm>
        <a:custGeom>
          <a:avLst/>
          <a:gdLst/>
          <a:ahLst/>
          <a:cxnLst/>
          <a:rect l="0" t="0" r="0" b="0"/>
          <a:pathLst>
            <a:path w="288001" h="918001">
              <a:moveTo>
                <a:pt x="143999" y="54000"/>
              </a:moveTo>
              <a:lnTo>
                <a:pt x="216000" y="0"/>
              </a:lnTo>
              <a:lnTo>
                <a:pt x="288000" y="72001"/>
              </a:lnTo>
              <a:lnTo>
                <a:pt x="143999"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69</xdr:row>
      <xdr:rowOff>114450</xdr:rowOff>
    </xdr:from>
    <xdr:to>
      <xdr:col>19</xdr:col>
      <xdr:colOff>347402</xdr:colOff>
      <xdr:row>75</xdr:row>
      <xdr:rowOff>21752</xdr:rowOff>
    </xdr:to>
    <xdr:sp macro="" textlink="">
      <xdr:nvSpPr>
        <xdr:cNvPr id="246777" name="フリーフォーム: 図形 246776">
          <a:extLst>
            <a:ext uri="{FF2B5EF4-FFF2-40B4-BE49-F238E27FC236}">
              <a16:creationId xmlns:a16="http://schemas.microsoft.com/office/drawing/2014/main" id="{B83F6467-FD9A-4D53-9230-F6F9F4F4A400}"/>
            </a:ext>
          </a:extLst>
        </xdr:cNvPr>
        <xdr:cNvSpPr>
          <a:spLocks noChangeAspect="1"/>
        </xdr:cNvSpPr>
      </xdr:nvSpPr>
      <xdr:spPr>
        <a:xfrm>
          <a:off x="131256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74</xdr:row>
      <xdr:rowOff>139199</xdr:rowOff>
    </xdr:from>
    <xdr:to>
      <xdr:col>19</xdr:col>
      <xdr:colOff>617401</xdr:colOff>
      <xdr:row>75</xdr:row>
      <xdr:rowOff>111751</xdr:rowOff>
    </xdr:to>
    <xdr:sp macro="" textlink="">
      <xdr:nvSpPr>
        <xdr:cNvPr id="246778" name="フリーフォーム: 図形 246777">
          <a:extLst>
            <a:ext uri="{FF2B5EF4-FFF2-40B4-BE49-F238E27FC236}">
              <a16:creationId xmlns:a16="http://schemas.microsoft.com/office/drawing/2014/main" id="{0766FA93-07A5-4DB3-A929-F5C4052C7A66}"/>
            </a:ext>
          </a:extLst>
        </xdr:cNvPr>
        <xdr:cNvSpPr>
          <a:spLocks noChangeAspect="1"/>
        </xdr:cNvSpPr>
      </xdr:nvSpPr>
      <xdr:spPr>
        <a:xfrm>
          <a:off x="131976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74</xdr:row>
      <xdr:rowOff>139199</xdr:rowOff>
    </xdr:from>
    <xdr:to>
      <xdr:col>20</xdr:col>
      <xdr:colOff>435601</xdr:colOff>
      <xdr:row>75</xdr:row>
      <xdr:rowOff>111751</xdr:rowOff>
    </xdr:to>
    <xdr:sp macro="" textlink="">
      <xdr:nvSpPr>
        <xdr:cNvPr id="246779" name="フリーフォーム: 図形 246778">
          <a:extLst>
            <a:ext uri="{FF2B5EF4-FFF2-40B4-BE49-F238E27FC236}">
              <a16:creationId xmlns:a16="http://schemas.microsoft.com/office/drawing/2014/main" id="{C4E69145-79D9-4250-BF22-27420910F357}"/>
            </a:ext>
          </a:extLst>
        </xdr:cNvPr>
        <xdr:cNvSpPr>
          <a:spLocks noChangeAspect="1"/>
        </xdr:cNvSpPr>
      </xdr:nvSpPr>
      <xdr:spPr>
        <a:xfrm>
          <a:off x="137015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70</xdr:row>
      <xdr:rowOff>51000</xdr:rowOff>
    </xdr:from>
    <xdr:to>
      <xdr:col>19</xdr:col>
      <xdr:colOff>635401</xdr:colOff>
      <xdr:row>75</xdr:row>
      <xdr:rowOff>3751</xdr:rowOff>
    </xdr:to>
    <xdr:sp macro="" textlink="">
      <xdr:nvSpPr>
        <xdr:cNvPr id="246780" name="フリーフォーム: 図形 246779">
          <a:extLst>
            <a:ext uri="{FF2B5EF4-FFF2-40B4-BE49-F238E27FC236}">
              <a16:creationId xmlns:a16="http://schemas.microsoft.com/office/drawing/2014/main" id="{2DFA2FD5-C3E8-4D7B-8A66-64CA7FBC98BD}"/>
            </a:ext>
          </a:extLst>
        </xdr:cNvPr>
        <xdr:cNvSpPr>
          <a:spLocks noChangeAspect="1"/>
        </xdr:cNvSpPr>
      </xdr:nvSpPr>
      <xdr:spPr>
        <a:xfrm>
          <a:off x="133955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69</xdr:row>
      <xdr:rowOff>114450</xdr:rowOff>
    </xdr:from>
    <xdr:to>
      <xdr:col>20</xdr:col>
      <xdr:colOff>201601</xdr:colOff>
      <xdr:row>74</xdr:row>
      <xdr:rowOff>157201</xdr:rowOff>
    </xdr:to>
    <xdr:sp macro="" textlink="">
      <xdr:nvSpPr>
        <xdr:cNvPr id="246781" name="フリーフォーム: 図形 246780">
          <a:extLst>
            <a:ext uri="{FF2B5EF4-FFF2-40B4-BE49-F238E27FC236}">
              <a16:creationId xmlns:a16="http://schemas.microsoft.com/office/drawing/2014/main" id="{00DF0EA4-DE6D-4AEC-A524-0EEC0DB7E576}"/>
            </a:ext>
          </a:extLst>
        </xdr:cNvPr>
        <xdr:cNvSpPr>
          <a:spLocks noChangeAspect="1"/>
        </xdr:cNvSpPr>
      </xdr:nvSpPr>
      <xdr:spPr>
        <a:xfrm>
          <a:off x="136656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70</xdr:row>
      <xdr:rowOff>69000</xdr:rowOff>
    </xdr:from>
    <xdr:to>
      <xdr:col>20</xdr:col>
      <xdr:colOff>525601</xdr:colOff>
      <xdr:row>75</xdr:row>
      <xdr:rowOff>3751</xdr:rowOff>
    </xdr:to>
    <xdr:sp macro="" textlink="">
      <xdr:nvSpPr>
        <xdr:cNvPr id="246782" name="フリーフォーム: 図形 246781">
          <a:extLst>
            <a:ext uri="{FF2B5EF4-FFF2-40B4-BE49-F238E27FC236}">
              <a16:creationId xmlns:a16="http://schemas.microsoft.com/office/drawing/2014/main" id="{FB6C541D-BCDB-4003-8DE3-44C9899E1CFA}"/>
            </a:ext>
          </a:extLst>
        </xdr:cNvPr>
        <xdr:cNvSpPr>
          <a:spLocks noChangeAspect="1"/>
        </xdr:cNvSpPr>
      </xdr:nvSpPr>
      <xdr:spPr>
        <a:xfrm>
          <a:off x="137196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75</xdr:row>
      <xdr:rowOff>75750</xdr:rowOff>
    </xdr:from>
    <xdr:to>
      <xdr:col>20</xdr:col>
      <xdr:colOff>237600</xdr:colOff>
      <xdr:row>79</xdr:row>
      <xdr:rowOff>163951</xdr:rowOff>
    </xdr:to>
    <xdr:sp macro="" textlink="">
      <xdr:nvSpPr>
        <xdr:cNvPr id="246783" name="フリーフォーム: 図形 246782">
          <a:extLst>
            <a:ext uri="{FF2B5EF4-FFF2-40B4-BE49-F238E27FC236}">
              <a16:creationId xmlns:a16="http://schemas.microsoft.com/office/drawing/2014/main" id="{7C71506A-9805-433E-8EB4-FFCA9C056B5F}"/>
            </a:ext>
          </a:extLst>
        </xdr:cNvPr>
        <xdr:cNvSpPr>
          <a:spLocks noChangeAspect="1"/>
        </xdr:cNvSpPr>
      </xdr:nvSpPr>
      <xdr:spPr>
        <a:xfrm>
          <a:off x="136836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75</xdr:row>
      <xdr:rowOff>93749</xdr:rowOff>
    </xdr:from>
    <xdr:to>
      <xdr:col>19</xdr:col>
      <xdr:colOff>653401</xdr:colOff>
      <xdr:row>80</xdr:row>
      <xdr:rowOff>118501</xdr:rowOff>
    </xdr:to>
    <xdr:sp macro="" textlink="">
      <xdr:nvSpPr>
        <xdr:cNvPr id="246784" name="フリーフォーム: 図形 246783">
          <a:extLst>
            <a:ext uri="{FF2B5EF4-FFF2-40B4-BE49-F238E27FC236}">
              <a16:creationId xmlns:a16="http://schemas.microsoft.com/office/drawing/2014/main" id="{D6269921-64B0-446B-8B5B-351C39393324}"/>
            </a:ext>
          </a:extLst>
        </xdr:cNvPr>
        <xdr:cNvSpPr>
          <a:spLocks noChangeAspect="1"/>
        </xdr:cNvSpPr>
      </xdr:nvSpPr>
      <xdr:spPr>
        <a:xfrm>
          <a:off x="134496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75</xdr:row>
      <xdr:rowOff>75750</xdr:rowOff>
    </xdr:from>
    <xdr:to>
      <xdr:col>19</xdr:col>
      <xdr:colOff>617401</xdr:colOff>
      <xdr:row>80</xdr:row>
      <xdr:rowOff>10501</xdr:rowOff>
    </xdr:to>
    <xdr:sp macro="" textlink="">
      <xdr:nvSpPr>
        <xdr:cNvPr id="246785" name="フリーフォーム: 図形 246784">
          <a:extLst>
            <a:ext uri="{FF2B5EF4-FFF2-40B4-BE49-F238E27FC236}">
              <a16:creationId xmlns:a16="http://schemas.microsoft.com/office/drawing/2014/main" id="{D7276CEE-63EF-41EE-B91C-4C57B13BC842}"/>
            </a:ext>
          </a:extLst>
        </xdr:cNvPr>
        <xdr:cNvSpPr>
          <a:spLocks noChangeAspect="1"/>
        </xdr:cNvSpPr>
      </xdr:nvSpPr>
      <xdr:spPr>
        <a:xfrm>
          <a:off x="131256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69</xdr:row>
      <xdr:rowOff>42450</xdr:rowOff>
    </xdr:from>
    <xdr:to>
      <xdr:col>22</xdr:col>
      <xdr:colOff>550801</xdr:colOff>
      <xdr:row>70</xdr:row>
      <xdr:rowOff>15001</xdr:rowOff>
    </xdr:to>
    <xdr:sp macro="" textlink="">
      <xdr:nvSpPr>
        <xdr:cNvPr id="246786" name="フリーフォーム: 図形 246785">
          <a:extLst>
            <a:ext uri="{FF2B5EF4-FFF2-40B4-BE49-F238E27FC236}">
              <a16:creationId xmlns:a16="http://schemas.microsoft.com/office/drawing/2014/main" id="{D29DB1BC-62D5-4011-A391-82BFF0C2DC75}"/>
            </a:ext>
          </a:extLst>
        </xdr:cNvPr>
        <xdr:cNvSpPr>
          <a:spLocks noChangeAspect="1"/>
        </xdr:cNvSpPr>
      </xdr:nvSpPr>
      <xdr:spPr>
        <a:xfrm>
          <a:off x="151704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69</xdr:row>
      <xdr:rowOff>42450</xdr:rowOff>
    </xdr:from>
    <xdr:to>
      <xdr:col>23</xdr:col>
      <xdr:colOff>405001</xdr:colOff>
      <xdr:row>70</xdr:row>
      <xdr:rowOff>15001</xdr:rowOff>
    </xdr:to>
    <xdr:sp macro="" textlink="">
      <xdr:nvSpPr>
        <xdr:cNvPr id="246787" name="フリーフォーム: 図形 246786">
          <a:extLst>
            <a:ext uri="{FF2B5EF4-FFF2-40B4-BE49-F238E27FC236}">
              <a16:creationId xmlns:a16="http://schemas.microsoft.com/office/drawing/2014/main" id="{C2DF8EBF-0AF7-4397-AEE7-96ABF7996FB8}"/>
            </a:ext>
          </a:extLst>
        </xdr:cNvPr>
        <xdr:cNvSpPr>
          <a:spLocks noChangeAspect="1"/>
        </xdr:cNvSpPr>
      </xdr:nvSpPr>
      <xdr:spPr>
        <a:xfrm>
          <a:off x="157104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69</xdr:row>
      <xdr:rowOff>114450</xdr:rowOff>
    </xdr:from>
    <xdr:to>
      <xdr:col>23</xdr:col>
      <xdr:colOff>477001</xdr:colOff>
      <xdr:row>75</xdr:row>
      <xdr:rowOff>21752</xdr:rowOff>
    </xdr:to>
    <xdr:sp macro="" textlink="">
      <xdr:nvSpPr>
        <xdr:cNvPr id="246788" name="フリーフォーム: 図形 246787">
          <a:extLst>
            <a:ext uri="{FF2B5EF4-FFF2-40B4-BE49-F238E27FC236}">
              <a16:creationId xmlns:a16="http://schemas.microsoft.com/office/drawing/2014/main" id="{502732C4-B269-4430-9BA4-34F3064BFF52}"/>
            </a:ext>
          </a:extLst>
        </xdr:cNvPr>
        <xdr:cNvSpPr>
          <a:spLocks noChangeAspect="1"/>
        </xdr:cNvSpPr>
      </xdr:nvSpPr>
      <xdr:spPr>
        <a:xfrm>
          <a:off x="159623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75</xdr:row>
      <xdr:rowOff>75750</xdr:rowOff>
    </xdr:from>
    <xdr:to>
      <xdr:col>23</xdr:col>
      <xdr:colOff>297001</xdr:colOff>
      <xdr:row>80</xdr:row>
      <xdr:rowOff>136501</xdr:rowOff>
    </xdr:to>
    <xdr:sp macro="" textlink="">
      <xdr:nvSpPr>
        <xdr:cNvPr id="246789" name="フリーフォーム: 図形 246788">
          <a:extLst>
            <a:ext uri="{FF2B5EF4-FFF2-40B4-BE49-F238E27FC236}">
              <a16:creationId xmlns:a16="http://schemas.microsoft.com/office/drawing/2014/main" id="{5F3593E5-DB25-4689-915F-EA54736ED77D}"/>
            </a:ext>
          </a:extLst>
        </xdr:cNvPr>
        <xdr:cNvSpPr>
          <a:spLocks noChangeAspect="1"/>
        </xdr:cNvSpPr>
      </xdr:nvSpPr>
      <xdr:spPr>
        <a:xfrm>
          <a:off x="157823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80</xdr:row>
      <xdr:rowOff>64500</xdr:rowOff>
    </xdr:from>
    <xdr:to>
      <xdr:col>22</xdr:col>
      <xdr:colOff>226801</xdr:colOff>
      <xdr:row>81</xdr:row>
      <xdr:rowOff>37051</xdr:rowOff>
    </xdr:to>
    <xdr:sp macro="" textlink="">
      <xdr:nvSpPr>
        <xdr:cNvPr id="246790" name="フリーフォーム: 図形 246789">
          <a:extLst>
            <a:ext uri="{FF2B5EF4-FFF2-40B4-BE49-F238E27FC236}">
              <a16:creationId xmlns:a16="http://schemas.microsoft.com/office/drawing/2014/main" id="{FF7E6D7F-4C67-4681-A945-DDBF6EC363CD}"/>
            </a:ext>
          </a:extLst>
        </xdr:cNvPr>
        <xdr:cNvSpPr>
          <a:spLocks noChangeAspect="1"/>
        </xdr:cNvSpPr>
      </xdr:nvSpPr>
      <xdr:spPr>
        <a:xfrm>
          <a:off x="148284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80</xdr:row>
      <xdr:rowOff>64500</xdr:rowOff>
    </xdr:from>
    <xdr:to>
      <xdr:col>23</xdr:col>
      <xdr:colOff>45001</xdr:colOff>
      <xdr:row>81</xdr:row>
      <xdr:rowOff>37051</xdr:rowOff>
    </xdr:to>
    <xdr:sp macro="" textlink="">
      <xdr:nvSpPr>
        <xdr:cNvPr id="246791" name="フリーフォーム: 図形 246790">
          <a:extLst>
            <a:ext uri="{FF2B5EF4-FFF2-40B4-BE49-F238E27FC236}">
              <a16:creationId xmlns:a16="http://schemas.microsoft.com/office/drawing/2014/main" id="{4E48E170-CAB5-4FA0-93CD-F7C9EAEFA8DB}"/>
            </a:ext>
          </a:extLst>
        </xdr:cNvPr>
        <xdr:cNvSpPr>
          <a:spLocks noChangeAspect="1"/>
        </xdr:cNvSpPr>
      </xdr:nvSpPr>
      <xdr:spPr>
        <a:xfrm>
          <a:off x="153503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75</xdr:row>
      <xdr:rowOff>75750</xdr:rowOff>
    </xdr:from>
    <xdr:to>
      <xdr:col>21</xdr:col>
      <xdr:colOff>660601</xdr:colOff>
      <xdr:row>80</xdr:row>
      <xdr:rowOff>136501</xdr:rowOff>
    </xdr:to>
    <xdr:sp macro="" textlink="">
      <xdr:nvSpPr>
        <xdr:cNvPr id="246792" name="フリーフォーム: 図形 246791">
          <a:extLst>
            <a:ext uri="{FF2B5EF4-FFF2-40B4-BE49-F238E27FC236}">
              <a16:creationId xmlns:a16="http://schemas.microsoft.com/office/drawing/2014/main" id="{E37F818E-EE0A-4C29-B02D-422F91B9FECF}"/>
            </a:ext>
          </a:extLst>
        </xdr:cNvPr>
        <xdr:cNvSpPr>
          <a:spLocks noChangeAspect="1"/>
        </xdr:cNvSpPr>
      </xdr:nvSpPr>
      <xdr:spPr>
        <a:xfrm>
          <a:off x="14774401" y="132012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69</xdr:row>
      <xdr:rowOff>114450</xdr:rowOff>
    </xdr:from>
    <xdr:to>
      <xdr:col>22</xdr:col>
      <xdr:colOff>118802</xdr:colOff>
      <xdr:row>75</xdr:row>
      <xdr:rowOff>21752</xdr:rowOff>
    </xdr:to>
    <xdr:sp macro="" textlink="">
      <xdr:nvSpPr>
        <xdr:cNvPr id="246793" name="フリーフォーム: 図形 246792">
          <a:extLst>
            <a:ext uri="{FF2B5EF4-FFF2-40B4-BE49-F238E27FC236}">
              <a16:creationId xmlns:a16="http://schemas.microsoft.com/office/drawing/2014/main" id="{615363BF-313C-458C-AA38-410E28EA924D}"/>
            </a:ext>
          </a:extLst>
        </xdr:cNvPr>
        <xdr:cNvSpPr>
          <a:spLocks noChangeAspect="1"/>
        </xdr:cNvSpPr>
      </xdr:nvSpPr>
      <xdr:spPr>
        <a:xfrm>
          <a:off x="149544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74</xdr:row>
      <xdr:rowOff>139199</xdr:rowOff>
    </xdr:from>
    <xdr:to>
      <xdr:col>22</xdr:col>
      <xdr:colOff>388801</xdr:colOff>
      <xdr:row>75</xdr:row>
      <xdr:rowOff>111751</xdr:rowOff>
    </xdr:to>
    <xdr:sp macro="" textlink="">
      <xdr:nvSpPr>
        <xdr:cNvPr id="246794" name="フリーフォーム: 図形 246793">
          <a:extLst>
            <a:ext uri="{FF2B5EF4-FFF2-40B4-BE49-F238E27FC236}">
              <a16:creationId xmlns:a16="http://schemas.microsoft.com/office/drawing/2014/main" id="{9E1E9DB6-2C52-48DF-AB14-ED05AD152040}"/>
            </a:ext>
          </a:extLst>
        </xdr:cNvPr>
        <xdr:cNvSpPr>
          <a:spLocks noChangeAspect="1"/>
        </xdr:cNvSpPr>
      </xdr:nvSpPr>
      <xdr:spPr>
        <a:xfrm>
          <a:off x="150264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74</xdr:row>
      <xdr:rowOff>139199</xdr:rowOff>
    </xdr:from>
    <xdr:to>
      <xdr:col>23</xdr:col>
      <xdr:colOff>207001</xdr:colOff>
      <xdr:row>75</xdr:row>
      <xdr:rowOff>111751</xdr:rowOff>
    </xdr:to>
    <xdr:sp macro="" textlink="">
      <xdr:nvSpPr>
        <xdr:cNvPr id="246795" name="フリーフォーム: 図形 246794">
          <a:extLst>
            <a:ext uri="{FF2B5EF4-FFF2-40B4-BE49-F238E27FC236}">
              <a16:creationId xmlns:a16="http://schemas.microsoft.com/office/drawing/2014/main" id="{F12B94E6-1CB7-498C-B36B-555ECE7C94FE}"/>
            </a:ext>
          </a:extLst>
        </xdr:cNvPr>
        <xdr:cNvSpPr>
          <a:spLocks noChangeAspect="1"/>
        </xdr:cNvSpPr>
      </xdr:nvSpPr>
      <xdr:spPr>
        <a:xfrm>
          <a:off x="155303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70</xdr:row>
      <xdr:rowOff>51000</xdr:rowOff>
    </xdr:from>
    <xdr:to>
      <xdr:col>22</xdr:col>
      <xdr:colOff>406801</xdr:colOff>
      <xdr:row>75</xdr:row>
      <xdr:rowOff>3751</xdr:rowOff>
    </xdr:to>
    <xdr:sp macro="" textlink="">
      <xdr:nvSpPr>
        <xdr:cNvPr id="246796" name="フリーフォーム: 図形 246795">
          <a:extLst>
            <a:ext uri="{FF2B5EF4-FFF2-40B4-BE49-F238E27FC236}">
              <a16:creationId xmlns:a16="http://schemas.microsoft.com/office/drawing/2014/main" id="{BB84CF61-4134-4669-8964-FDC2C0132AA5}"/>
            </a:ext>
          </a:extLst>
        </xdr:cNvPr>
        <xdr:cNvSpPr>
          <a:spLocks noChangeAspect="1"/>
        </xdr:cNvSpPr>
      </xdr:nvSpPr>
      <xdr:spPr>
        <a:xfrm>
          <a:off x="152243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69</xdr:row>
      <xdr:rowOff>114450</xdr:rowOff>
    </xdr:from>
    <xdr:to>
      <xdr:col>22</xdr:col>
      <xdr:colOff>658801</xdr:colOff>
      <xdr:row>74</xdr:row>
      <xdr:rowOff>157201</xdr:rowOff>
    </xdr:to>
    <xdr:sp macro="" textlink="">
      <xdr:nvSpPr>
        <xdr:cNvPr id="246797" name="フリーフォーム: 図形 246796">
          <a:extLst>
            <a:ext uri="{FF2B5EF4-FFF2-40B4-BE49-F238E27FC236}">
              <a16:creationId xmlns:a16="http://schemas.microsoft.com/office/drawing/2014/main" id="{1A6FB69E-A93C-4BE4-A7CA-849B530D0FEB}"/>
            </a:ext>
          </a:extLst>
        </xdr:cNvPr>
        <xdr:cNvSpPr>
          <a:spLocks noChangeAspect="1"/>
        </xdr:cNvSpPr>
      </xdr:nvSpPr>
      <xdr:spPr>
        <a:xfrm>
          <a:off x="154944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70</xdr:row>
      <xdr:rowOff>69000</xdr:rowOff>
    </xdr:from>
    <xdr:to>
      <xdr:col>23</xdr:col>
      <xdr:colOff>297001</xdr:colOff>
      <xdr:row>75</xdr:row>
      <xdr:rowOff>3751</xdr:rowOff>
    </xdr:to>
    <xdr:sp macro="" textlink="">
      <xdr:nvSpPr>
        <xdr:cNvPr id="246798" name="フリーフォーム: 図形 246797">
          <a:extLst>
            <a:ext uri="{FF2B5EF4-FFF2-40B4-BE49-F238E27FC236}">
              <a16:creationId xmlns:a16="http://schemas.microsoft.com/office/drawing/2014/main" id="{13539279-D88B-431B-AA0C-81C44D7038D2}"/>
            </a:ext>
          </a:extLst>
        </xdr:cNvPr>
        <xdr:cNvSpPr>
          <a:spLocks noChangeAspect="1"/>
        </xdr:cNvSpPr>
      </xdr:nvSpPr>
      <xdr:spPr>
        <a:xfrm>
          <a:off x="155484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75</xdr:row>
      <xdr:rowOff>75750</xdr:rowOff>
    </xdr:from>
    <xdr:to>
      <xdr:col>23</xdr:col>
      <xdr:colOff>9000</xdr:colOff>
      <xdr:row>79</xdr:row>
      <xdr:rowOff>163951</xdr:rowOff>
    </xdr:to>
    <xdr:sp macro="" textlink="">
      <xdr:nvSpPr>
        <xdr:cNvPr id="246799" name="フリーフォーム: 図形 246798">
          <a:extLst>
            <a:ext uri="{FF2B5EF4-FFF2-40B4-BE49-F238E27FC236}">
              <a16:creationId xmlns:a16="http://schemas.microsoft.com/office/drawing/2014/main" id="{8DE7976A-1F8C-4456-832E-C29E3DCBBF93}"/>
            </a:ext>
          </a:extLst>
        </xdr:cNvPr>
        <xdr:cNvSpPr>
          <a:spLocks noChangeAspect="1"/>
        </xdr:cNvSpPr>
      </xdr:nvSpPr>
      <xdr:spPr>
        <a:xfrm>
          <a:off x="155124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75</xdr:row>
      <xdr:rowOff>93749</xdr:rowOff>
    </xdr:from>
    <xdr:to>
      <xdr:col>22</xdr:col>
      <xdr:colOff>424801</xdr:colOff>
      <xdr:row>80</xdr:row>
      <xdr:rowOff>118501</xdr:rowOff>
    </xdr:to>
    <xdr:sp macro="" textlink="">
      <xdr:nvSpPr>
        <xdr:cNvPr id="246800" name="フリーフォーム: 図形 246799">
          <a:extLst>
            <a:ext uri="{FF2B5EF4-FFF2-40B4-BE49-F238E27FC236}">
              <a16:creationId xmlns:a16="http://schemas.microsoft.com/office/drawing/2014/main" id="{E042B9D5-B2AE-4D8B-9544-C4F58199428A}"/>
            </a:ext>
          </a:extLst>
        </xdr:cNvPr>
        <xdr:cNvSpPr>
          <a:spLocks noChangeAspect="1"/>
        </xdr:cNvSpPr>
      </xdr:nvSpPr>
      <xdr:spPr>
        <a:xfrm>
          <a:off x="152784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75</xdr:row>
      <xdr:rowOff>75750</xdr:rowOff>
    </xdr:from>
    <xdr:to>
      <xdr:col>22</xdr:col>
      <xdr:colOff>388801</xdr:colOff>
      <xdr:row>80</xdr:row>
      <xdr:rowOff>10501</xdr:rowOff>
    </xdr:to>
    <xdr:sp macro="" textlink="">
      <xdr:nvSpPr>
        <xdr:cNvPr id="246801" name="フリーフォーム: 図形 246800">
          <a:extLst>
            <a:ext uri="{FF2B5EF4-FFF2-40B4-BE49-F238E27FC236}">
              <a16:creationId xmlns:a16="http://schemas.microsoft.com/office/drawing/2014/main" id="{BB17011C-3C36-409C-A06B-D7E39AEB70A0}"/>
            </a:ext>
          </a:extLst>
        </xdr:cNvPr>
        <xdr:cNvSpPr>
          <a:spLocks noChangeAspect="1"/>
        </xdr:cNvSpPr>
      </xdr:nvSpPr>
      <xdr:spPr>
        <a:xfrm>
          <a:off x="149544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69</xdr:row>
      <xdr:rowOff>42450</xdr:rowOff>
    </xdr:from>
    <xdr:to>
      <xdr:col>25</xdr:col>
      <xdr:colOff>322201</xdr:colOff>
      <xdr:row>70</xdr:row>
      <xdr:rowOff>15001</xdr:rowOff>
    </xdr:to>
    <xdr:sp macro="" textlink="">
      <xdr:nvSpPr>
        <xdr:cNvPr id="246802" name="フリーフォーム: 図形 246801">
          <a:extLst>
            <a:ext uri="{FF2B5EF4-FFF2-40B4-BE49-F238E27FC236}">
              <a16:creationId xmlns:a16="http://schemas.microsoft.com/office/drawing/2014/main" id="{0AF5AA4B-4408-4BA6-B780-EB35AD1F322B}"/>
            </a:ext>
          </a:extLst>
        </xdr:cNvPr>
        <xdr:cNvSpPr>
          <a:spLocks noChangeAspect="1"/>
        </xdr:cNvSpPr>
      </xdr:nvSpPr>
      <xdr:spPr>
        <a:xfrm>
          <a:off x="169992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69</xdr:row>
      <xdr:rowOff>42450</xdr:rowOff>
    </xdr:from>
    <xdr:to>
      <xdr:col>26</xdr:col>
      <xdr:colOff>176401</xdr:colOff>
      <xdr:row>70</xdr:row>
      <xdr:rowOff>15001</xdr:rowOff>
    </xdr:to>
    <xdr:sp macro="" textlink="">
      <xdr:nvSpPr>
        <xdr:cNvPr id="246803" name="フリーフォーム: 図形 246802">
          <a:extLst>
            <a:ext uri="{FF2B5EF4-FFF2-40B4-BE49-F238E27FC236}">
              <a16:creationId xmlns:a16="http://schemas.microsoft.com/office/drawing/2014/main" id="{92EFCA8B-59F9-4FEC-8C57-C91D35354020}"/>
            </a:ext>
          </a:extLst>
        </xdr:cNvPr>
        <xdr:cNvSpPr>
          <a:spLocks noChangeAspect="1"/>
        </xdr:cNvSpPr>
      </xdr:nvSpPr>
      <xdr:spPr>
        <a:xfrm>
          <a:off x="175392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69</xdr:row>
      <xdr:rowOff>114450</xdr:rowOff>
    </xdr:from>
    <xdr:to>
      <xdr:col>26</xdr:col>
      <xdr:colOff>248401</xdr:colOff>
      <xdr:row>75</xdr:row>
      <xdr:rowOff>21752</xdr:rowOff>
    </xdr:to>
    <xdr:sp macro="" textlink="">
      <xdr:nvSpPr>
        <xdr:cNvPr id="246804" name="フリーフォーム: 図形 246803">
          <a:extLst>
            <a:ext uri="{FF2B5EF4-FFF2-40B4-BE49-F238E27FC236}">
              <a16:creationId xmlns:a16="http://schemas.microsoft.com/office/drawing/2014/main" id="{3A3553E0-1ABC-4662-BF6D-71EE1269C754}"/>
            </a:ext>
          </a:extLst>
        </xdr:cNvPr>
        <xdr:cNvSpPr>
          <a:spLocks noChangeAspect="1"/>
        </xdr:cNvSpPr>
      </xdr:nvSpPr>
      <xdr:spPr>
        <a:xfrm>
          <a:off x="177911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75</xdr:row>
      <xdr:rowOff>75750</xdr:rowOff>
    </xdr:from>
    <xdr:to>
      <xdr:col>26</xdr:col>
      <xdr:colOff>68401</xdr:colOff>
      <xdr:row>80</xdr:row>
      <xdr:rowOff>136501</xdr:rowOff>
    </xdr:to>
    <xdr:sp macro="" textlink="">
      <xdr:nvSpPr>
        <xdr:cNvPr id="246805" name="フリーフォーム: 図形 246804">
          <a:extLst>
            <a:ext uri="{FF2B5EF4-FFF2-40B4-BE49-F238E27FC236}">
              <a16:creationId xmlns:a16="http://schemas.microsoft.com/office/drawing/2014/main" id="{C15057FD-F4DC-499B-A893-2A2E9266DDB1}"/>
            </a:ext>
          </a:extLst>
        </xdr:cNvPr>
        <xdr:cNvSpPr>
          <a:spLocks noChangeAspect="1"/>
        </xdr:cNvSpPr>
      </xdr:nvSpPr>
      <xdr:spPr>
        <a:xfrm>
          <a:off x="176111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80</xdr:row>
      <xdr:rowOff>64500</xdr:rowOff>
    </xdr:from>
    <xdr:to>
      <xdr:col>24</xdr:col>
      <xdr:colOff>684001</xdr:colOff>
      <xdr:row>81</xdr:row>
      <xdr:rowOff>37051</xdr:rowOff>
    </xdr:to>
    <xdr:sp macro="" textlink="">
      <xdr:nvSpPr>
        <xdr:cNvPr id="246806" name="フリーフォーム: 図形 246805">
          <a:extLst>
            <a:ext uri="{FF2B5EF4-FFF2-40B4-BE49-F238E27FC236}">
              <a16:creationId xmlns:a16="http://schemas.microsoft.com/office/drawing/2014/main" id="{8BF177BF-F867-499C-B086-48F3E65A31DF}"/>
            </a:ext>
          </a:extLst>
        </xdr:cNvPr>
        <xdr:cNvSpPr>
          <a:spLocks noChangeAspect="1"/>
        </xdr:cNvSpPr>
      </xdr:nvSpPr>
      <xdr:spPr>
        <a:xfrm>
          <a:off x="166572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80</xdr:row>
      <xdr:rowOff>64500</xdr:rowOff>
    </xdr:from>
    <xdr:to>
      <xdr:col>25</xdr:col>
      <xdr:colOff>502201</xdr:colOff>
      <xdr:row>81</xdr:row>
      <xdr:rowOff>37051</xdr:rowOff>
    </xdr:to>
    <xdr:sp macro="" textlink="">
      <xdr:nvSpPr>
        <xdr:cNvPr id="246807" name="フリーフォーム: 図形 246806">
          <a:extLst>
            <a:ext uri="{FF2B5EF4-FFF2-40B4-BE49-F238E27FC236}">
              <a16:creationId xmlns:a16="http://schemas.microsoft.com/office/drawing/2014/main" id="{31E0A6F4-DF8B-4E05-9737-9F1BE92F9368}"/>
            </a:ext>
          </a:extLst>
        </xdr:cNvPr>
        <xdr:cNvSpPr>
          <a:spLocks noChangeAspect="1"/>
        </xdr:cNvSpPr>
      </xdr:nvSpPr>
      <xdr:spPr>
        <a:xfrm>
          <a:off x="171791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75</xdr:row>
      <xdr:rowOff>75750</xdr:rowOff>
    </xdr:from>
    <xdr:to>
      <xdr:col>24</xdr:col>
      <xdr:colOff>432001</xdr:colOff>
      <xdr:row>80</xdr:row>
      <xdr:rowOff>136501</xdr:rowOff>
    </xdr:to>
    <xdr:sp macro="" textlink="">
      <xdr:nvSpPr>
        <xdr:cNvPr id="246808" name="フリーフォーム: 図形 246807">
          <a:extLst>
            <a:ext uri="{FF2B5EF4-FFF2-40B4-BE49-F238E27FC236}">
              <a16:creationId xmlns:a16="http://schemas.microsoft.com/office/drawing/2014/main" id="{D2FCB93F-632C-4A9F-8CDA-16B306CC545E}"/>
            </a:ext>
          </a:extLst>
        </xdr:cNvPr>
        <xdr:cNvSpPr>
          <a:spLocks noChangeAspect="1"/>
        </xdr:cNvSpPr>
      </xdr:nvSpPr>
      <xdr:spPr>
        <a:xfrm>
          <a:off x="16603201" y="132012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69</xdr:row>
      <xdr:rowOff>114450</xdr:rowOff>
    </xdr:from>
    <xdr:to>
      <xdr:col>24</xdr:col>
      <xdr:colOff>576002</xdr:colOff>
      <xdr:row>75</xdr:row>
      <xdr:rowOff>21752</xdr:rowOff>
    </xdr:to>
    <xdr:sp macro="" textlink="">
      <xdr:nvSpPr>
        <xdr:cNvPr id="246809" name="フリーフォーム: 図形 246808">
          <a:extLst>
            <a:ext uri="{FF2B5EF4-FFF2-40B4-BE49-F238E27FC236}">
              <a16:creationId xmlns:a16="http://schemas.microsoft.com/office/drawing/2014/main" id="{25BD7C57-88D6-477B-A56B-86F71A344147}"/>
            </a:ext>
          </a:extLst>
        </xdr:cNvPr>
        <xdr:cNvSpPr>
          <a:spLocks noChangeAspect="1"/>
        </xdr:cNvSpPr>
      </xdr:nvSpPr>
      <xdr:spPr>
        <a:xfrm>
          <a:off x="167832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74</xdr:row>
      <xdr:rowOff>139199</xdr:rowOff>
    </xdr:from>
    <xdr:to>
      <xdr:col>25</xdr:col>
      <xdr:colOff>160201</xdr:colOff>
      <xdr:row>75</xdr:row>
      <xdr:rowOff>111751</xdr:rowOff>
    </xdr:to>
    <xdr:sp macro="" textlink="">
      <xdr:nvSpPr>
        <xdr:cNvPr id="246810" name="フリーフォーム: 図形 246809">
          <a:extLst>
            <a:ext uri="{FF2B5EF4-FFF2-40B4-BE49-F238E27FC236}">
              <a16:creationId xmlns:a16="http://schemas.microsoft.com/office/drawing/2014/main" id="{87EC1E2A-1C6C-4D1A-87FF-FA51044F3462}"/>
            </a:ext>
          </a:extLst>
        </xdr:cNvPr>
        <xdr:cNvSpPr>
          <a:spLocks noChangeAspect="1"/>
        </xdr:cNvSpPr>
      </xdr:nvSpPr>
      <xdr:spPr>
        <a:xfrm>
          <a:off x="168552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74</xdr:row>
      <xdr:rowOff>139199</xdr:rowOff>
    </xdr:from>
    <xdr:to>
      <xdr:col>25</xdr:col>
      <xdr:colOff>664201</xdr:colOff>
      <xdr:row>75</xdr:row>
      <xdr:rowOff>111751</xdr:rowOff>
    </xdr:to>
    <xdr:sp macro="" textlink="">
      <xdr:nvSpPr>
        <xdr:cNvPr id="246811" name="フリーフォーム: 図形 246810">
          <a:extLst>
            <a:ext uri="{FF2B5EF4-FFF2-40B4-BE49-F238E27FC236}">
              <a16:creationId xmlns:a16="http://schemas.microsoft.com/office/drawing/2014/main" id="{6932C3E0-29B8-4AC3-8031-ECBA4CB10B81}"/>
            </a:ext>
          </a:extLst>
        </xdr:cNvPr>
        <xdr:cNvSpPr>
          <a:spLocks noChangeAspect="1"/>
        </xdr:cNvSpPr>
      </xdr:nvSpPr>
      <xdr:spPr>
        <a:xfrm>
          <a:off x="173591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70</xdr:row>
      <xdr:rowOff>51000</xdr:rowOff>
    </xdr:from>
    <xdr:to>
      <xdr:col>25</xdr:col>
      <xdr:colOff>178201</xdr:colOff>
      <xdr:row>75</xdr:row>
      <xdr:rowOff>3751</xdr:rowOff>
    </xdr:to>
    <xdr:sp macro="" textlink="">
      <xdr:nvSpPr>
        <xdr:cNvPr id="246812" name="フリーフォーム: 図形 246811">
          <a:extLst>
            <a:ext uri="{FF2B5EF4-FFF2-40B4-BE49-F238E27FC236}">
              <a16:creationId xmlns:a16="http://schemas.microsoft.com/office/drawing/2014/main" id="{FC9812DD-869D-4B15-B241-E2078B81B211}"/>
            </a:ext>
          </a:extLst>
        </xdr:cNvPr>
        <xdr:cNvSpPr>
          <a:spLocks noChangeAspect="1"/>
        </xdr:cNvSpPr>
      </xdr:nvSpPr>
      <xdr:spPr>
        <a:xfrm>
          <a:off x="170531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69</xdr:row>
      <xdr:rowOff>114450</xdr:rowOff>
    </xdr:from>
    <xdr:to>
      <xdr:col>25</xdr:col>
      <xdr:colOff>430201</xdr:colOff>
      <xdr:row>74</xdr:row>
      <xdr:rowOff>157201</xdr:rowOff>
    </xdr:to>
    <xdr:sp macro="" textlink="">
      <xdr:nvSpPr>
        <xdr:cNvPr id="246813" name="フリーフォーム: 図形 246812">
          <a:extLst>
            <a:ext uri="{FF2B5EF4-FFF2-40B4-BE49-F238E27FC236}">
              <a16:creationId xmlns:a16="http://schemas.microsoft.com/office/drawing/2014/main" id="{43317169-9802-45E4-89DE-D2B8DF9FA365}"/>
            </a:ext>
          </a:extLst>
        </xdr:cNvPr>
        <xdr:cNvSpPr>
          <a:spLocks noChangeAspect="1"/>
        </xdr:cNvSpPr>
      </xdr:nvSpPr>
      <xdr:spPr>
        <a:xfrm>
          <a:off x="173232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70</xdr:row>
      <xdr:rowOff>69000</xdr:rowOff>
    </xdr:from>
    <xdr:to>
      <xdr:col>26</xdr:col>
      <xdr:colOff>68401</xdr:colOff>
      <xdr:row>75</xdr:row>
      <xdr:rowOff>3751</xdr:rowOff>
    </xdr:to>
    <xdr:sp macro="" textlink="">
      <xdr:nvSpPr>
        <xdr:cNvPr id="246814" name="フリーフォーム: 図形 246813">
          <a:extLst>
            <a:ext uri="{FF2B5EF4-FFF2-40B4-BE49-F238E27FC236}">
              <a16:creationId xmlns:a16="http://schemas.microsoft.com/office/drawing/2014/main" id="{F7EB76BE-842A-42AC-8120-6F5B5D49469F}"/>
            </a:ext>
          </a:extLst>
        </xdr:cNvPr>
        <xdr:cNvSpPr>
          <a:spLocks noChangeAspect="1"/>
        </xdr:cNvSpPr>
      </xdr:nvSpPr>
      <xdr:spPr>
        <a:xfrm>
          <a:off x="173772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75</xdr:row>
      <xdr:rowOff>75750</xdr:rowOff>
    </xdr:from>
    <xdr:to>
      <xdr:col>25</xdr:col>
      <xdr:colOff>466200</xdr:colOff>
      <xdr:row>79</xdr:row>
      <xdr:rowOff>163951</xdr:rowOff>
    </xdr:to>
    <xdr:sp macro="" textlink="">
      <xdr:nvSpPr>
        <xdr:cNvPr id="246815" name="フリーフォーム: 図形 246814">
          <a:extLst>
            <a:ext uri="{FF2B5EF4-FFF2-40B4-BE49-F238E27FC236}">
              <a16:creationId xmlns:a16="http://schemas.microsoft.com/office/drawing/2014/main" id="{539CF18A-05D6-4E5F-86FB-CE0EA4AB903A}"/>
            </a:ext>
          </a:extLst>
        </xdr:cNvPr>
        <xdr:cNvSpPr>
          <a:spLocks noChangeAspect="1"/>
        </xdr:cNvSpPr>
      </xdr:nvSpPr>
      <xdr:spPr>
        <a:xfrm>
          <a:off x="173412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75</xdr:row>
      <xdr:rowOff>93749</xdr:rowOff>
    </xdr:from>
    <xdr:to>
      <xdr:col>25</xdr:col>
      <xdr:colOff>196201</xdr:colOff>
      <xdr:row>80</xdr:row>
      <xdr:rowOff>118501</xdr:rowOff>
    </xdr:to>
    <xdr:sp macro="" textlink="">
      <xdr:nvSpPr>
        <xdr:cNvPr id="246816" name="フリーフォーム: 図形 246815">
          <a:extLst>
            <a:ext uri="{FF2B5EF4-FFF2-40B4-BE49-F238E27FC236}">
              <a16:creationId xmlns:a16="http://schemas.microsoft.com/office/drawing/2014/main" id="{863F2479-19C1-46BA-B891-EEB6E76FA01D}"/>
            </a:ext>
          </a:extLst>
        </xdr:cNvPr>
        <xdr:cNvSpPr>
          <a:spLocks noChangeAspect="1"/>
        </xdr:cNvSpPr>
      </xdr:nvSpPr>
      <xdr:spPr>
        <a:xfrm>
          <a:off x="171072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75</xdr:row>
      <xdr:rowOff>75750</xdr:rowOff>
    </xdr:from>
    <xdr:to>
      <xdr:col>25</xdr:col>
      <xdr:colOff>160201</xdr:colOff>
      <xdr:row>80</xdr:row>
      <xdr:rowOff>10501</xdr:rowOff>
    </xdr:to>
    <xdr:sp macro="" textlink="">
      <xdr:nvSpPr>
        <xdr:cNvPr id="246817" name="フリーフォーム: 図形 246816">
          <a:extLst>
            <a:ext uri="{FF2B5EF4-FFF2-40B4-BE49-F238E27FC236}">
              <a16:creationId xmlns:a16="http://schemas.microsoft.com/office/drawing/2014/main" id="{FDCF05DA-8E37-47F9-947C-CB1425A0E3DA}"/>
            </a:ext>
          </a:extLst>
        </xdr:cNvPr>
        <xdr:cNvSpPr>
          <a:spLocks noChangeAspect="1"/>
        </xdr:cNvSpPr>
      </xdr:nvSpPr>
      <xdr:spPr>
        <a:xfrm>
          <a:off x="167832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69</xdr:row>
      <xdr:rowOff>42450</xdr:rowOff>
    </xdr:from>
    <xdr:to>
      <xdr:col>28</xdr:col>
      <xdr:colOff>93601</xdr:colOff>
      <xdr:row>70</xdr:row>
      <xdr:rowOff>15001</xdr:rowOff>
    </xdr:to>
    <xdr:sp macro="" textlink="">
      <xdr:nvSpPr>
        <xdr:cNvPr id="246818" name="フリーフォーム: 図形 246817">
          <a:extLst>
            <a:ext uri="{FF2B5EF4-FFF2-40B4-BE49-F238E27FC236}">
              <a16:creationId xmlns:a16="http://schemas.microsoft.com/office/drawing/2014/main" id="{FEEEEF25-737F-47EC-A84A-9E05B229AE5F}"/>
            </a:ext>
          </a:extLst>
        </xdr:cNvPr>
        <xdr:cNvSpPr>
          <a:spLocks noChangeAspect="1"/>
        </xdr:cNvSpPr>
      </xdr:nvSpPr>
      <xdr:spPr>
        <a:xfrm>
          <a:off x="188280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69</xdr:row>
      <xdr:rowOff>42450</xdr:rowOff>
    </xdr:from>
    <xdr:to>
      <xdr:col>28</xdr:col>
      <xdr:colOff>633601</xdr:colOff>
      <xdr:row>70</xdr:row>
      <xdr:rowOff>15001</xdr:rowOff>
    </xdr:to>
    <xdr:sp macro="" textlink="">
      <xdr:nvSpPr>
        <xdr:cNvPr id="246819" name="フリーフォーム: 図形 246818">
          <a:extLst>
            <a:ext uri="{FF2B5EF4-FFF2-40B4-BE49-F238E27FC236}">
              <a16:creationId xmlns:a16="http://schemas.microsoft.com/office/drawing/2014/main" id="{A2D46BBC-F214-4C2C-BD13-7229F6FB4CDC}"/>
            </a:ext>
          </a:extLst>
        </xdr:cNvPr>
        <xdr:cNvSpPr>
          <a:spLocks noChangeAspect="1"/>
        </xdr:cNvSpPr>
      </xdr:nvSpPr>
      <xdr:spPr>
        <a:xfrm>
          <a:off x="193680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69</xdr:row>
      <xdr:rowOff>114450</xdr:rowOff>
    </xdr:from>
    <xdr:to>
      <xdr:col>29</xdr:col>
      <xdr:colOff>19801</xdr:colOff>
      <xdr:row>75</xdr:row>
      <xdr:rowOff>21752</xdr:rowOff>
    </xdr:to>
    <xdr:sp macro="" textlink="">
      <xdr:nvSpPr>
        <xdr:cNvPr id="246820" name="フリーフォーム: 図形 246819">
          <a:extLst>
            <a:ext uri="{FF2B5EF4-FFF2-40B4-BE49-F238E27FC236}">
              <a16:creationId xmlns:a16="http://schemas.microsoft.com/office/drawing/2014/main" id="{87E451C9-28A2-482E-852F-02F21C62096F}"/>
            </a:ext>
          </a:extLst>
        </xdr:cNvPr>
        <xdr:cNvSpPr>
          <a:spLocks noChangeAspect="1"/>
        </xdr:cNvSpPr>
      </xdr:nvSpPr>
      <xdr:spPr>
        <a:xfrm>
          <a:off x="196199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75</xdr:row>
      <xdr:rowOff>75750</xdr:rowOff>
    </xdr:from>
    <xdr:to>
      <xdr:col>28</xdr:col>
      <xdr:colOff>525601</xdr:colOff>
      <xdr:row>80</xdr:row>
      <xdr:rowOff>136501</xdr:rowOff>
    </xdr:to>
    <xdr:sp macro="" textlink="">
      <xdr:nvSpPr>
        <xdr:cNvPr id="246821" name="フリーフォーム: 図形 246820">
          <a:extLst>
            <a:ext uri="{FF2B5EF4-FFF2-40B4-BE49-F238E27FC236}">
              <a16:creationId xmlns:a16="http://schemas.microsoft.com/office/drawing/2014/main" id="{FA53DFC8-5369-40FF-9775-7633E7AB8D9B}"/>
            </a:ext>
          </a:extLst>
        </xdr:cNvPr>
        <xdr:cNvSpPr>
          <a:spLocks noChangeAspect="1"/>
        </xdr:cNvSpPr>
      </xdr:nvSpPr>
      <xdr:spPr>
        <a:xfrm>
          <a:off x="194399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80</xdr:row>
      <xdr:rowOff>64500</xdr:rowOff>
    </xdr:from>
    <xdr:to>
      <xdr:col>27</xdr:col>
      <xdr:colOff>455401</xdr:colOff>
      <xdr:row>81</xdr:row>
      <xdr:rowOff>37051</xdr:rowOff>
    </xdr:to>
    <xdr:sp macro="" textlink="">
      <xdr:nvSpPr>
        <xdr:cNvPr id="246822" name="フリーフォーム: 図形 246821">
          <a:extLst>
            <a:ext uri="{FF2B5EF4-FFF2-40B4-BE49-F238E27FC236}">
              <a16:creationId xmlns:a16="http://schemas.microsoft.com/office/drawing/2014/main" id="{63BB0553-3C7C-49BC-B9C9-C6D9252FF22F}"/>
            </a:ext>
          </a:extLst>
        </xdr:cNvPr>
        <xdr:cNvSpPr>
          <a:spLocks noChangeAspect="1"/>
        </xdr:cNvSpPr>
      </xdr:nvSpPr>
      <xdr:spPr>
        <a:xfrm>
          <a:off x="184860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80</xdr:row>
      <xdr:rowOff>64500</xdr:rowOff>
    </xdr:from>
    <xdr:to>
      <xdr:col>28</xdr:col>
      <xdr:colOff>273601</xdr:colOff>
      <xdr:row>81</xdr:row>
      <xdr:rowOff>37051</xdr:rowOff>
    </xdr:to>
    <xdr:sp macro="" textlink="">
      <xdr:nvSpPr>
        <xdr:cNvPr id="246823" name="フリーフォーム: 図形 246822">
          <a:extLst>
            <a:ext uri="{FF2B5EF4-FFF2-40B4-BE49-F238E27FC236}">
              <a16:creationId xmlns:a16="http://schemas.microsoft.com/office/drawing/2014/main" id="{91619BB3-5C46-4145-A5E0-59F0887D92BB}"/>
            </a:ext>
          </a:extLst>
        </xdr:cNvPr>
        <xdr:cNvSpPr>
          <a:spLocks noChangeAspect="1"/>
        </xdr:cNvSpPr>
      </xdr:nvSpPr>
      <xdr:spPr>
        <a:xfrm>
          <a:off x="190079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75</xdr:row>
      <xdr:rowOff>75750</xdr:rowOff>
    </xdr:from>
    <xdr:to>
      <xdr:col>27</xdr:col>
      <xdr:colOff>203401</xdr:colOff>
      <xdr:row>80</xdr:row>
      <xdr:rowOff>136501</xdr:rowOff>
    </xdr:to>
    <xdr:sp macro="" textlink="">
      <xdr:nvSpPr>
        <xdr:cNvPr id="246824" name="フリーフォーム: 図形 246823">
          <a:extLst>
            <a:ext uri="{FF2B5EF4-FFF2-40B4-BE49-F238E27FC236}">
              <a16:creationId xmlns:a16="http://schemas.microsoft.com/office/drawing/2014/main" id="{0CE75FC7-9C58-4AF2-B716-EB1D514531E5}"/>
            </a:ext>
          </a:extLst>
        </xdr:cNvPr>
        <xdr:cNvSpPr>
          <a:spLocks noChangeAspect="1"/>
        </xdr:cNvSpPr>
      </xdr:nvSpPr>
      <xdr:spPr>
        <a:xfrm>
          <a:off x="18432001" y="132012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69</xdr:row>
      <xdr:rowOff>114450</xdr:rowOff>
    </xdr:from>
    <xdr:to>
      <xdr:col>27</xdr:col>
      <xdr:colOff>347402</xdr:colOff>
      <xdr:row>75</xdr:row>
      <xdr:rowOff>21752</xdr:rowOff>
    </xdr:to>
    <xdr:sp macro="" textlink="">
      <xdr:nvSpPr>
        <xdr:cNvPr id="246825" name="フリーフォーム: 図形 246824">
          <a:extLst>
            <a:ext uri="{FF2B5EF4-FFF2-40B4-BE49-F238E27FC236}">
              <a16:creationId xmlns:a16="http://schemas.microsoft.com/office/drawing/2014/main" id="{BA7D0C25-2CB0-4B2D-93E1-31A56278BB40}"/>
            </a:ext>
          </a:extLst>
        </xdr:cNvPr>
        <xdr:cNvSpPr>
          <a:spLocks noChangeAspect="1"/>
        </xdr:cNvSpPr>
      </xdr:nvSpPr>
      <xdr:spPr>
        <a:xfrm>
          <a:off x="186120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74</xdr:row>
      <xdr:rowOff>139199</xdr:rowOff>
    </xdr:from>
    <xdr:to>
      <xdr:col>27</xdr:col>
      <xdr:colOff>617401</xdr:colOff>
      <xdr:row>75</xdr:row>
      <xdr:rowOff>111751</xdr:rowOff>
    </xdr:to>
    <xdr:sp macro="" textlink="">
      <xdr:nvSpPr>
        <xdr:cNvPr id="246826" name="フリーフォーム: 図形 246825">
          <a:extLst>
            <a:ext uri="{FF2B5EF4-FFF2-40B4-BE49-F238E27FC236}">
              <a16:creationId xmlns:a16="http://schemas.microsoft.com/office/drawing/2014/main" id="{CE1AE1D8-BF85-4E45-BE3A-C7B21F5F3EA1}"/>
            </a:ext>
          </a:extLst>
        </xdr:cNvPr>
        <xdr:cNvSpPr>
          <a:spLocks noChangeAspect="1"/>
        </xdr:cNvSpPr>
      </xdr:nvSpPr>
      <xdr:spPr>
        <a:xfrm>
          <a:off x="186840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74</xdr:row>
      <xdr:rowOff>139199</xdr:rowOff>
    </xdr:from>
    <xdr:to>
      <xdr:col>28</xdr:col>
      <xdr:colOff>435601</xdr:colOff>
      <xdr:row>75</xdr:row>
      <xdr:rowOff>111751</xdr:rowOff>
    </xdr:to>
    <xdr:sp macro="" textlink="">
      <xdr:nvSpPr>
        <xdr:cNvPr id="246827" name="フリーフォーム: 図形 246826">
          <a:extLst>
            <a:ext uri="{FF2B5EF4-FFF2-40B4-BE49-F238E27FC236}">
              <a16:creationId xmlns:a16="http://schemas.microsoft.com/office/drawing/2014/main" id="{DEA16EE0-895E-48EF-B7D5-2F72800C0B98}"/>
            </a:ext>
          </a:extLst>
        </xdr:cNvPr>
        <xdr:cNvSpPr>
          <a:spLocks noChangeAspect="1"/>
        </xdr:cNvSpPr>
      </xdr:nvSpPr>
      <xdr:spPr>
        <a:xfrm>
          <a:off x="191879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70</xdr:row>
      <xdr:rowOff>51000</xdr:rowOff>
    </xdr:from>
    <xdr:to>
      <xdr:col>27</xdr:col>
      <xdr:colOff>635401</xdr:colOff>
      <xdr:row>75</xdr:row>
      <xdr:rowOff>3751</xdr:rowOff>
    </xdr:to>
    <xdr:sp macro="" textlink="">
      <xdr:nvSpPr>
        <xdr:cNvPr id="246828" name="フリーフォーム: 図形 246827">
          <a:extLst>
            <a:ext uri="{FF2B5EF4-FFF2-40B4-BE49-F238E27FC236}">
              <a16:creationId xmlns:a16="http://schemas.microsoft.com/office/drawing/2014/main" id="{E169F298-2925-4ACD-A2C0-ED76497D53B8}"/>
            </a:ext>
          </a:extLst>
        </xdr:cNvPr>
        <xdr:cNvSpPr>
          <a:spLocks noChangeAspect="1"/>
        </xdr:cNvSpPr>
      </xdr:nvSpPr>
      <xdr:spPr>
        <a:xfrm>
          <a:off x="188819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69</xdr:row>
      <xdr:rowOff>114450</xdr:rowOff>
    </xdr:from>
    <xdr:to>
      <xdr:col>28</xdr:col>
      <xdr:colOff>201601</xdr:colOff>
      <xdr:row>74</xdr:row>
      <xdr:rowOff>157201</xdr:rowOff>
    </xdr:to>
    <xdr:sp macro="" textlink="">
      <xdr:nvSpPr>
        <xdr:cNvPr id="246829" name="フリーフォーム: 図形 246828">
          <a:extLst>
            <a:ext uri="{FF2B5EF4-FFF2-40B4-BE49-F238E27FC236}">
              <a16:creationId xmlns:a16="http://schemas.microsoft.com/office/drawing/2014/main" id="{CE18F775-3CE8-43D1-BBD8-E2C0E63CF4F5}"/>
            </a:ext>
          </a:extLst>
        </xdr:cNvPr>
        <xdr:cNvSpPr>
          <a:spLocks noChangeAspect="1"/>
        </xdr:cNvSpPr>
      </xdr:nvSpPr>
      <xdr:spPr>
        <a:xfrm>
          <a:off x="191520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70</xdr:row>
      <xdr:rowOff>69000</xdr:rowOff>
    </xdr:from>
    <xdr:to>
      <xdr:col>28</xdr:col>
      <xdr:colOff>525601</xdr:colOff>
      <xdr:row>75</xdr:row>
      <xdr:rowOff>3751</xdr:rowOff>
    </xdr:to>
    <xdr:sp macro="" textlink="">
      <xdr:nvSpPr>
        <xdr:cNvPr id="246830" name="フリーフォーム: 図形 246829">
          <a:extLst>
            <a:ext uri="{FF2B5EF4-FFF2-40B4-BE49-F238E27FC236}">
              <a16:creationId xmlns:a16="http://schemas.microsoft.com/office/drawing/2014/main" id="{EC234C34-5F55-46D8-A2DF-EC9253C065A0}"/>
            </a:ext>
          </a:extLst>
        </xdr:cNvPr>
        <xdr:cNvSpPr>
          <a:spLocks noChangeAspect="1"/>
        </xdr:cNvSpPr>
      </xdr:nvSpPr>
      <xdr:spPr>
        <a:xfrm>
          <a:off x="192060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75</xdr:row>
      <xdr:rowOff>75750</xdr:rowOff>
    </xdr:from>
    <xdr:to>
      <xdr:col>28</xdr:col>
      <xdr:colOff>237600</xdr:colOff>
      <xdr:row>79</xdr:row>
      <xdr:rowOff>163951</xdr:rowOff>
    </xdr:to>
    <xdr:sp macro="" textlink="">
      <xdr:nvSpPr>
        <xdr:cNvPr id="246831" name="フリーフォーム: 図形 246830">
          <a:extLst>
            <a:ext uri="{FF2B5EF4-FFF2-40B4-BE49-F238E27FC236}">
              <a16:creationId xmlns:a16="http://schemas.microsoft.com/office/drawing/2014/main" id="{C73AF4D1-4E41-4463-9F8F-96FFB45C7DBA}"/>
            </a:ext>
          </a:extLst>
        </xdr:cNvPr>
        <xdr:cNvSpPr>
          <a:spLocks noChangeAspect="1"/>
        </xdr:cNvSpPr>
      </xdr:nvSpPr>
      <xdr:spPr>
        <a:xfrm>
          <a:off x="191700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75</xdr:row>
      <xdr:rowOff>93749</xdr:rowOff>
    </xdr:from>
    <xdr:to>
      <xdr:col>27</xdr:col>
      <xdr:colOff>653401</xdr:colOff>
      <xdr:row>80</xdr:row>
      <xdr:rowOff>118501</xdr:rowOff>
    </xdr:to>
    <xdr:sp macro="" textlink="">
      <xdr:nvSpPr>
        <xdr:cNvPr id="246832" name="フリーフォーム: 図形 246831">
          <a:extLst>
            <a:ext uri="{FF2B5EF4-FFF2-40B4-BE49-F238E27FC236}">
              <a16:creationId xmlns:a16="http://schemas.microsoft.com/office/drawing/2014/main" id="{D359BE0C-CE22-4EEE-9A8C-B541CB0A289A}"/>
            </a:ext>
          </a:extLst>
        </xdr:cNvPr>
        <xdr:cNvSpPr>
          <a:spLocks noChangeAspect="1"/>
        </xdr:cNvSpPr>
      </xdr:nvSpPr>
      <xdr:spPr>
        <a:xfrm>
          <a:off x="189360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75</xdr:row>
      <xdr:rowOff>75750</xdr:rowOff>
    </xdr:from>
    <xdr:to>
      <xdr:col>27</xdr:col>
      <xdr:colOff>617401</xdr:colOff>
      <xdr:row>80</xdr:row>
      <xdr:rowOff>10501</xdr:rowOff>
    </xdr:to>
    <xdr:sp macro="" textlink="">
      <xdr:nvSpPr>
        <xdr:cNvPr id="246833" name="フリーフォーム: 図形 246832">
          <a:extLst>
            <a:ext uri="{FF2B5EF4-FFF2-40B4-BE49-F238E27FC236}">
              <a16:creationId xmlns:a16="http://schemas.microsoft.com/office/drawing/2014/main" id="{D4C062C5-E5F7-49A1-B6E2-1D41028F3F93}"/>
            </a:ext>
          </a:extLst>
        </xdr:cNvPr>
        <xdr:cNvSpPr>
          <a:spLocks noChangeAspect="1"/>
        </xdr:cNvSpPr>
      </xdr:nvSpPr>
      <xdr:spPr>
        <a:xfrm>
          <a:off x="186120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69</xdr:row>
      <xdr:rowOff>42450</xdr:rowOff>
    </xdr:from>
    <xdr:to>
      <xdr:col>30</xdr:col>
      <xdr:colOff>550801</xdr:colOff>
      <xdr:row>70</xdr:row>
      <xdr:rowOff>15001</xdr:rowOff>
    </xdr:to>
    <xdr:sp macro="" textlink="">
      <xdr:nvSpPr>
        <xdr:cNvPr id="246834" name="フリーフォーム: 図形 246833">
          <a:extLst>
            <a:ext uri="{FF2B5EF4-FFF2-40B4-BE49-F238E27FC236}">
              <a16:creationId xmlns:a16="http://schemas.microsoft.com/office/drawing/2014/main" id="{CD09B4F2-CC9F-4B1A-BAC9-00DAAA7606E0}"/>
            </a:ext>
          </a:extLst>
        </xdr:cNvPr>
        <xdr:cNvSpPr>
          <a:spLocks noChangeAspect="1"/>
        </xdr:cNvSpPr>
      </xdr:nvSpPr>
      <xdr:spPr>
        <a:xfrm>
          <a:off x="206568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69</xdr:row>
      <xdr:rowOff>42450</xdr:rowOff>
    </xdr:from>
    <xdr:to>
      <xdr:col>31</xdr:col>
      <xdr:colOff>405001</xdr:colOff>
      <xdr:row>70</xdr:row>
      <xdr:rowOff>15001</xdr:rowOff>
    </xdr:to>
    <xdr:sp macro="" textlink="">
      <xdr:nvSpPr>
        <xdr:cNvPr id="246835" name="フリーフォーム: 図形 246834">
          <a:extLst>
            <a:ext uri="{FF2B5EF4-FFF2-40B4-BE49-F238E27FC236}">
              <a16:creationId xmlns:a16="http://schemas.microsoft.com/office/drawing/2014/main" id="{BD997FB9-CD3C-4A22-8D7E-E00C9B019B06}"/>
            </a:ext>
          </a:extLst>
        </xdr:cNvPr>
        <xdr:cNvSpPr>
          <a:spLocks noChangeAspect="1"/>
        </xdr:cNvSpPr>
      </xdr:nvSpPr>
      <xdr:spPr>
        <a:xfrm>
          <a:off x="211968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69</xdr:row>
      <xdr:rowOff>114450</xdr:rowOff>
    </xdr:from>
    <xdr:to>
      <xdr:col>31</xdr:col>
      <xdr:colOff>477001</xdr:colOff>
      <xdr:row>75</xdr:row>
      <xdr:rowOff>21752</xdr:rowOff>
    </xdr:to>
    <xdr:sp macro="" textlink="">
      <xdr:nvSpPr>
        <xdr:cNvPr id="246836" name="フリーフォーム: 図形 246835">
          <a:extLst>
            <a:ext uri="{FF2B5EF4-FFF2-40B4-BE49-F238E27FC236}">
              <a16:creationId xmlns:a16="http://schemas.microsoft.com/office/drawing/2014/main" id="{2FAD4B19-D84C-437C-830C-033428FAAE6C}"/>
            </a:ext>
          </a:extLst>
        </xdr:cNvPr>
        <xdr:cNvSpPr>
          <a:spLocks noChangeAspect="1"/>
        </xdr:cNvSpPr>
      </xdr:nvSpPr>
      <xdr:spPr>
        <a:xfrm>
          <a:off x="214487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75</xdr:row>
      <xdr:rowOff>75750</xdr:rowOff>
    </xdr:from>
    <xdr:to>
      <xdr:col>31</xdr:col>
      <xdr:colOff>297001</xdr:colOff>
      <xdr:row>80</xdr:row>
      <xdr:rowOff>136501</xdr:rowOff>
    </xdr:to>
    <xdr:sp macro="" textlink="">
      <xdr:nvSpPr>
        <xdr:cNvPr id="246837" name="フリーフォーム: 図形 246836">
          <a:extLst>
            <a:ext uri="{FF2B5EF4-FFF2-40B4-BE49-F238E27FC236}">
              <a16:creationId xmlns:a16="http://schemas.microsoft.com/office/drawing/2014/main" id="{7318E91B-77FB-4198-B7B3-246136414141}"/>
            </a:ext>
          </a:extLst>
        </xdr:cNvPr>
        <xdr:cNvSpPr>
          <a:spLocks noChangeAspect="1"/>
        </xdr:cNvSpPr>
      </xdr:nvSpPr>
      <xdr:spPr>
        <a:xfrm>
          <a:off x="212687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80</xdr:row>
      <xdr:rowOff>64500</xdr:rowOff>
    </xdr:from>
    <xdr:to>
      <xdr:col>30</xdr:col>
      <xdr:colOff>226801</xdr:colOff>
      <xdr:row>81</xdr:row>
      <xdr:rowOff>37051</xdr:rowOff>
    </xdr:to>
    <xdr:sp macro="" textlink="">
      <xdr:nvSpPr>
        <xdr:cNvPr id="246838" name="フリーフォーム: 図形 246837">
          <a:extLst>
            <a:ext uri="{FF2B5EF4-FFF2-40B4-BE49-F238E27FC236}">
              <a16:creationId xmlns:a16="http://schemas.microsoft.com/office/drawing/2014/main" id="{70F62985-1294-4DFB-A9E8-94E28DE59F06}"/>
            </a:ext>
          </a:extLst>
        </xdr:cNvPr>
        <xdr:cNvSpPr>
          <a:spLocks noChangeAspect="1"/>
        </xdr:cNvSpPr>
      </xdr:nvSpPr>
      <xdr:spPr>
        <a:xfrm>
          <a:off x="203148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80</xdr:row>
      <xdr:rowOff>64500</xdr:rowOff>
    </xdr:from>
    <xdr:to>
      <xdr:col>31</xdr:col>
      <xdr:colOff>45001</xdr:colOff>
      <xdr:row>81</xdr:row>
      <xdr:rowOff>37051</xdr:rowOff>
    </xdr:to>
    <xdr:sp macro="" textlink="">
      <xdr:nvSpPr>
        <xdr:cNvPr id="246839" name="フリーフォーム: 図形 246838">
          <a:extLst>
            <a:ext uri="{FF2B5EF4-FFF2-40B4-BE49-F238E27FC236}">
              <a16:creationId xmlns:a16="http://schemas.microsoft.com/office/drawing/2014/main" id="{1D396FDF-420E-4657-956B-B0D82D73A83E}"/>
            </a:ext>
          </a:extLst>
        </xdr:cNvPr>
        <xdr:cNvSpPr>
          <a:spLocks noChangeAspect="1"/>
        </xdr:cNvSpPr>
      </xdr:nvSpPr>
      <xdr:spPr>
        <a:xfrm>
          <a:off x="208367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75</xdr:row>
      <xdr:rowOff>75750</xdr:rowOff>
    </xdr:from>
    <xdr:to>
      <xdr:col>29</xdr:col>
      <xdr:colOff>660601</xdr:colOff>
      <xdr:row>80</xdr:row>
      <xdr:rowOff>136501</xdr:rowOff>
    </xdr:to>
    <xdr:sp macro="" textlink="">
      <xdr:nvSpPr>
        <xdr:cNvPr id="246840" name="フリーフォーム: 図形 246839">
          <a:extLst>
            <a:ext uri="{FF2B5EF4-FFF2-40B4-BE49-F238E27FC236}">
              <a16:creationId xmlns:a16="http://schemas.microsoft.com/office/drawing/2014/main" id="{A504E45A-5889-4B4F-9928-6C85B922E65F}"/>
            </a:ext>
          </a:extLst>
        </xdr:cNvPr>
        <xdr:cNvSpPr>
          <a:spLocks noChangeAspect="1"/>
        </xdr:cNvSpPr>
      </xdr:nvSpPr>
      <xdr:spPr>
        <a:xfrm>
          <a:off x="20260801" y="132012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69</xdr:row>
      <xdr:rowOff>114450</xdr:rowOff>
    </xdr:from>
    <xdr:to>
      <xdr:col>30</xdr:col>
      <xdr:colOff>118802</xdr:colOff>
      <xdr:row>75</xdr:row>
      <xdr:rowOff>21752</xdr:rowOff>
    </xdr:to>
    <xdr:sp macro="" textlink="">
      <xdr:nvSpPr>
        <xdr:cNvPr id="246841" name="フリーフォーム: 図形 246840">
          <a:extLst>
            <a:ext uri="{FF2B5EF4-FFF2-40B4-BE49-F238E27FC236}">
              <a16:creationId xmlns:a16="http://schemas.microsoft.com/office/drawing/2014/main" id="{AB30AEC0-3885-48D7-83A2-75B3A41B3D95}"/>
            </a:ext>
          </a:extLst>
        </xdr:cNvPr>
        <xdr:cNvSpPr>
          <a:spLocks noChangeAspect="1"/>
        </xdr:cNvSpPr>
      </xdr:nvSpPr>
      <xdr:spPr>
        <a:xfrm>
          <a:off x="204408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74</xdr:row>
      <xdr:rowOff>139199</xdr:rowOff>
    </xdr:from>
    <xdr:to>
      <xdr:col>30</xdr:col>
      <xdr:colOff>388801</xdr:colOff>
      <xdr:row>75</xdr:row>
      <xdr:rowOff>111751</xdr:rowOff>
    </xdr:to>
    <xdr:sp macro="" textlink="">
      <xdr:nvSpPr>
        <xdr:cNvPr id="246842" name="フリーフォーム: 図形 246841">
          <a:extLst>
            <a:ext uri="{FF2B5EF4-FFF2-40B4-BE49-F238E27FC236}">
              <a16:creationId xmlns:a16="http://schemas.microsoft.com/office/drawing/2014/main" id="{44926C95-84F1-4165-B2FC-A6B0DA1EE7FF}"/>
            </a:ext>
          </a:extLst>
        </xdr:cNvPr>
        <xdr:cNvSpPr>
          <a:spLocks noChangeAspect="1"/>
        </xdr:cNvSpPr>
      </xdr:nvSpPr>
      <xdr:spPr>
        <a:xfrm>
          <a:off x="205128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74</xdr:row>
      <xdr:rowOff>139199</xdr:rowOff>
    </xdr:from>
    <xdr:to>
      <xdr:col>31</xdr:col>
      <xdr:colOff>207001</xdr:colOff>
      <xdr:row>75</xdr:row>
      <xdr:rowOff>111751</xdr:rowOff>
    </xdr:to>
    <xdr:sp macro="" textlink="">
      <xdr:nvSpPr>
        <xdr:cNvPr id="246843" name="フリーフォーム: 図形 246842">
          <a:extLst>
            <a:ext uri="{FF2B5EF4-FFF2-40B4-BE49-F238E27FC236}">
              <a16:creationId xmlns:a16="http://schemas.microsoft.com/office/drawing/2014/main" id="{2EF0A198-2449-423B-A8F9-A0F1B793578B}"/>
            </a:ext>
          </a:extLst>
        </xdr:cNvPr>
        <xdr:cNvSpPr>
          <a:spLocks noChangeAspect="1"/>
        </xdr:cNvSpPr>
      </xdr:nvSpPr>
      <xdr:spPr>
        <a:xfrm>
          <a:off x="210167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70</xdr:row>
      <xdr:rowOff>51000</xdr:rowOff>
    </xdr:from>
    <xdr:to>
      <xdr:col>30</xdr:col>
      <xdr:colOff>406801</xdr:colOff>
      <xdr:row>75</xdr:row>
      <xdr:rowOff>3751</xdr:rowOff>
    </xdr:to>
    <xdr:sp macro="" textlink="">
      <xdr:nvSpPr>
        <xdr:cNvPr id="246844" name="フリーフォーム: 図形 246843">
          <a:extLst>
            <a:ext uri="{FF2B5EF4-FFF2-40B4-BE49-F238E27FC236}">
              <a16:creationId xmlns:a16="http://schemas.microsoft.com/office/drawing/2014/main" id="{E1069939-5937-4DE1-A509-46641CAEBEAC}"/>
            </a:ext>
          </a:extLst>
        </xdr:cNvPr>
        <xdr:cNvSpPr>
          <a:spLocks noChangeAspect="1"/>
        </xdr:cNvSpPr>
      </xdr:nvSpPr>
      <xdr:spPr>
        <a:xfrm>
          <a:off x="207107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69</xdr:row>
      <xdr:rowOff>114450</xdr:rowOff>
    </xdr:from>
    <xdr:to>
      <xdr:col>30</xdr:col>
      <xdr:colOff>658801</xdr:colOff>
      <xdr:row>74</xdr:row>
      <xdr:rowOff>157201</xdr:rowOff>
    </xdr:to>
    <xdr:sp macro="" textlink="">
      <xdr:nvSpPr>
        <xdr:cNvPr id="246845" name="フリーフォーム: 図形 246844">
          <a:extLst>
            <a:ext uri="{FF2B5EF4-FFF2-40B4-BE49-F238E27FC236}">
              <a16:creationId xmlns:a16="http://schemas.microsoft.com/office/drawing/2014/main" id="{FE25FAB1-B91D-48C2-9648-77199286F628}"/>
            </a:ext>
          </a:extLst>
        </xdr:cNvPr>
        <xdr:cNvSpPr>
          <a:spLocks noChangeAspect="1"/>
        </xdr:cNvSpPr>
      </xdr:nvSpPr>
      <xdr:spPr>
        <a:xfrm>
          <a:off x="209808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70</xdr:row>
      <xdr:rowOff>69000</xdr:rowOff>
    </xdr:from>
    <xdr:to>
      <xdr:col>31</xdr:col>
      <xdr:colOff>297001</xdr:colOff>
      <xdr:row>75</xdr:row>
      <xdr:rowOff>3751</xdr:rowOff>
    </xdr:to>
    <xdr:sp macro="" textlink="">
      <xdr:nvSpPr>
        <xdr:cNvPr id="246846" name="フリーフォーム: 図形 246845">
          <a:extLst>
            <a:ext uri="{FF2B5EF4-FFF2-40B4-BE49-F238E27FC236}">
              <a16:creationId xmlns:a16="http://schemas.microsoft.com/office/drawing/2014/main" id="{97113079-72BC-4D1D-8E4C-6BA3F89B35AE}"/>
            </a:ext>
          </a:extLst>
        </xdr:cNvPr>
        <xdr:cNvSpPr>
          <a:spLocks noChangeAspect="1"/>
        </xdr:cNvSpPr>
      </xdr:nvSpPr>
      <xdr:spPr>
        <a:xfrm>
          <a:off x="210348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75</xdr:row>
      <xdr:rowOff>75750</xdr:rowOff>
    </xdr:from>
    <xdr:to>
      <xdr:col>31</xdr:col>
      <xdr:colOff>9000</xdr:colOff>
      <xdr:row>79</xdr:row>
      <xdr:rowOff>163951</xdr:rowOff>
    </xdr:to>
    <xdr:sp macro="" textlink="">
      <xdr:nvSpPr>
        <xdr:cNvPr id="246847" name="フリーフォーム: 図形 246846">
          <a:extLst>
            <a:ext uri="{FF2B5EF4-FFF2-40B4-BE49-F238E27FC236}">
              <a16:creationId xmlns:a16="http://schemas.microsoft.com/office/drawing/2014/main" id="{27670748-6CB6-4576-8730-F5CC017C4C67}"/>
            </a:ext>
          </a:extLst>
        </xdr:cNvPr>
        <xdr:cNvSpPr>
          <a:spLocks noChangeAspect="1"/>
        </xdr:cNvSpPr>
      </xdr:nvSpPr>
      <xdr:spPr>
        <a:xfrm>
          <a:off x="209988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75</xdr:row>
      <xdr:rowOff>93749</xdr:rowOff>
    </xdr:from>
    <xdr:to>
      <xdr:col>30</xdr:col>
      <xdr:colOff>424801</xdr:colOff>
      <xdr:row>80</xdr:row>
      <xdr:rowOff>118501</xdr:rowOff>
    </xdr:to>
    <xdr:sp macro="" textlink="">
      <xdr:nvSpPr>
        <xdr:cNvPr id="246848" name="フリーフォーム: 図形 246847">
          <a:extLst>
            <a:ext uri="{FF2B5EF4-FFF2-40B4-BE49-F238E27FC236}">
              <a16:creationId xmlns:a16="http://schemas.microsoft.com/office/drawing/2014/main" id="{B26ACFA6-826F-44D0-BBB4-FC68C00AB9C5}"/>
            </a:ext>
          </a:extLst>
        </xdr:cNvPr>
        <xdr:cNvSpPr>
          <a:spLocks noChangeAspect="1"/>
        </xdr:cNvSpPr>
      </xdr:nvSpPr>
      <xdr:spPr>
        <a:xfrm>
          <a:off x="207648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75</xdr:row>
      <xdr:rowOff>75750</xdr:rowOff>
    </xdr:from>
    <xdr:to>
      <xdr:col>30</xdr:col>
      <xdr:colOff>388801</xdr:colOff>
      <xdr:row>80</xdr:row>
      <xdr:rowOff>10501</xdr:rowOff>
    </xdr:to>
    <xdr:sp macro="" textlink="">
      <xdr:nvSpPr>
        <xdr:cNvPr id="246849" name="フリーフォーム: 図形 246848">
          <a:extLst>
            <a:ext uri="{FF2B5EF4-FFF2-40B4-BE49-F238E27FC236}">
              <a16:creationId xmlns:a16="http://schemas.microsoft.com/office/drawing/2014/main" id="{789F23DB-7325-4339-9DE5-5127D5A01DDF}"/>
            </a:ext>
          </a:extLst>
        </xdr:cNvPr>
        <xdr:cNvSpPr>
          <a:spLocks noChangeAspect="1"/>
        </xdr:cNvSpPr>
      </xdr:nvSpPr>
      <xdr:spPr>
        <a:xfrm>
          <a:off x="204408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69</xdr:row>
      <xdr:rowOff>42450</xdr:rowOff>
    </xdr:from>
    <xdr:to>
      <xdr:col>33</xdr:col>
      <xdr:colOff>322201</xdr:colOff>
      <xdr:row>70</xdr:row>
      <xdr:rowOff>15001</xdr:rowOff>
    </xdr:to>
    <xdr:sp macro="" textlink="">
      <xdr:nvSpPr>
        <xdr:cNvPr id="246850" name="フリーフォーム: 図形 246849">
          <a:extLst>
            <a:ext uri="{FF2B5EF4-FFF2-40B4-BE49-F238E27FC236}">
              <a16:creationId xmlns:a16="http://schemas.microsoft.com/office/drawing/2014/main" id="{B658FFFA-84A0-480F-BB17-2FC6734317AA}"/>
            </a:ext>
          </a:extLst>
        </xdr:cNvPr>
        <xdr:cNvSpPr>
          <a:spLocks noChangeAspect="1"/>
        </xdr:cNvSpPr>
      </xdr:nvSpPr>
      <xdr:spPr>
        <a:xfrm>
          <a:off x="224856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69</xdr:row>
      <xdr:rowOff>42450</xdr:rowOff>
    </xdr:from>
    <xdr:to>
      <xdr:col>34</xdr:col>
      <xdr:colOff>176401</xdr:colOff>
      <xdr:row>70</xdr:row>
      <xdr:rowOff>15001</xdr:rowOff>
    </xdr:to>
    <xdr:sp macro="" textlink="">
      <xdr:nvSpPr>
        <xdr:cNvPr id="246851" name="フリーフォーム: 図形 246850">
          <a:extLst>
            <a:ext uri="{FF2B5EF4-FFF2-40B4-BE49-F238E27FC236}">
              <a16:creationId xmlns:a16="http://schemas.microsoft.com/office/drawing/2014/main" id="{6A16C141-3AF6-4541-8C84-49336155B374}"/>
            </a:ext>
          </a:extLst>
        </xdr:cNvPr>
        <xdr:cNvSpPr>
          <a:spLocks noChangeAspect="1"/>
        </xdr:cNvSpPr>
      </xdr:nvSpPr>
      <xdr:spPr>
        <a:xfrm>
          <a:off x="230256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69</xdr:row>
      <xdr:rowOff>114450</xdr:rowOff>
    </xdr:from>
    <xdr:to>
      <xdr:col>34</xdr:col>
      <xdr:colOff>248401</xdr:colOff>
      <xdr:row>75</xdr:row>
      <xdr:rowOff>21752</xdr:rowOff>
    </xdr:to>
    <xdr:sp macro="" textlink="">
      <xdr:nvSpPr>
        <xdr:cNvPr id="246852" name="フリーフォーム: 図形 246851">
          <a:extLst>
            <a:ext uri="{FF2B5EF4-FFF2-40B4-BE49-F238E27FC236}">
              <a16:creationId xmlns:a16="http://schemas.microsoft.com/office/drawing/2014/main" id="{0CCF8274-C435-4A8D-B745-6363AD01B8DE}"/>
            </a:ext>
          </a:extLst>
        </xdr:cNvPr>
        <xdr:cNvSpPr>
          <a:spLocks noChangeAspect="1"/>
        </xdr:cNvSpPr>
      </xdr:nvSpPr>
      <xdr:spPr>
        <a:xfrm>
          <a:off x="232775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75</xdr:row>
      <xdr:rowOff>75750</xdr:rowOff>
    </xdr:from>
    <xdr:to>
      <xdr:col>34</xdr:col>
      <xdr:colOff>68401</xdr:colOff>
      <xdr:row>80</xdr:row>
      <xdr:rowOff>136501</xdr:rowOff>
    </xdr:to>
    <xdr:sp macro="" textlink="">
      <xdr:nvSpPr>
        <xdr:cNvPr id="246853" name="フリーフォーム: 図形 246852">
          <a:extLst>
            <a:ext uri="{FF2B5EF4-FFF2-40B4-BE49-F238E27FC236}">
              <a16:creationId xmlns:a16="http://schemas.microsoft.com/office/drawing/2014/main" id="{CB9AE831-FD43-4AF7-BF05-7A3B8FF411B3}"/>
            </a:ext>
          </a:extLst>
        </xdr:cNvPr>
        <xdr:cNvSpPr>
          <a:spLocks noChangeAspect="1"/>
        </xdr:cNvSpPr>
      </xdr:nvSpPr>
      <xdr:spPr>
        <a:xfrm>
          <a:off x="230975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80</xdr:row>
      <xdr:rowOff>64500</xdr:rowOff>
    </xdr:from>
    <xdr:to>
      <xdr:col>32</xdr:col>
      <xdr:colOff>684001</xdr:colOff>
      <xdr:row>81</xdr:row>
      <xdr:rowOff>37051</xdr:rowOff>
    </xdr:to>
    <xdr:sp macro="" textlink="">
      <xdr:nvSpPr>
        <xdr:cNvPr id="246854" name="フリーフォーム: 図形 246853">
          <a:extLst>
            <a:ext uri="{FF2B5EF4-FFF2-40B4-BE49-F238E27FC236}">
              <a16:creationId xmlns:a16="http://schemas.microsoft.com/office/drawing/2014/main" id="{32CD7E59-E528-4669-B79A-ACF946F7BAC5}"/>
            </a:ext>
          </a:extLst>
        </xdr:cNvPr>
        <xdr:cNvSpPr>
          <a:spLocks noChangeAspect="1"/>
        </xdr:cNvSpPr>
      </xdr:nvSpPr>
      <xdr:spPr>
        <a:xfrm>
          <a:off x="221436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80</xdr:row>
      <xdr:rowOff>64500</xdr:rowOff>
    </xdr:from>
    <xdr:to>
      <xdr:col>33</xdr:col>
      <xdr:colOff>502201</xdr:colOff>
      <xdr:row>81</xdr:row>
      <xdr:rowOff>37051</xdr:rowOff>
    </xdr:to>
    <xdr:sp macro="" textlink="">
      <xdr:nvSpPr>
        <xdr:cNvPr id="246855" name="フリーフォーム: 図形 246854">
          <a:extLst>
            <a:ext uri="{FF2B5EF4-FFF2-40B4-BE49-F238E27FC236}">
              <a16:creationId xmlns:a16="http://schemas.microsoft.com/office/drawing/2014/main" id="{7B20B434-EBBC-44C7-A9DF-FC9E3335987C}"/>
            </a:ext>
          </a:extLst>
        </xdr:cNvPr>
        <xdr:cNvSpPr>
          <a:spLocks noChangeAspect="1"/>
        </xdr:cNvSpPr>
      </xdr:nvSpPr>
      <xdr:spPr>
        <a:xfrm>
          <a:off x="226655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75</xdr:row>
      <xdr:rowOff>75750</xdr:rowOff>
    </xdr:from>
    <xdr:to>
      <xdr:col>32</xdr:col>
      <xdr:colOff>432001</xdr:colOff>
      <xdr:row>80</xdr:row>
      <xdr:rowOff>136501</xdr:rowOff>
    </xdr:to>
    <xdr:sp macro="" textlink="">
      <xdr:nvSpPr>
        <xdr:cNvPr id="246856" name="フリーフォーム: 図形 246855">
          <a:extLst>
            <a:ext uri="{FF2B5EF4-FFF2-40B4-BE49-F238E27FC236}">
              <a16:creationId xmlns:a16="http://schemas.microsoft.com/office/drawing/2014/main" id="{7441BA39-1806-4F43-8624-D07E080C5845}"/>
            </a:ext>
          </a:extLst>
        </xdr:cNvPr>
        <xdr:cNvSpPr>
          <a:spLocks noChangeAspect="1"/>
        </xdr:cNvSpPr>
      </xdr:nvSpPr>
      <xdr:spPr>
        <a:xfrm>
          <a:off x="22089601" y="132012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69</xdr:row>
      <xdr:rowOff>114450</xdr:rowOff>
    </xdr:from>
    <xdr:to>
      <xdr:col>32</xdr:col>
      <xdr:colOff>576002</xdr:colOff>
      <xdr:row>75</xdr:row>
      <xdr:rowOff>21752</xdr:rowOff>
    </xdr:to>
    <xdr:sp macro="" textlink="">
      <xdr:nvSpPr>
        <xdr:cNvPr id="246857" name="フリーフォーム: 図形 246856">
          <a:extLst>
            <a:ext uri="{FF2B5EF4-FFF2-40B4-BE49-F238E27FC236}">
              <a16:creationId xmlns:a16="http://schemas.microsoft.com/office/drawing/2014/main" id="{19D03953-DBE2-46A1-9134-FD8306985639}"/>
            </a:ext>
          </a:extLst>
        </xdr:cNvPr>
        <xdr:cNvSpPr>
          <a:spLocks noChangeAspect="1"/>
        </xdr:cNvSpPr>
      </xdr:nvSpPr>
      <xdr:spPr>
        <a:xfrm>
          <a:off x="222696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74</xdr:row>
      <xdr:rowOff>139199</xdr:rowOff>
    </xdr:from>
    <xdr:to>
      <xdr:col>33</xdr:col>
      <xdr:colOff>160201</xdr:colOff>
      <xdr:row>75</xdr:row>
      <xdr:rowOff>111751</xdr:rowOff>
    </xdr:to>
    <xdr:sp macro="" textlink="">
      <xdr:nvSpPr>
        <xdr:cNvPr id="246858" name="フリーフォーム: 図形 246857">
          <a:extLst>
            <a:ext uri="{FF2B5EF4-FFF2-40B4-BE49-F238E27FC236}">
              <a16:creationId xmlns:a16="http://schemas.microsoft.com/office/drawing/2014/main" id="{C93C6DF9-0E33-4863-808A-66BDCE70D7DB}"/>
            </a:ext>
          </a:extLst>
        </xdr:cNvPr>
        <xdr:cNvSpPr>
          <a:spLocks noChangeAspect="1"/>
        </xdr:cNvSpPr>
      </xdr:nvSpPr>
      <xdr:spPr>
        <a:xfrm>
          <a:off x="223416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74</xdr:row>
      <xdr:rowOff>139199</xdr:rowOff>
    </xdr:from>
    <xdr:to>
      <xdr:col>33</xdr:col>
      <xdr:colOff>664201</xdr:colOff>
      <xdr:row>75</xdr:row>
      <xdr:rowOff>111751</xdr:rowOff>
    </xdr:to>
    <xdr:sp macro="" textlink="">
      <xdr:nvSpPr>
        <xdr:cNvPr id="246859" name="フリーフォーム: 図形 246858">
          <a:extLst>
            <a:ext uri="{FF2B5EF4-FFF2-40B4-BE49-F238E27FC236}">
              <a16:creationId xmlns:a16="http://schemas.microsoft.com/office/drawing/2014/main" id="{BBB31E11-D232-424F-BD64-E992DEA2C512}"/>
            </a:ext>
          </a:extLst>
        </xdr:cNvPr>
        <xdr:cNvSpPr>
          <a:spLocks noChangeAspect="1"/>
        </xdr:cNvSpPr>
      </xdr:nvSpPr>
      <xdr:spPr>
        <a:xfrm>
          <a:off x="228455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70</xdr:row>
      <xdr:rowOff>51000</xdr:rowOff>
    </xdr:from>
    <xdr:to>
      <xdr:col>33</xdr:col>
      <xdr:colOff>178201</xdr:colOff>
      <xdr:row>75</xdr:row>
      <xdr:rowOff>3751</xdr:rowOff>
    </xdr:to>
    <xdr:sp macro="" textlink="">
      <xdr:nvSpPr>
        <xdr:cNvPr id="246860" name="フリーフォーム: 図形 246859">
          <a:extLst>
            <a:ext uri="{FF2B5EF4-FFF2-40B4-BE49-F238E27FC236}">
              <a16:creationId xmlns:a16="http://schemas.microsoft.com/office/drawing/2014/main" id="{76465FB3-BA58-4C64-88EC-0E0E8ADFD180}"/>
            </a:ext>
          </a:extLst>
        </xdr:cNvPr>
        <xdr:cNvSpPr>
          <a:spLocks noChangeAspect="1"/>
        </xdr:cNvSpPr>
      </xdr:nvSpPr>
      <xdr:spPr>
        <a:xfrm>
          <a:off x="225395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69</xdr:row>
      <xdr:rowOff>114450</xdr:rowOff>
    </xdr:from>
    <xdr:to>
      <xdr:col>33</xdr:col>
      <xdr:colOff>430201</xdr:colOff>
      <xdr:row>74</xdr:row>
      <xdr:rowOff>157201</xdr:rowOff>
    </xdr:to>
    <xdr:sp macro="" textlink="">
      <xdr:nvSpPr>
        <xdr:cNvPr id="246861" name="フリーフォーム: 図形 246860">
          <a:extLst>
            <a:ext uri="{FF2B5EF4-FFF2-40B4-BE49-F238E27FC236}">
              <a16:creationId xmlns:a16="http://schemas.microsoft.com/office/drawing/2014/main" id="{4BE0A2E9-B73D-46FE-A9ED-FC68E92D9D4A}"/>
            </a:ext>
          </a:extLst>
        </xdr:cNvPr>
        <xdr:cNvSpPr>
          <a:spLocks noChangeAspect="1"/>
        </xdr:cNvSpPr>
      </xdr:nvSpPr>
      <xdr:spPr>
        <a:xfrm>
          <a:off x="228096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70</xdr:row>
      <xdr:rowOff>69000</xdr:rowOff>
    </xdr:from>
    <xdr:to>
      <xdr:col>34</xdr:col>
      <xdr:colOff>68401</xdr:colOff>
      <xdr:row>75</xdr:row>
      <xdr:rowOff>3751</xdr:rowOff>
    </xdr:to>
    <xdr:sp macro="" textlink="">
      <xdr:nvSpPr>
        <xdr:cNvPr id="246862" name="フリーフォーム: 図形 246861">
          <a:extLst>
            <a:ext uri="{FF2B5EF4-FFF2-40B4-BE49-F238E27FC236}">
              <a16:creationId xmlns:a16="http://schemas.microsoft.com/office/drawing/2014/main" id="{D542D359-ECA3-48E5-8331-BCF91A9E479B}"/>
            </a:ext>
          </a:extLst>
        </xdr:cNvPr>
        <xdr:cNvSpPr>
          <a:spLocks noChangeAspect="1"/>
        </xdr:cNvSpPr>
      </xdr:nvSpPr>
      <xdr:spPr>
        <a:xfrm>
          <a:off x="228636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75</xdr:row>
      <xdr:rowOff>75750</xdr:rowOff>
    </xdr:from>
    <xdr:to>
      <xdr:col>33</xdr:col>
      <xdr:colOff>466200</xdr:colOff>
      <xdr:row>79</xdr:row>
      <xdr:rowOff>163951</xdr:rowOff>
    </xdr:to>
    <xdr:sp macro="" textlink="">
      <xdr:nvSpPr>
        <xdr:cNvPr id="246863" name="フリーフォーム: 図形 246862">
          <a:extLst>
            <a:ext uri="{FF2B5EF4-FFF2-40B4-BE49-F238E27FC236}">
              <a16:creationId xmlns:a16="http://schemas.microsoft.com/office/drawing/2014/main" id="{79B392E2-FB9A-4557-892C-C5D2E837AD68}"/>
            </a:ext>
          </a:extLst>
        </xdr:cNvPr>
        <xdr:cNvSpPr>
          <a:spLocks noChangeAspect="1"/>
        </xdr:cNvSpPr>
      </xdr:nvSpPr>
      <xdr:spPr>
        <a:xfrm>
          <a:off x="228276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75</xdr:row>
      <xdr:rowOff>93749</xdr:rowOff>
    </xdr:from>
    <xdr:to>
      <xdr:col>33</xdr:col>
      <xdr:colOff>196201</xdr:colOff>
      <xdr:row>80</xdr:row>
      <xdr:rowOff>118501</xdr:rowOff>
    </xdr:to>
    <xdr:sp macro="" textlink="">
      <xdr:nvSpPr>
        <xdr:cNvPr id="246864" name="フリーフォーム: 図形 246863">
          <a:extLst>
            <a:ext uri="{FF2B5EF4-FFF2-40B4-BE49-F238E27FC236}">
              <a16:creationId xmlns:a16="http://schemas.microsoft.com/office/drawing/2014/main" id="{5F098C80-A108-475F-B240-9D25AD898F37}"/>
            </a:ext>
          </a:extLst>
        </xdr:cNvPr>
        <xdr:cNvSpPr>
          <a:spLocks noChangeAspect="1"/>
        </xdr:cNvSpPr>
      </xdr:nvSpPr>
      <xdr:spPr>
        <a:xfrm>
          <a:off x="225936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75</xdr:row>
      <xdr:rowOff>75750</xdr:rowOff>
    </xdr:from>
    <xdr:to>
      <xdr:col>33</xdr:col>
      <xdr:colOff>160201</xdr:colOff>
      <xdr:row>80</xdr:row>
      <xdr:rowOff>10501</xdr:rowOff>
    </xdr:to>
    <xdr:sp macro="" textlink="">
      <xdr:nvSpPr>
        <xdr:cNvPr id="246865" name="フリーフォーム: 図形 246864">
          <a:extLst>
            <a:ext uri="{FF2B5EF4-FFF2-40B4-BE49-F238E27FC236}">
              <a16:creationId xmlns:a16="http://schemas.microsoft.com/office/drawing/2014/main" id="{3F5A19B1-4538-48AF-9FB3-32C157270411}"/>
            </a:ext>
          </a:extLst>
        </xdr:cNvPr>
        <xdr:cNvSpPr>
          <a:spLocks noChangeAspect="1"/>
        </xdr:cNvSpPr>
      </xdr:nvSpPr>
      <xdr:spPr>
        <a:xfrm>
          <a:off x="222696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69</xdr:row>
      <xdr:rowOff>42450</xdr:rowOff>
    </xdr:from>
    <xdr:to>
      <xdr:col>36</xdr:col>
      <xdr:colOff>93601</xdr:colOff>
      <xdr:row>70</xdr:row>
      <xdr:rowOff>15001</xdr:rowOff>
    </xdr:to>
    <xdr:sp macro="" textlink="">
      <xdr:nvSpPr>
        <xdr:cNvPr id="246866" name="フリーフォーム: 図形 246865">
          <a:extLst>
            <a:ext uri="{FF2B5EF4-FFF2-40B4-BE49-F238E27FC236}">
              <a16:creationId xmlns:a16="http://schemas.microsoft.com/office/drawing/2014/main" id="{1D24209A-EF88-446E-991C-DCE2A750FF9A}"/>
            </a:ext>
          </a:extLst>
        </xdr:cNvPr>
        <xdr:cNvSpPr>
          <a:spLocks noChangeAspect="1"/>
        </xdr:cNvSpPr>
      </xdr:nvSpPr>
      <xdr:spPr>
        <a:xfrm>
          <a:off x="24314400" y="12139200"/>
          <a:ext cx="468001" cy="144001"/>
        </a:xfrm>
        <a:custGeom>
          <a:avLst/>
          <a:gdLst/>
          <a:ahLst/>
          <a:cxnLst/>
          <a:rect l="0" t="0" r="0" b="0"/>
          <a:pathLst>
            <a:path w="468001" h="144001">
              <a:moveTo>
                <a:pt x="72000" y="0"/>
              </a:moveTo>
              <a:lnTo>
                <a:pt x="432000" y="0"/>
              </a:lnTo>
              <a:lnTo>
                <a:pt x="468000" y="36000"/>
              </a:lnTo>
              <a:lnTo>
                <a:pt x="359999" y="144000"/>
              </a:lnTo>
              <a:lnTo>
                <a:pt x="72000"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69</xdr:row>
      <xdr:rowOff>42450</xdr:rowOff>
    </xdr:from>
    <xdr:to>
      <xdr:col>36</xdr:col>
      <xdr:colOff>633601</xdr:colOff>
      <xdr:row>70</xdr:row>
      <xdr:rowOff>15001</xdr:rowOff>
    </xdr:to>
    <xdr:sp macro="" textlink="">
      <xdr:nvSpPr>
        <xdr:cNvPr id="246867" name="フリーフォーム: 図形 246866">
          <a:extLst>
            <a:ext uri="{FF2B5EF4-FFF2-40B4-BE49-F238E27FC236}">
              <a16:creationId xmlns:a16="http://schemas.microsoft.com/office/drawing/2014/main" id="{D44DB2D5-07D3-4EDF-901B-D235865002B0}"/>
            </a:ext>
          </a:extLst>
        </xdr:cNvPr>
        <xdr:cNvSpPr>
          <a:spLocks noChangeAspect="1"/>
        </xdr:cNvSpPr>
      </xdr:nvSpPr>
      <xdr:spPr>
        <a:xfrm>
          <a:off x="24854401" y="12139200"/>
          <a:ext cx="468000" cy="144001"/>
        </a:xfrm>
        <a:custGeom>
          <a:avLst/>
          <a:gdLst/>
          <a:ahLst/>
          <a:cxnLst/>
          <a:rect l="0" t="0" r="0" b="0"/>
          <a:pathLst>
            <a:path w="468000" h="144001">
              <a:moveTo>
                <a:pt x="71998" y="0"/>
              </a:moveTo>
              <a:lnTo>
                <a:pt x="432000" y="0"/>
              </a:lnTo>
              <a:lnTo>
                <a:pt x="467999" y="36000"/>
              </a:lnTo>
              <a:lnTo>
                <a:pt x="359999" y="144000"/>
              </a:lnTo>
              <a:lnTo>
                <a:pt x="89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69</xdr:row>
      <xdr:rowOff>114450</xdr:rowOff>
    </xdr:from>
    <xdr:to>
      <xdr:col>37</xdr:col>
      <xdr:colOff>19801</xdr:colOff>
      <xdr:row>75</xdr:row>
      <xdr:rowOff>21752</xdr:rowOff>
    </xdr:to>
    <xdr:sp macro="" textlink="">
      <xdr:nvSpPr>
        <xdr:cNvPr id="246868" name="フリーフォーム: 図形 246867">
          <a:extLst>
            <a:ext uri="{FF2B5EF4-FFF2-40B4-BE49-F238E27FC236}">
              <a16:creationId xmlns:a16="http://schemas.microsoft.com/office/drawing/2014/main" id="{5155AE72-9C46-494D-BDBA-78014F2867E6}"/>
            </a:ext>
          </a:extLst>
        </xdr:cNvPr>
        <xdr:cNvSpPr>
          <a:spLocks noChangeAspect="1"/>
        </xdr:cNvSpPr>
      </xdr:nvSpPr>
      <xdr:spPr>
        <a:xfrm>
          <a:off x="25106399" y="12211200"/>
          <a:ext cx="288002" cy="936002"/>
        </a:xfrm>
        <a:custGeom>
          <a:avLst/>
          <a:gdLst/>
          <a:ahLst/>
          <a:cxnLst/>
          <a:rect l="0" t="0" r="0" b="0"/>
          <a:pathLst>
            <a:path w="288002" h="936002">
              <a:moveTo>
                <a:pt x="144001" y="108000"/>
              </a:moveTo>
              <a:lnTo>
                <a:pt x="252000" y="0"/>
              </a:lnTo>
              <a:lnTo>
                <a:pt x="288001" y="72000"/>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75</xdr:row>
      <xdr:rowOff>75750</xdr:rowOff>
    </xdr:from>
    <xdr:to>
      <xdr:col>36</xdr:col>
      <xdr:colOff>525601</xdr:colOff>
      <xdr:row>80</xdr:row>
      <xdr:rowOff>136501</xdr:rowOff>
    </xdr:to>
    <xdr:sp macro="" textlink="">
      <xdr:nvSpPr>
        <xdr:cNvPr id="246869" name="フリーフォーム: 図形 246868">
          <a:extLst>
            <a:ext uri="{FF2B5EF4-FFF2-40B4-BE49-F238E27FC236}">
              <a16:creationId xmlns:a16="http://schemas.microsoft.com/office/drawing/2014/main" id="{B1232ECF-9AD6-4A90-AB43-259CF51B7AB2}"/>
            </a:ext>
          </a:extLst>
        </xdr:cNvPr>
        <xdr:cNvSpPr>
          <a:spLocks noChangeAspect="1"/>
        </xdr:cNvSpPr>
      </xdr:nvSpPr>
      <xdr:spPr>
        <a:xfrm>
          <a:off x="24926399" y="132012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80</xdr:row>
      <xdr:rowOff>64500</xdr:rowOff>
    </xdr:from>
    <xdr:to>
      <xdr:col>35</xdr:col>
      <xdr:colOff>455401</xdr:colOff>
      <xdr:row>81</xdr:row>
      <xdr:rowOff>37051</xdr:rowOff>
    </xdr:to>
    <xdr:sp macro="" textlink="">
      <xdr:nvSpPr>
        <xdr:cNvPr id="246870" name="フリーフォーム: 図形 246869">
          <a:extLst>
            <a:ext uri="{FF2B5EF4-FFF2-40B4-BE49-F238E27FC236}">
              <a16:creationId xmlns:a16="http://schemas.microsoft.com/office/drawing/2014/main" id="{E332510F-4F3C-46BB-BBF1-8192228C47FE}"/>
            </a:ext>
          </a:extLst>
        </xdr:cNvPr>
        <xdr:cNvSpPr>
          <a:spLocks noChangeAspect="1"/>
        </xdr:cNvSpPr>
      </xdr:nvSpPr>
      <xdr:spPr>
        <a:xfrm>
          <a:off x="23972400" y="140472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80</xdr:row>
      <xdr:rowOff>64500</xdr:rowOff>
    </xdr:from>
    <xdr:to>
      <xdr:col>36</xdr:col>
      <xdr:colOff>273601</xdr:colOff>
      <xdr:row>81</xdr:row>
      <xdr:rowOff>37051</xdr:rowOff>
    </xdr:to>
    <xdr:sp macro="" textlink="">
      <xdr:nvSpPr>
        <xdr:cNvPr id="246871" name="フリーフォーム: 図形 246870">
          <a:extLst>
            <a:ext uri="{FF2B5EF4-FFF2-40B4-BE49-F238E27FC236}">
              <a16:creationId xmlns:a16="http://schemas.microsoft.com/office/drawing/2014/main" id="{2F8B2B08-727A-4EB9-ADBB-88DA1FC954C6}"/>
            </a:ext>
          </a:extLst>
        </xdr:cNvPr>
        <xdr:cNvSpPr>
          <a:spLocks noChangeAspect="1"/>
        </xdr:cNvSpPr>
      </xdr:nvSpPr>
      <xdr:spPr>
        <a:xfrm>
          <a:off x="24494399" y="140472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75</xdr:row>
      <xdr:rowOff>75750</xdr:rowOff>
    </xdr:from>
    <xdr:to>
      <xdr:col>35</xdr:col>
      <xdr:colOff>203401</xdr:colOff>
      <xdr:row>80</xdr:row>
      <xdr:rowOff>136501</xdr:rowOff>
    </xdr:to>
    <xdr:sp macro="" textlink="">
      <xdr:nvSpPr>
        <xdr:cNvPr id="246872" name="フリーフォーム: 図形 246871">
          <a:extLst>
            <a:ext uri="{FF2B5EF4-FFF2-40B4-BE49-F238E27FC236}">
              <a16:creationId xmlns:a16="http://schemas.microsoft.com/office/drawing/2014/main" id="{25C502A4-4C3C-4341-ADF8-7649DAD06BD1}"/>
            </a:ext>
          </a:extLst>
        </xdr:cNvPr>
        <xdr:cNvSpPr>
          <a:spLocks noChangeAspect="1"/>
        </xdr:cNvSpPr>
      </xdr:nvSpPr>
      <xdr:spPr>
        <a:xfrm>
          <a:off x="23918401" y="132012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69</xdr:row>
      <xdr:rowOff>114450</xdr:rowOff>
    </xdr:from>
    <xdr:to>
      <xdr:col>35</xdr:col>
      <xdr:colOff>347402</xdr:colOff>
      <xdr:row>75</xdr:row>
      <xdr:rowOff>21752</xdr:rowOff>
    </xdr:to>
    <xdr:sp macro="" textlink="">
      <xdr:nvSpPr>
        <xdr:cNvPr id="246873" name="フリーフォーム: 図形 246872">
          <a:extLst>
            <a:ext uri="{FF2B5EF4-FFF2-40B4-BE49-F238E27FC236}">
              <a16:creationId xmlns:a16="http://schemas.microsoft.com/office/drawing/2014/main" id="{E424A992-03AD-441F-B283-9B9FC0CA7191}"/>
            </a:ext>
          </a:extLst>
        </xdr:cNvPr>
        <xdr:cNvSpPr>
          <a:spLocks noChangeAspect="1"/>
        </xdr:cNvSpPr>
      </xdr:nvSpPr>
      <xdr:spPr>
        <a:xfrm>
          <a:off x="24098400" y="12211200"/>
          <a:ext cx="252002" cy="936002"/>
        </a:xfrm>
        <a:custGeom>
          <a:avLst/>
          <a:gdLst/>
          <a:ahLst/>
          <a:cxnLst/>
          <a:rect l="0" t="0" r="0" b="0"/>
          <a:pathLst>
            <a:path w="252002" h="936002">
              <a:moveTo>
                <a:pt x="126000" y="72000"/>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74</xdr:row>
      <xdr:rowOff>139199</xdr:rowOff>
    </xdr:from>
    <xdr:to>
      <xdr:col>35</xdr:col>
      <xdr:colOff>617401</xdr:colOff>
      <xdr:row>75</xdr:row>
      <xdr:rowOff>111751</xdr:rowOff>
    </xdr:to>
    <xdr:sp macro="" textlink="">
      <xdr:nvSpPr>
        <xdr:cNvPr id="246874" name="フリーフォーム: 図形 246873">
          <a:extLst>
            <a:ext uri="{FF2B5EF4-FFF2-40B4-BE49-F238E27FC236}">
              <a16:creationId xmlns:a16="http://schemas.microsoft.com/office/drawing/2014/main" id="{9F0D4CFC-03ED-4E19-B822-45B3F38AE0EF}"/>
            </a:ext>
          </a:extLst>
        </xdr:cNvPr>
        <xdr:cNvSpPr>
          <a:spLocks noChangeAspect="1"/>
        </xdr:cNvSpPr>
      </xdr:nvSpPr>
      <xdr:spPr>
        <a:xfrm>
          <a:off x="24170401" y="130931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74</xdr:row>
      <xdr:rowOff>139199</xdr:rowOff>
    </xdr:from>
    <xdr:to>
      <xdr:col>36</xdr:col>
      <xdr:colOff>435601</xdr:colOff>
      <xdr:row>75</xdr:row>
      <xdr:rowOff>111751</xdr:rowOff>
    </xdr:to>
    <xdr:sp macro="" textlink="">
      <xdr:nvSpPr>
        <xdr:cNvPr id="246875" name="フリーフォーム: 図形 246874">
          <a:extLst>
            <a:ext uri="{FF2B5EF4-FFF2-40B4-BE49-F238E27FC236}">
              <a16:creationId xmlns:a16="http://schemas.microsoft.com/office/drawing/2014/main" id="{E0748DEA-8E4E-463E-A658-2E43C5325F55}"/>
            </a:ext>
          </a:extLst>
        </xdr:cNvPr>
        <xdr:cNvSpPr>
          <a:spLocks noChangeAspect="1"/>
        </xdr:cNvSpPr>
      </xdr:nvSpPr>
      <xdr:spPr>
        <a:xfrm>
          <a:off x="24674399" y="130931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70</xdr:row>
      <xdr:rowOff>51000</xdr:rowOff>
    </xdr:from>
    <xdr:to>
      <xdr:col>35</xdr:col>
      <xdr:colOff>635401</xdr:colOff>
      <xdr:row>75</xdr:row>
      <xdr:rowOff>3751</xdr:rowOff>
    </xdr:to>
    <xdr:sp macro="" textlink="">
      <xdr:nvSpPr>
        <xdr:cNvPr id="246876" name="フリーフォーム: 図形 246875">
          <a:extLst>
            <a:ext uri="{FF2B5EF4-FFF2-40B4-BE49-F238E27FC236}">
              <a16:creationId xmlns:a16="http://schemas.microsoft.com/office/drawing/2014/main" id="{519E62CD-C2F9-4346-8723-AA3A203D7546}"/>
            </a:ext>
          </a:extLst>
        </xdr:cNvPr>
        <xdr:cNvSpPr>
          <a:spLocks noChangeAspect="1"/>
        </xdr:cNvSpPr>
      </xdr:nvSpPr>
      <xdr:spPr>
        <a:xfrm>
          <a:off x="24368399" y="12319200"/>
          <a:ext cx="270002" cy="810001"/>
        </a:xfrm>
        <a:custGeom>
          <a:avLst/>
          <a:gdLst/>
          <a:ahLst/>
          <a:cxnLst/>
          <a:rect l="0" t="0" r="0" b="0"/>
          <a:pathLst>
            <a:path w="270002" h="810001">
              <a:moveTo>
                <a:pt x="0" y="180000"/>
              </a:moveTo>
              <a:lnTo>
                <a:pt x="18001" y="0"/>
              </a:lnTo>
              <a:lnTo>
                <a:pt x="108002" y="108000"/>
              </a:lnTo>
              <a:lnTo>
                <a:pt x="216001" y="468000"/>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69</xdr:row>
      <xdr:rowOff>114450</xdr:rowOff>
    </xdr:from>
    <xdr:to>
      <xdr:col>36</xdr:col>
      <xdr:colOff>201601</xdr:colOff>
      <xdr:row>74</xdr:row>
      <xdr:rowOff>157201</xdr:rowOff>
    </xdr:to>
    <xdr:sp macro="" textlink="">
      <xdr:nvSpPr>
        <xdr:cNvPr id="246877" name="フリーフォーム: 図形 246876">
          <a:extLst>
            <a:ext uri="{FF2B5EF4-FFF2-40B4-BE49-F238E27FC236}">
              <a16:creationId xmlns:a16="http://schemas.microsoft.com/office/drawing/2014/main" id="{5AD1E215-ACBB-41B3-89B1-1A689BF69231}"/>
            </a:ext>
          </a:extLst>
        </xdr:cNvPr>
        <xdr:cNvSpPr>
          <a:spLocks noChangeAspect="1"/>
        </xdr:cNvSpPr>
      </xdr:nvSpPr>
      <xdr:spPr>
        <a:xfrm>
          <a:off x="24638400" y="12211200"/>
          <a:ext cx="252001" cy="900001"/>
        </a:xfrm>
        <a:custGeom>
          <a:avLst/>
          <a:gdLst/>
          <a:ahLst/>
          <a:cxnLst/>
          <a:rect l="0" t="0" r="0" b="0"/>
          <a:pathLst>
            <a:path w="252001" h="900001">
              <a:moveTo>
                <a:pt x="108000" y="72000"/>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70</xdr:row>
      <xdr:rowOff>69000</xdr:rowOff>
    </xdr:from>
    <xdr:to>
      <xdr:col>36</xdr:col>
      <xdr:colOff>525601</xdr:colOff>
      <xdr:row>75</xdr:row>
      <xdr:rowOff>3751</xdr:rowOff>
    </xdr:to>
    <xdr:sp macro="" textlink="">
      <xdr:nvSpPr>
        <xdr:cNvPr id="246878" name="フリーフォーム: 図形 246877">
          <a:extLst>
            <a:ext uri="{FF2B5EF4-FFF2-40B4-BE49-F238E27FC236}">
              <a16:creationId xmlns:a16="http://schemas.microsoft.com/office/drawing/2014/main" id="{58BD5A2C-36AC-45F7-BCB4-01BE6FDA042E}"/>
            </a:ext>
          </a:extLst>
        </xdr:cNvPr>
        <xdr:cNvSpPr>
          <a:spLocks noChangeAspect="1"/>
        </xdr:cNvSpPr>
      </xdr:nvSpPr>
      <xdr:spPr>
        <a:xfrm>
          <a:off x="24692400" y="12337200"/>
          <a:ext cx="522001" cy="792001"/>
        </a:xfrm>
        <a:custGeom>
          <a:avLst/>
          <a:gdLst/>
          <a:ahLst/>
          <a:cxnLst/>
          <a:rect l="0" t="0" r="0" b="0"/>
          <a:pathLst>
            <a:path w="522001" h="792001">
              <a:moveTo>
                <a:pt x="378000" y="126000"/>
              </a:moveTo>
              <a:lnTo>
                <a:pt x="522000" y="0"/>
              </a:lnTo>
              <a:lnTo>
                <a:pt x="486000"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75</xdr:row>
      <xdr:rowOff>75750</xdr:rowOff>
    </xdr:from>
    <xdr:to>
      <xdr:col>36</xdr:col>
      <xdr:colOff>237600</xdr:colOff>
      <xdr:row>79</xdr:row>
      <xdr:rowOff>163951</xdr:rowOff>
    </xdr:to>
    <xdr:sp macro="" textlink="">
      <xdr:nvSpPr>
        <xdr:cNvPr id="246879" name="フリーフォーム: 図形 246878">
          <a:extLst>
            <a:ext uri="{FF2B5EF4-FFF2-40B4-BE49-F238E27FC236}">
              <a16:creationId xmlns:a16="http://schemas.microsoft.com/office/drawing/2014/main" id="{43442720-2086-4FCE-9479-31369FC9DFAD}"/>
            </a:ext>
          </a:extLst>
        </xdr:cNvPr>
        <xdr:cNvSpPr>
          <a:spLocks noChangeAspect="1"/>
        </xdr:cNvSpPr>
      </xdr:nvSpPr>
      <xdr:spPr>
        <a:xfrm>
          <a:off x="24656400" y="132012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75</xdr:row>
      <xdr:rowOff>93749</xdr:rowOff>
    </xdr:from>
    <xdr:to>
      <xdr:col>35</xdr:col>
      <xdr:colOff>653401</xdr:colOff>
      <xdr:row>80</xdr:row>
      <xdr:rowOff>118501</xdr:rowOff>
    </xdr:to>
    <xdr:sp macro="" textlink="">
      <xdr:nvSpPr>
        <xdr:cNvPr id="246880" name="フリーフォーム: 図形 246879">
          <a:extLst>
            <a:ext uri="{FF2B5EF4-FFF2-40B4-BE49-F238E27FC236}">
              <a16:creationId xmlns:a16="http://schemas.microsoft.com/office/drawing/2014/main" id="{1CE01AAC-DF00-4933-9F84-A2ED5E09985D}"/>
            </a:ext>
          </a:extLst>
        </xdr:cNvPr>
        <xdr:cNvSpPr>
          <a:spLocks noChangeAspect="1"/>
        </xdr:cNvSpPr>
      </xdr:nvSpPr>
      <xdr:spPr>
        <a:xfrm>
          <a:off x="24422401" y="132191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75</xdr:row>
      <xdr:rowOff>75750</xdr:rowOff>
    </xdr:from>
    <xdr:to>
      <xdr:col>35</xdr:col>
      <xdr:colOff>617401</xdr:colOff>
      <xdr:row>80</xdr:row>
      <xdr:rowOff>10501</xdr:rowOff>
    </xdr:to>
    <xdr:sp macro="" textlink="">
      <xdr:nvSpPr>
        <xdr:cNvPr id="246881" name="フリーフォーム: 図形 246880">
          <a:extLst>
            <a:ext uri="{FF2B5EF4-FFF2-40B4-BE49-F238E27FC236}">
              <a16:creationId xmlns:a16="http://schemas.microsoft.com/office/drawing/2014/main" id="{5179C0D5-06A2-4A7D-81E6-2478C07CD8E2}"/>
            </a:ext>
          </a:extLst>
        </xdr:cNvPr>
        <xdr:cNvSpPr>
          <a:spLocks noChangeAspect="1"/>
        </xdr:cNvSpPr>
      </xdr:nvSpPr>
      <xdr:spPr>
        <a:xfrm>
          <a:off x="24098400" y="132012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69</xdr:row>
      <xdr:rowOff>42450</xdr:rowOff>
    </xdr:from>
    <xdr:to>
      <xdr:col>38</xdr:col>
      <xdr:colOff>550801</xdr:colOff>
      <xdr:row>70</xdr:row>
      <xdr:rowOff>15001</xdr:rowOff>
    </xdr:to>
    <xdr:sp macro="" textlink="">
      <xdr:nvSpPr>
        <xdr:cNvPr id="246882" name="フリーフォーム: 図形 246881">
          <a:extLst>
            <a:ext uri="{FF2B5EF4-FFF2-40B4-BE49-F238E27FC236}">
              <a16:creationId xmlns:a16="http://schemas.microsoft.com/office/drawing/2014/main" id="{59066DD7-8550-4E8E-B3D6-5FDC9C4B95DF}"/>
            </a:ext>
          </a:extLst>
        </xdr:cNvPr>
        <xdr:cNvSpPr>
          <a:spLocks noChangeAspect="1"/>
        </xdr:cNvSpPr>
      </xdr:nvSpPr>
      <xdr:spPr>
        <a:xfrm>
          <a:off x="261432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69</xdr:row>
      <xdr:rowOff>42450</xdr:rowOff>
    </xdr:from>
    <xdr:to>
      <xdr:col>39</xdr:col>
      <xdr:colOff>405000</xdr:colOff>
      <xdr:row>70</xdr:row>
      <xdr:rowOff>15001</xdr:rowOff>
    </xdr:to>
    <xdr:sp macro="" textlink="">
      <xdr:nvSpPr>
        <xdr:cNvPr id="246883" name="フリーフォーム: 図形 246882">
          <a:extLst>
            <a:ext uri="{FF2B5EF4-FFF2-40B4-BE49-F238E27FC236}">
              <a16:creationId xmlns:a16="http://schemas.microsoft.com/office/drawing/2014/main" id="{21213EE2-4F90-4201-B1F2-4D6657494D90}"/>
            </a:ext>
          </a:extLst>
        </xdr:cNvPr>
        <xdr:cNvSpPr>
          <a:spLocks noChangeAspect="1"/>
        </xdr:cNvSpPr>
      </xdr:nvSpPr>
      <xdr:spPr>
        <a:xfrm>
          <a:off x="266831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69</xdr:row>
      <xdr:rowOff>114450</xdr:rowOff>
    </xdr:from>
    <xdr:to>
      <xdr:col>39</xdr:col>
      <xdr:colOff>477001</xdr:colOff>
      <xdr:row>75</xdr:row>
      <xdr:rowOff>21752</xdr:rowOff>
    </xdr:to>
    <xdr:sp macro="" textlink="">
      <xdr:nvSpPr>
        <xdr:cNvPr id="246884" name="フリーフォーム: 図形 246883">
          <a:extLst>
            <a:ext uri="{FF2B5EF4-FFF2-40B4-BE49-F238E27FC236}">
              <a16:creationId xmlns:a16="http://schemas.microsoft.com/office/drawing/2014/main" id="{4D902020-56EC-4A1D-A70B-11B8F3B5EBBB}"/>
            </a:ext>
          </a:extLst>
        </xdr:cNvPr>
        <xdr:cNvSpPr>
          <a:spLocks noChangeAspect="1"/>
        </xdr:cNvSpPr>
      </xdr:nvSpPr>
      <xdr:spPr>
        <a:xfrm>
          <a:off x="269351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75</xdr:row>
      <xdr:rowOff>75750</xdr:rowOff>
    </xdr:from>
    <xdr:to>
      <xdr:col>39</xdr:col>
      <xdr:colOff>297000</xdr:colOff>
      <xdr:row>80</xdr:row>
      <xdr:rowOff>136501</xdr:rowOff>
    </xdr:to>
    <xdr:sp macro="" textlink="">
      <xdr:nvSpPr>
        <xdr:cNvPr id="246885" name="フリーフォーム: 図形 246884">
          <a:extLst>
            <a:ext uri="{FF2B5EF4-FFF2-40B4-BE49-F238E27FC236}">
              <a16:creationId xmlns:a16="http://schemas.microsoft.com/office/drawing/2014/main" id="{F08BBF9B-CC0C-4ACD-99AE-136E8702A227}"/>
            </a:ext>
          </a:extLst>
        </xdr:cNvPr>
        <xdr:cNvSpPr>
          <a:spLocks noChangeAspect="1"/>
        </xdr:cNvSpPr>
      </xdr:nvSpPr>
      <xdr:spPr>
        <a:xfrm>
          <a:off x="267552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80</xdr:row>
      <xdr:rowOff>64500</xdr:rowOff>
    </xdr:from>
    <xdr:to>
      <xdr:col>38</xdr:col>
      <xdr:colOff>226800</xdr:colOff>
      <xdr:row>81</xdr:row>
      <xdr:rowOff>37051</xdr:rowOff>
    </xdr:to>
    <xdr:sp macro="" textlink="">
      <xdr:nvSpPr>
        <xdr:cNvPr id="246886" name="フリーフォーム: 図形 246885">
          <a:extLst>
            <a:ext uri="{FF2B5EF4-FFF2-40B4-BE49-F238E27FC236}">
              <a16:creationId xmlns:a16="http://schemas.microsoft.com/office/drawing/2014/main" id="{68D323A4-A556-4071-99B2-B1990A5A192A}"/>
            </a:ext>
          </a:extLst>
        </xdr:cNvPr>
        <xdr:cNvSpPr>
          <a:spLocks noChangeAspect="1"/>
        </xdr:cNvSpPr>
      </xdr:nvSpPr>
      <xdr:spPr>
        <a:xfrm>
          <a:off x="25801200" y="140472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80</xdr:row>
      <xdr:rowOff>64500</xdr:rowOff>
    </xdr:from>
    <xdr:to>
      <xdr:col>39</xdr:col>
      <xdr:colOff>45000</xdr:colOff>
      <xdr:row>81</xdr:row>
      <xdr:rowOff>37051</xdr:rowOff>
    </xdr:to>
    <xdr:sp macro="" textlink="">
      <xdr:nvSpPr>
        <xdr:cNvPr id="246887" name="フリーフォーム: 図形 246886">
          <a:extLst>
            <a:ext uri="{FF2B5EF4-FFF2-40B4-BE49-F238E27FC236}">
              <a16:creationId xmlns:a16="http://schemas.microsoft.com/office/drawing/2014/main" id="{E6C6C024-7C2B-49B1-93F3-8050832539E6}"/>
            </a:ext>
          </a:extLst>
        </xdr:cNvPr>
        <xdr:cNvSpPr>
          <a:spLocks noChangeAspect="1"/>
        </xdr:cNvSpPr>
      </xdr:nvSpPr>
      <xdr:spPr>
        <a:xfrm>
          <a:off x="263231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75</xdr:row>
      <xdr:rowOff>75750</xdr:rowOff>
    </xdr:from>
    <xdr:to>
      <xdr:col>37</xdr:col>
      <xdr:colOff>660603</xdr:colOff>
      <xdr:row>80</xdr:row>
      <xdr:rowOff>136501</xdr:rowOff>
    </xdr:to>
    <xdr:sp macro="" textlink="">
      <xdr:nvSpPr>
        <xdr:cNvPr id="246888" name="フリーフォーム: 図形 246887">
          <a:extLst>
            <a:ext uri="{FF2B5EF4-FFF2-40B4-BE49-F238E27FC236}">
              <a16:creationId xmlns:a16="http://schemas.microsoft.com/office/drawing/2014/main" id="{3DC83C9A-1386-4E2B-92CE-0A8B8F67AD61}"/>
            </a:ext>
          </a:extLst>
        </xdr:cNvPr>
        <xdr:cNvSpPr>
          <a:spLocks noChangeAspect="1"/>
        </xdr:cNvSpPr>
      </xdr:nvSpPr>
      <xdr:spPr>
        <a:xfrm>
          <a:off x="25747201" y="13201200"/>
          <a:ext cx="288002" cy="918001"/>
        </a:xfrm>
        <a:custGeom>
          <a:avLst/>
          <a:gdLst/>
          <a:ahLst/>
          <a:cxnLst/>
          <a:rect l="0" t="0" r="0" b="0"/>
          <a:pathLst>
            <a:path w="288002" h="918001">
              <a:moveTo>
                <a:pt x="143998" y="54000"/>
              </a:moveTo>
              <a:lnTo>
                <a:pt x="215999" y="0"/>
              </a:lnTo>
              <a:lnTo>
                <a:pt x="288001"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69</xdr:row>
      <xdr:rowOff>114450</xdr:rowOff>
    </xdr:from>
    <xdr:to>
      <xdr:col>38</xdr:col>
      <xdr:colOff>118800</xdr:colOff>
      <xdr:row>75</xdr:row>
      <xdr:rowOff>21752</xdr:rowOff>
    </xdr:to>
    <xdr:sp macro="" textlink="">
      <xdr:nvSpPr>
        <xdr:cNvPr id="246889" name="フリーフォーム: 図形 246888">
          <a:extLst>
            <a:ext uri="{FF2B5EF4-FFF2-40B4-BE49-F238E27FC236}">
              <a16:creationId xmlns:a16="http://schemas.microsoft.com/office/drawing/2014/main" id="{2C1848E0-40EC-46E5-AAD9-E2815FB7A5F7}"/>
            </a:ext>
          </a:extLst>
        </xdr:cNvPr>
        <xdr:cNvSpPr>
          <a:spLocks noChangeAspect="1"/>
        </xdr:cNvSpPr>
      </xdr:nvSpPr>
      <xdr:spPr>
        <a:xfrm>
          <a:off x="25927200" y="12211200"/>
          <a:ext cx="252000" cy="936002"/>
        </a:xfrm>
        <a:custGeom>
          <a:avLst/>
          <a:gdLst/>
          <a:ahLst/>
          <a:cxnLst/>
          <a:rect l="0" t="0" r="0" b="0"/>
          <a:pathLst>
            <a:path w="252000" h="936002">
              <a:moveTo>
                <a:pt x="126000" y="72000"/>
              </a:moveTo>
              <a:lnTo>
                <a:pt x="180000" y="0"/>
              </a:lnTo>
              <a:lnTo>
                <a:pt x="251999"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74</xdr:row>
      <xdr:rowOff>139199</xdr:rowOff>
    </xdr:from>
    <xdr:to>
      <xdr:col>38</xdr:col>
      <xdr:colOff>388802</xdr:colOff>
      <xdr:row>75</xdr:row>
      <xdr:rowOff>111751</xdr:rowOff>
    </xdr:to>
    <xdr:sp macro="" textlink="">
      <xdr:nvSpPr>
        <xdr:cNvPr id="246890" name="フリーフォーム: 図形 246889">
          <a:extLst>
            <a:ext uri="{FF2B5EF4-FFF2-40B4-BE49-F238E27FC236}">
              <a16:creationId xmlns:a16="http://schemas.microsoft.com/office/drawing/2014/main" id="{81C09924-9220-45DA-AE01-A224ACF75F6C}"/>
            </a:ext>
          </a:extLst>
        </xdr:cNvPr>
        <xdr:cNvSpPr>
          <a:spLocks noChangeAspect="1"/>
        </xdr:cNvSpPr>
      </xdr:nvSpPr>
      <xdr:spPr>
        <a:xfrm>
          <a:off x="259992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74</xdr:row>
      <xdr:rowOff>139199</xdr:rowOff>
    </xdr:from>
    <xdr:to>
      <xdr:col>39</xdr:col>
      <xdr:colOff>207002</xdr:colOff>
      <xdr:row>75</xdr:row>
      <xdr:rowOff>111751</xdr:rowOff>
    </xdr:to>
    <xdr:sp macro="" textlink="">
      <xdr:nvSpPr>
        <xdr:cNvPr id="246891" name="フリーフォーム: 図形 246890">
          <a:extLst>
            <a:ext uri="{FF2B5EF4-FFF2-40B4-BE49-F238E27FC236}">
              <a16:creationId xmlns:a16="http://schemas.microsoft.com/office/drawing/2014/main" id="{30F5BA4F-2082-4E7F-9732-570823D40963}"/>
            </a:ext>
          </a:extLst>
        </xdr:cNvPr>
        <xdr:cNvSpPr>
          <a:spLocks noChangeAspect="1"/>
        </xdr:cNvSpPr>
      </xdr:nvSpPr>
      <xdr:spPr>
        <a:xfrm>
          <a:off x="265032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70</xdr:row>
      <xdr:rowOff>51000</xdr:rowOff>
    </xdr:from>
    <xdr:to>
      <xdr:col>38</xdr:col>
      <xdr:colOff>406801</xdr:colOff>
      <xdr:row>75</xdr:row>
      <xdr:rowOff>3751</xdr:rowOff>
    </xdr:to>
    <xdr:sp macro="" textlink="">
      <xdr:nvSpPr>
        <xdr:cNvPr id="246892" name="フリーフォーム: 図形 246891">
          <a:extLst>
            <a:ext uri="{FF2B5EF4-FFF2-40B4-BE49-F238E27FC236}">
              <a16:creationId xmlns:a16="http://schemas.microsoft.com/office/drawing/2014/main" id="{C7036FAD-2D09-4CDB-9F1E-F66823AF3A44}"/>
            </a:ext>
          </a:extLst>
        </xdr:cNvPr>
        <xdr:cNvSpPr>
          <a:spLocks noChangeAspect="1"/>
        </xdr:cNvSpPr>
      </xdr:nvSpPr>
      <xdr:spPr>
        <a:xfrm>
          <a:off x="261972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69</xdr:row>
      <xdr:rowOff>114450</xdr:rowOff>
    </xdr:from>
    <xdr:to>
      <xdr:col>38</xdr:col>
      <xdr:colOff>658801</xdr:colOff>
      <xdr:row>74</xdr:row>
      <xdr:rowOff>157201</xdr:rowOff>
    </xdr:to>
    <xdr:sp macro="" textlink="">
      <xdr:nvSpPr>
        <xdr:cNvPr id="246893" name="フリーフォーム: 図形 246892">
          <a:extLst>
            <a:ext uri="{FF2B5EF4-FFF2-40B4-BE49-F238E27FC236}">
              <a16:creationId xmlns:a16="http://schemas.microsoft.com/office/drawing/2014/main" id="{83A23543-CD2D-4F41-9916-E364EF175F8E}"/>
            </a:ext>
          </a:extLst>
        </xdr:cNvPr>
        <xdr:cNvSpPr>
          <a:spLocks noChangeAspect="1"/>
        </xdr:cNvSpPr>
      </xdr:nvSpPr>
      <xdr:spPr>
        <a:xfrm>
          <a:off x="264672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70</xdr:row>
      <xdr:rowOff>69000</xdr:rowOff>
    </xdr:from>
    <xdr:to>
      <xdr:col>39</xdr:col>
      <xdr:colOff>297000</xdr:colOff>
      <xdr:row>75</xdr:row>
      <xdr:rowOff>3751</xdr:rowOff>
    </xdr:to>
    <xdr:sp macro="" textlink="">
      <xdr:nvSpPr>
        <xdr:cNvPr id="246894" name="フリーフォーム: 図形 246893">
          <a:extLst>
            <a:ext uri="{FF2B5EF4-FFF2-40B4-BE49-F238E27FC236}">
              <a16:creationId xmlns:a16="http://schemas.microsoft.com/office/drawing/2014/main" id="{0D2F8D48-9864-46DA-AC55-D7065132A010}"/>
            </a:ext>
          </a:extLst>
        </xdr:cNvPr>
        <xdr:cNvSpPr>
          <a:spLocks noChangeAspect="1"/>
        </xdr:cNvSpPr>
      </xdr:nvSpPr>
      <xdr:spPr>
        <a:xfrm>
          <a:off x="265212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75</xdr:row>
      <xdr:rowOff>75750</xdr:rowOff>
    </xdr:from>
    <xdr:to>
      <xdr:col>39</xdr:col>
      <xdr:colOff>9002</xdr:colOff>
      <xdr:row>79</xdr:row>
      <xdr:rowOff>163951</xdr:rowOff>
    </xdr:to>
    <xdr:sp macro="" textlink="">
      <xdr:nvSpPr>
        <xdr:cNvPr id="246895" name="フリーフォーム: 図形 246894">
          <a:extLst>
            <a:ext uri="{FF2B5EF4-FFF2-40B4-BE49-F238E27FC236}">
              <a16:creationId xmlns:a16="http://schemas.microsoft.com/office/drawing/2014/main" id="{02FDDBE3-894C-4B38-8CB7-CF35E4E05DDC}"/>
            </a:ext>
          </a:extLst>
        </xdr:cNvPr>
        <xdr:cNvSpPr>
          <a:spLocks noChangeAspect="1"/>
        </xdr:cNvSpPr>
      </xdr:nvSpPr>
      <xdr:spPr>
        <a:xfrm>
          <a:off x="264851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75</xdr:row>
      <xdr:rowOff>93749</xdr:rowOff>
    </xdr:from>
    <xdr:to>
      <xdr:col>38</xdr:col>
      <xdr:colOff>424800</xdr:colOff>
      <xdr:row>80</xdr:row>
      <xdr:rowOff>118501</xdr:rowOff>
    </xdr:to>
    <xdr:sp macro="" textlink="">
      <xdr:nvSpPr>
        <xdr:cNvPr id="246896" name="フリーフォーム: 図形 246895">
          <a:extLst>
            <a:ext uri="{FF2B5EF4-FFF2-40B4-BE49-F238E27FC236}">
              <a16:creationId xmlns:a16="http://schemas.microsoft.com/office/drawing/2014/main" id="{96A98CBE-D281-46B8-921C-6DC406EBBAB5}"/>
            </a:ext>
          </a:extLst>
        </xdr:cNvPr>
        <xdr:cNvSpPr>
          <a:spLocks noChangeAspect="1"/>
        </xdr:cNvSpPr>
      </xdr:nvSpPr>
      <xdr:spPr>
        <a:xfrm>
          <a:off x="262512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75</xdr:row>
      <xdr:rowOff>75750</xdr:rowOff>
    </xdr:from>
    <xdr:to>
      <xdr:col>38</xdr:col>
      <xdr:colOff>388802</xdr:colOff>
      <xdr:row>80</xdr:row>
      <xdr:rowOff>10501</xdr:rowOff>
    </xdr:to>
    <xdr:sp macro="" textlink="">
      <xdr:nvSpPr>
        <xdr:cNvPr id="246897" name="フリーフォーム: 図形 246896">
          <a:extLst>
            <a:ext uri="{FF2B5EF4-FFF2-40B4-BE49-F238E27FC236}">
              <a16:creationId xmlns:a16="http://schemas.microsoft.com/office/drawing/2014/main" id="{4D2A65AD-090A-407E-A8DD-F6F69E96C85F}"/>
            </a:ext>
          </a:extLst>
        </xdr:cNvPr>
        <xdr:cNvSpPr>
          <a:spLocks noChangeAspect="1"/>
        </xdr:cNvSpPr>
      </xdr:nvSpPr>
      <xdr:spPr>
        <a:xfrm>
          <a:off x="25927200" y="13201200"/>
          <a:ext cx="522002" cy="792001"/>
        </a:xfrm>
        <a:custGeom>
          <a:avLst/>
          <a:gdLst/>
          <a:ahLst/>
          <a:cxnLst/>
          <a:rect l="0" t="0" r="0" b="0"/>
          <a:pathLst>
            <a:path w="522002" h="792001">
              <a:moveTo>
                <a:pt x="395999" y="72001"/>
              </a:moveTo>
              <a:lnTo>
                <a:pt x="522001" y="0"/>
              </a:lnTo>
              <a:lnTo>
                <a:pt x="324001" y="378001"/>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69</xdr:row>
      <xdr:rowOff>42450</xdr:rowOff>
    </xdr:from>
    <xdr:to>
      <xdr:col>41</xdr:col>
      <xdr:colOff>322201</xdr:colOff>
      <xdr:row>70</xdr:row>
      <xdr:rowOff>15001</xdr:rowOff>
    </xdr:to>
    <xdr:sp macro="" textlink="">
      <xdr:nvSpPr>
        <xdr:cNvPr id="246898" name="フリーフォーム: 図形 246897">
          <a:extLst>
            <a:ext uri="{FF2B5EF4-FFF2-40B4-BE49-F238E27FC236}">
              <a16:creationId xmlns:a16="http://schemas.microsoft.com/office/drawing/2014/main" id="{7C32280D-A0A9-4C54-A97E-800740997EE9}"/>
            </a:ext>
          </a:extLst>
        </xdr:cNvPr>
        <xdr:cNvSpPr>
          <a:spLocks noChangeAspect="1"/>
        </xdr:cNvSpPr>
      </xdr:nvSpPr>
      <xdr:spPr>
        <a:xfrm>
          <a:off x="279720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69</xdr:row>
      <xdr:rowOff>42450</xdr:rowOff>
    </xdr:from>
    <xdr:to>
      <xdr:col>42</xdr:col>
      <xdr:colOff>176400</xdr:colOff>
      <xdr:row>70</xdr:row>
      <xdr:rowOff>15001</xdr:rowOff>
    </xdr:to>
    <xdr:sp macro="" textlink="">
      <xdr:nvSpPr>
        <xdr:cNvPr id="246899" name="フリーフォーム: 図形 246898">
          <a:extLst>
            <a:ext uri="{FF2B5EF4-FFF2-40B4-BE49-F238E27FC236}">
              <a16:creationId xmlns:a16="http://schemas.microsoft.com/office/drawing/2014/main" id="{EC888B43-CB61-48E5-B574-15EE9B8A701C}"/>
            </a:ext>
          </a:extLst>
        </xdr:cNvPr>
        <xdr:cNvSpPr>
          <a:spLocks noChangeAspect="1"/>
        </xdr:cNvSpPr>
      </xdr:nvSpPr>
      <xdr:spPr>
        <a:xfrm>
          <a:off x="285119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69</xdr:row>
      <xdr:rowOff>114450</xdr:rowOff>
    </xdr:from>
    <xdr:to>
      <xdr:col>42</xdr:col>
      <xdr:colOff>248401</xdr:colOff>
      <xdr:row>75</xdr:row>
      <xdr:rowOff>21752</xdr:rowOff>
    </xdr:to>
    <xdr:sp macro="" textlink="">
      <xdr:nvSpPr>
        <xdr:cNvPr id="246900" name="フリーフォーム: 図形 246899">
          <a:extLst>
            <a:ext uri="{FF2B5EF4-FFF2-40B4-BE49-F238E27FC236}">
              <a16:creationId xmlns:a16="http://schemas.microsoft.com/office/drawing/2014/main" id="{44C01A78-D230-4BB0-B93D-85F86BA10399}"/>
            </a:ext>
          </a:extLst>
        </xdr:cNvPr>
        <xdr:cNvSpPr>
          <a:spLocks noChangeAspect="1"/>
        </xdr:cNvSpPr>
      </xdr:nvSpPr>
      <xdr:spPr>
        <a:xfrm>
          <a:off x="287639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75</xdr:row>
      <xdr:rowOff>75750</xdr:rowOff>
    </xdr:from>
    <xdr:to>
      <xdr:col>42</xdr:col>
      <xdr:colOff>68400</xdr:colOff>
      <xdr:row>80</xdr:row>
      <xdr:rowOff>136501</xdr:rowOff>
    </xdr:to>
    <xdr:sp macro="" textlink="">
      <xdr:nvSpPr>
        <xdr:cNvPr id="246901" name="フリーフォーム: 図形 246900">
          <a:extLst>
            <a:ext uri="{FF2B5EF4-FFF2-40B4-BE49-F238E27FC236}">
              <a16:creationId xmlns:a16="http://schemas.microsoft.com/office/drawing/2014/main" id="{9A8F2619-3804-4B2A-8BD2-A2329FED646A}"/>
            </a:ext>
          </a:extLst>
        </xdr:cNvPr>
        <xdr:cNvSpPr>
          <a:spLocks noChangeAspect="1"/>
        </xdr:cNvSpPr>
      </xdr:nvSpPr>
      <xdr:spPr>
        <a:xfrm>
          <a:off x="285840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80</xdr:row>
      <xdr:rowOff>64500</xdr:rowOff>
    </xdr:from>
    <xdr:to>
      <xdr:col>40</xdr:col>
      <xdr:colOff>684000</xdr:colOff>
      <xdr:row>81</xdr:row>
      <xdr:rowOff>37051</xdr:rowOff>
    </xdr:to>
    <xdr:sp macro="" textlink="">
      <xdr:nvSpPr>
        <xdr:cNvPr id="246902" name="フリーフォーム: 図形 246901">
          <a:extLst>
            <a:ext uri="{FF2B5EF4-FFF2-40B4-BE49-F238E27FC236}">
              <a16:creationId xmlns:a16="http://schemas.microsoft.com/office/drawing/2014/main" id="{6D9B253A-DA44-4163-B55A-C6BD52D80597}"/>
            </a:ext>
          </a:extLst>
        </xdr:cNvPr>
        <xdr:cNvSpPr>
          <a:spLocks noChangeAspect="1"/>
        </xdr:cNvSpPr>
      </xdr:nvSpPr>
      <xdr:spPr>
        <a:xfrm>
          <a:off x="276300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80</xdr:row>
      <xdr:rowOff>64500</xdr:rowOff>
    </xdr:from>
    <xdr:to>
      <xdr:col>41</xdr:col>
      <xdr:colOff>502200</xdr:colOff>
      <xdr:row>81</xdr:row>
      <xdr:rowOff>37051</xdr:rowOff>
    </xdr:to>
    <xdr:sp macro="" textlink="">
      <xdr:nvSpPr>
        <xdr:cNvPr id="246903" name="フリーフォーム: 図形 246902">
          <a:extLst>
            <a:ext uri="{FF2B5EF4-FFF2-40B4-BE49-F238E27FC236}">
              <a16:creationId xmlns:a16="http://schemas.microsoft.com/office/drawing/2014/main" id="{8736C73F-B3F9-4C22-B5BA-683AC650DE49}"/>
            </a:ext>
          </a:extLst>
        </xdr:cNvPr>
        <xdr:cNvSpPr>
          <a:spLocks noChangeAspect="1"/>
        </xdr:cNvSpPr>
      </xdr:nvSpPr>
      <xdr:spPr>
        <a:xfrm>
          <a:off x="281519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75</xdr:row>
      <xdr:rowOff>75750</xdr:rowOff>
    </xdr:from>
    <xdr:to>
      <xdr:col>40</xdr:col>
      <xdr:colOff>432003</xdr:colOff>
      <xdr:row>80</xdr:row>
      <xdr:rowOff>136501</xdr:rowOff>
    </xdr:to>
    <xdr:sp macro="" textlink="">
      <xdr:nvSpPr>
        <xdr:cNvPr id="246904" name="フリーフォーム: 図形 246903">
          <a:extLst>
            <a:ext uri="{FF2B5EF4-FFF2-40B4-BE49-F238E27FC236}">
              <a16:creationId xmlns:a16="http://schemas.microsoft.com/office/drawing/2014/main" id="{E5D8BE7A-98CA-44E0-AF32-683F0F1D9654}"/>
            </a:ext>
          </a:extLst>
        </xdr:cNvPr>
        <xdr:cNvSpPr>
          <a:spLocks noChangeAspect="1"/>
        </xdr:cNvSpPr>
      </xdr:nvSpPr>
      <xdr:spPr>
        <a:xfrm>
          <a:off x="275760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69</xdr:row>
      <xdr:rowOff>114450</xdr:rowOff>
    </xdr:from>
    <xdr:to>
      <xdr:col>40</xdr:col>
      <xdr:colOff>576000</xdr:colOff>
      <xdr:row>75</xdr:row>
      <xdr:rowOff>21752</xdr:rowOff>
    </xdr:to>
    <xdr:sp macro="" textlink="">
      <xdr:nvSpPr>
        <xdr:cNvPr id="246905" name="フリーフォーム: 図形 246904">
          <a:extLst>
            <a:ext uri="{FF2B5EF4-FFF2-40B4-BE49-F238E27FC236}">
              <a16:creationId xmlns:a16="http://schemas.microsoft.com/office/drawing/2014/main" id="{F25A307A-E146-4106-A65D-4D2EB3507784}"/>
            </a:ext>
          </a:extLst>
        </xdr:cNvPr>
        <xdr:cNvSpPr>
          <a:spLocks noChangeAspect="1"/>
        </xdr:cNvSpPr>
      </xdr:nvSpPr>
      <xdr:spPr>
        <a:xfrm>
          <a:off x="277559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74</xdr:row>
      <xdr:rowOff>139199</xdr:rowOff>
    </xdr:from>
    <xdr:to>
      <xdr:col>41</xdr:col>
      <xdr:colOff>160202</xdr:colOff>
      <xdr:row>75</xdr:row>
      <xdr:rowOff>111751</xdr:rowOff>
    </xdr:to>
    <xdr:sp macro="" textlink="">
      <xdr:nvSpPr>
        <xdr:cNvPr id="246906" name="フリーフォーム: 図形 246905">
          <a:extLst>
            <a:ext uri="{FF2B5EF4-FFF2-40B4-BE49-F238E27FC236}">
              <a16:creationId xmlns:a16="http://schemas.microsoft.com/office/drawing/2014/main" id="{17E46C18-08FC-41C7-9A24-5295D4A87D60}"/>
            </a:ext>
          </a:extLst>
        </xdr:cNvPr>
        <xdr:cNvSpPr>
          <a:spLocks noChangeAspect="1"/>
        </xdr:cNvSpPr>
      </xdr:nvSpPr>
      <xdr:spPr>
        <a:xfrm>
          <a:off x="278280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74</xdr:row>
      <xdr:rowOff>139199</xdr:rowOff>
    </xdr:from>
    <xdr:to>
      <xdr:col>41</xdr:col>
      <xdr:colOff>664202</xdr:colOff>
      <xdr:row>75</xdr:row>
      <xdr:rowOff>111751</xdr:rowOff>
    </xdr:to>
    <xdr:sp macro="" textlink="">
      <xdr:nvSpPr>
        <xdr:cNvPr id="246907" name="フリーフォーム: 図形 246906">
          <a:extLst>
            <a:ext uri="{FF2B5EF4-FFF2-40B4-BE49-F238E27FC236}">
              <a16:creationId xmlns:a16="http://schemas.microsoft.com/office/drawing/2014/main" id="{8645BA12-B515-474A-9FD7-3911740E6A82}"/>
            </a:ext>
          </a:extLst>
        </xdr:cNvPr>
        <xdr:cNvSpPr>
          <a:spLocks noChangeAspect="1"/>
        </xdr:cNvSpPr>
      </xdr:nvSpPr>
      <xdr:spPr>
        <a:xfrm>
          <a:off x="283320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70</xdr:row>
      <xdr:rowOff>51000</xdr:rowOff>
    </xdr:from>
    <xdr:to>
      <xdr:col>41</xdr:col>
      <xdr:colOff>178201</xdr:colOff>
      <xdr:row>75</xdr:row>
      <xdr:rowOff>3751</xdr:rowOff>
    </xdr:to>
    <xdr:sp macro="" textlink="">
      <xdr:nvSpPr>
        <xdr:cNvPr id="246908" name="フリーフォーム: 図形 246907">
          <a:extLst>
            <a:ext uri="{FF2B5EF4-FFF2-40B4-BE49-F238E27FC236}">
              <a16:creationId xmlns:a16="http://schemas.microsoft.com/office/drawing/2014/main" id="{BD96DC96-893F-4C6D-9D7B-4CCFF64D5104}"/>
            </a:ext>
          </a:extLst>
        </xdr:cNvPr>
        <xdr:cNvSpPr>
          <a:spLocks noChangeAspect="1"/>
        </xdr:cNvSpPr>
      </xdr:nvSpPr>
      <xdr:spPr>
        <a:xfrm>
          <a:off x="280260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69</xdr:row>
      <xdr:rowOff>114450</xdr:rowOff>
    </xdr:from>
    <xdr:to>
      <xdr:col>41</xdr:col>
      <xdr:colOff>430201</xdr:colOff>
      <xdr:row>74</xdr:row>
      <xdr:rowOff>157201</xdr:rowOff>
    </xdr:to>
    <xdr:sp macro="" textlink="">
      <xdr:nvSpPr>
        <xdr:cNvPr id="246909" name="フリーフォーム: 図形 246908">
          <a:extLst>
            <a:ext uri="{FF2B5EF4-FFF2-40B4-BE49-F238E27FC236}">
              <a16:creationId xmlns:a16="http://schemas.microsoft.com/office/drawing/2014/main" id="{9497F529-565E-42FC-BA15-52C2A2CD02E4}"/>
            </a:ext>
          </a:extLst>
        </xdr:cNvPr>
        <xdr:cNvSpPr>
          <a:spLocks noChangeAspect="1"/>
        </xdr:cNvSpPr>
      </xdr:nvSpPr>
      <xdr:spPr>
        <a:xfrm>
          <a:off x="282960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70</xdr:row>
      <xdr:rowOff>69000</xdr:rowOff>
    </xdr:from>
    <xdr:to>
      <xdr:col>42</xdr:col>
      <xdr:colOff>68400</xdr:colOff>
      <xdr:row>75</xdr:row>
      <xdr:rowOff>3751</xdr:rowOff>
    </xdr:to>
    <xdr:sp macro="" textlink="">
      <xdr:nvSpPr>
        <xdr:cNvPr id="246910" name="フリーフォーム: 図形 246909">
          <a:extLst>
            <a:ext uri="{FF2B5EF4-FFF2-40B4-BE49-F238E27FC236}">
              <a16:creationId xmlns:a16="http://schemas.microsoft.com/office/drawing/2014/main" id="{23FA5310-C325-444E-A44A-9E57675D1F01}"/>
            </a:ext>
          </a:extLst>
        </xdr:cNvPr>
        <xdr:cNvSpPr>
          <a:spLocks noChangeAspect="1"/>
        </xdr:cNvSpPr>
      </xdr:nvSpPr>
      <xdr:spPr>
        <a:xfrm>
          <a:off x="283500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75</xdr:row>
      <xdr:rowOff>75750</xdr:rowOff>
    </xdr:from>
    <xdr:to>
      <xdr:col>41</xdr:col>
      <xdr:colOff>466202</xdr:colOff>
      <xdr:row>79</xdr:row>
      <xdr:rowOff>163951</xdr:rowOff>
    </xdr:to>
    <xdr:sp macro="" textlink="">
      <xdr:nvSpPr>
        <xdr:cNvPr id="246911" name="フリーフォーム: 図形 246910">
          <a:extLst>
            <a:ext uri="{FF2B5EF4-FFF2-40B4-BE49-F238E27FC236}">
              <a16:creationId xmlns:a16="http://schemas.microsoft.com/office/drawing/2014/main" id="{F1DA0895-999F-4B30-8687-D9A18978B638}"/>
            </a:ext>
          </a:extLst>
        </xdr:cNvPr>
        <xdr:cNvSpPr>
          <a:spLocks noChangeAspect="1"/>
        </xdr:cNvSpPr>
      </xdr:nvSpPr>
      <xdr:spPr>
        <a:xfrm>
          <a:off x="283139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75</xdr:row>
      <xdr:rowOff>93749</xdr:rowOff>
    </xdr:from>
    <xdr:to>
      <xdr:col>41</xdr:col>
      <xdr:colOff>196200</xdr:colOff>
      <xdr:row>80</xdr:row>
      <xdr:rowOff>118501</xdr:rowOff>
    </xdr:to>
    <xdr:sp macro="" textlink="">
      <xdr:nvSpPr>
        <xdr:cNvPr id="246912" name="フリーフォーム: 図形 246911">
          <a:extLst>
            <a:ext uri="{FF2B5EF4-FFF2-40B4-BE49-F238E27FC236}">
              <a16:creationId xmlns:a16="http://schemas.microsoft.com/office/drawing/2014/main" id="{2370C416-A3A4-4B5C-BDFB-1763910408FC}"/>
            </a:ext>
          </a:extLst>
        </xdr:cNvPr>
        <xdr:cNvSpPr>
          <a:spLocks noChangeAspect="1"/>
        </xdr:cNvSpPr>
      </xdr:nvSpPr>
      <xdr:spPr>
        <a:xfrm>
          <a:off x="280800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75</xdr:row>
      <xdr:rowOff>75750</xdr:rowOff>
    </xdr:from>
    <xdr:to>
      <xdr:col>41</xdr:col>
      <xdr:colOff>160202</xdr:colOff>
      <xdr:row>80</xdr:row>
      <xdr:rowOff>10501</xdr:rowOff>
    </xdr:to>
    <xdr:sp macro="" textlink="">
      <xdr:nvSpPr>
        <xdr:cNvPr id="246913" name="フリーフォーム: 図形 246912">
          <a:extLst>
            <a:ext uri="{FF2B5EF4-FFF2-40B4-BE49-F238E27FC236}">
              <a16:creationId xmlns:a16="http://schemas.microsoft.com/office/drawing/2014/main" id="{D4E486ED-936E-46B0-92E0-8FB0498C03BB}"/>
            </a:ext>
          </a:extLst>
        </xdr:cNvPr>
        <xdr:cNvSpPr>
          <a:spLocks noChangeAspect="1"/>
        </xdr:cNvSpPr>
      </xdr:nvSpPr>
      <xdr:spPr>
        <a:xfrm>
          <a:off x="277559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69</xdr:row>
      <xdr:rowOff>42450</xdr:rowOff>
    </xdr:from>
    <xdr:to>
      <xdr:col>44</xdr:col>
      <xdr:colOff>93601</xdr:colOff>
      <xdr:row>70</xdr:row>
      <xdr:rowOff>15001</xdr:rowOff>
    </xdr:to>
    <xdr:sp macro="" textlink="">
      <xdr:nvSpPr>
        <xdr:cNvPr id="246914" name="フリーフォーム: 図形 246913">
          <a:extLst>
            <a:ext uri="{FF2B5EF4-FFF2-40B4-BE49-F238E27FC236}">
              <a16:creationId xmlns:a16="http://schemas.microsoft.com/office/drawing/2014/main" id="{DB82B355-A4A7-4C70-B948-38A6AE1E8692}"/>
            </a:ext>
          </a:extLst>
        </xdr:cNvPr>
        <xdr:cNvSpPr>
          <a:spLocks noChangeAspect="1"/>
        </xdr:cNvSpPr>
      </xdr:nvSpPr>
      <xdr:spPr>
        <a:xfrm>
          <a:off x="298008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69</xdr:row>
      <xdr:rowOff>42450</xdr:rowOff>
    </xdr:from>
    <xdr:to>
      <xdr:col>44</xdr:col>
      <xdr:colOff>633600</xdr:colOff>
      <xdr:row>70</xdr:row>
      <xdr:rowOff>15001</xdr:rowOff>
    </xdr:to>
    <xdr:sp macro="" textlink="">
      <xdr:nvSpPr>
        <xdr:cNvPr id="246915" name="フリーフォーム: 図形 246914">
          <a:extLst>
            <a:ext uri="{FF2B5EF4-FFF2-40B4-BE49-F238E27FC236}">
              <a16:creationId xmlns:a16="http://schemas.microsoft.com/office/drawing/2014/main" id="{C916AE6D-1499-4B48-B4FE-1C0D6E3FE1E2}"/>
            </a:ext>
          </a:extLst>
        </xdr:cNvPr>
        <xdr:cNvSpPr>
          <a:spLocks noChangeAspect="1"/>
        </xdr:cNvSpPr>
      </xdr:nvSpPr>
      <xdr:spPr>
        <a:xfrm>
          <a:off x="303407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69</xdr:row>
      <xdr:rowOff>114450</xdr:rowOff>
    </xdr:from>
    <xdr:to>
      <xdr:col>45</xdr:col>
      <xdr:colOff>19801</xdr:colOff>
      <xdr:row>75</xdr:row>
      <xdr:rowOff>21752</xdr:rowOff>
    </xdr:to>
    <xdr:sp macro="" textlink="">
      <xdr:nvSpPr>
        <xdr:cNvPr id="246916" name="フリーフォーム: 図形 246915">
          <a:extLst>
            <a:ext uri="{FF2B5EF4-FFF2-40B4-BE49-F238E27FC236}">
              <a16:creationId xmlns:a16="http://schemas.microsoft.com/office/drawing/2014/main" id="{41C71F4D-90C9-4FAB-971D-FD356D45754E}"/>
            </a:ext>
          </a:extLst>
        </xdr:cNvPr>
        <xdr:cNvSpPr>
          <a:spLocks noChangeAspect="1"/>
        </xdr:cNvSpPr>
      </xdr:nvSpPr>
      <xdr:spPr>
        <a:xfrm>
          <a:off x="305927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75</xdr:row>
      <xdr:rowOff>75750</xdr:rowOff>
    </xdr:from>
    <xdr:to>
      <xdr:col>44</xdr:col>
      <xdr:colOff>525600</xdr:colOff>
      <xdr:row>80</xdr:row>
      <xdr:rowOff>136501</xdr:rowOff>
    </xdr:to>
    <xdr:sp macro="" textlink="">
      <xdr:nvSpPr>
        <xdr:cNvPr id="246917" name="フリーフォーム: 図形 246916">
          <a:extLst>
            <a:ext uri="{FF2B5EF4-FFF2-40B4-BE49-F238E27FC236}">
              <a16:creationId xmlns:a16="http://schemas.microsoft.com/office/drawing/2014/main" id="{772E46CD-322B-4BDB-93EB-B184645D622C}"/>
            </a:ext>
          </a:extLst>
        </xdr:cNvPr>
        <xdr:cNvSpPr>
          <a:spLocks noChangeAspect="1"/>
        </xdr:cNvSpPr>
      </xdr:nvSpPr>
      <xdr:spPr>
        <a:xfrm>
          <a:off x="304128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80</xdr:row>
      <xdr:rowOff>64500</xdr:rowOff>
    </xdr:from>
    <xdr:to>
      <xdr:col>43</xdr:col>
      <xdr:colOff>455400</xdr:colOff>
      <xdr:row>81</xdr:row>
      <xdr:rowOff>37051</xdr:rowOff>
    </xdr:to>
    <xdr:sp macro="" textlink="">
      <xdr:nvSpPr>
        <xdr:cNvPr id="246918" name="フリーフォーム: 図形 246917">
          <a:extLst>
            <a:ext uri="{FF2B5EF4-FFF2-40B4-BE49-F238E27FC236}">
              <a16:creationId xmlns:a16="http://schemas.microsoft.com/office/drawing/2014/main" id="{C2DDD6B8-41FB-4351-A4FC-A5D0217EAD08}"/>
            </a:ext>
          </a:extLst>
        </xdr:cNvPr>
        <xdr:cNvSpPr>
          <a:spLocks noChangeAspect="1"/>
        </xdr:cNvSpPr>
      </xdr:nvSpPr>
      <xdr:spPr>
        <a:xfrm>
          <a:off x="294588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80</xdr:row>
      <xdr:rowOff>64500</xdr:rowOff>
    </xdr:from>
    <xdr:to>
      <xdr:col>44</xdr:col>
      <xdr:colOff>273600</xdr:colOff>
      <xdr:row>81</xdr:row>
      <xdr:rowOff>37051</xdr:rowOff>
    </xdr:to>
    <xdr:sp macro="" textlink="">
      <xdr:nvSpPr>
        <xdr:cNvPr id="246919" name="フリーフォーム: 図形 246918">
          <a:extLst>
            <a:ext uri="{FF2B5EF4-FFF2-40B4-BE49-F238E27FC236}">
              <a16:creationId xmlns:a16="http://schemas.microsoft.com/office/drawing/2014/main" id="{2BC4A7CC-573A-406D-A965-A1388C6BB636}"/>
            </a:ext>
          </a:extLst>
        </xdr:cNvPr>
        <xdr:cNvSpPr>
          <a:spLocks noChangeAspect="1"/>
        </xdr:cNvSpPr>
      </xdr:nvSpPr>
      <xdr:spPr>
        <a:xfrm>
          <a:off x="299807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75</xdr:row>
      <xdr:rowOff>75750</xdr:rowOff>
    </xdr:from>
    <xdr:to>
      <xdr:col>43</xdr:col>
      <xdr:colOff>203403</xdr:colOff>
      <xdr:row>80</xdr:row>
      <xdr:rowOff>136501</xdr:rowOff>
    </xdr:to>
    <xdr:sp macro="" textlink="">
      <xdr:nvSpPr>
        <xdr:cNvPr id="246920" name="フリーフォーム: 図形 246919">
          <a:extLst>
            <a:ext uri="{FF2B5EF4-FFF2-40B4-BE49-F238E27FC236}">
              <a16:creationId xmlns:a16="http://schemas.microsoft.com/office/drawing/2014/main" id="{34725913-E096-4B7B-BCD8-F4A847BD9661}"/>
            </a:ext>
          </a:extLst>
        </xdr:cNvPr>
        <xdr:cNvSpPr>
          <a:spLocks noChangeAspect="1"/>
        </xdr:cNvSpPr>
      </xdr:nvSpPr>
      <xdr:spPr>
        <a:xfrm>
          <a:off x="294048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69</xdr:row>
      <xdr:rowOff>114450</xdr:rowOff>
    </xdr:from>
    <xdr:to>
      <xdr:col>43</xdr:col>
      <xdr:colOff>347400</xdr:colOff>
      <xdr:row>75</xdr:row>
      <xdr:rowOff>21752</xdr:rowOff>
    </xdr:to>
    <xdr:sp macro="" textlink="">
      <xdr:nvSpPr>
        <xdr:cNvPr id="246921" name="フリーフォーム: 図形 246920">
          <a:extLst>
            <a:ext uri="{FF2B5EF4-FFF2-40B4-BE49-F238E27FC236}">
              <a16:creationId xmlns:a16="http://schemas.microsoft.com/office/drawing/2014/main" id="{DA89F31D-7382-46EA-AE56-D7D465DA0CB5}"/>
            </a:ext>
          </a:extLst>
        </xdr:cNvPr>
        <xdr:cNvSpPr>
          <a:spLocks noChangeAspect="1"/>
        </xdr:cNvSpPr>
      </xdr:nvSpPr>
      <xdr:spPr>
        <a:xfrm>
          <a:off x="295847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74</xdr:row>
      <xdr:rowOff>139199</xdr:rowOff>
    </xdr:from>
    <xdr:to>
      <xdr:col>43</xdr:col>
      <xdr:colOff>617402</xdr:colOff>
      <xdr:row>75</xdr:row>
      <xdr:rowOff>111751</xdr:rowOff>
    </xdr:to>
    <xdr:sp macro="" textlink="">
      <xdr:nvSpPr>
        <xdr:cNvPr id="246922" name="フリーフォーム: 図形 246921">
          <a:extLst>
            <a:ext uri="{FF2B5EF4-FFF2-40B4-BE49-F238E27FC236}">
              <a16:creationId xmlns:a16="http://schemas.microsoft.com/office/drawing/2014/main" id="{D118534F-EF2B-4943-887C-E2A2A811A7F0}"/>
            </a:ext>
          </a:extLst>
        </xdr:cNvPr>
        <xdr:cNvSpPr>
          <a:spLocks noChangeAspect="1"/>
        </xdr:cNvSpPr>
      </xdr:nvSpPr>
      <xdr:spPr>
        <a:xfrm>
          <a:off x="296568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74</xdr:row>
      <xdr:rowOff>139199</xdr:rowOff>
    </xdr:from>
    <xdr:to>
      <xdr:col>44</xdr:col>
      <xdr:colOff>435602</xdr:colOff>
      <xdr:row>75</xdr:row>
      <xdr:rowOff>111751</xdr:rowOff>
    </xdr:to>
    <xdr:sp macro="" textlink="">
      <xdr:nvSpPr>
        <xdr:cNvPr id="246923" name="フリーフォーム: 図形 246922">
          <a:extLst>
            <a:ext uri="{FF2B5EF4-FFF2-40B4-BE49-F238E27FC236}">
              <a16:creationId xmlns:a16="http://schemas.microsoft.com/office/drawing/2014/main" id="{C36827E0-34E4-4BA3-B5C8-C23C8E446E2F}"/>
            </a:ext>
          </a:extLst>
        </xdr:cNvPr>
        <xdr:cNvSpPr>
          <a:spLocks noChangeAspect="1"/>
        </xdr:cNvSpPr>
      </xdr:nvSpPr>
      <xdr:spPr>
        <a:xfrm>
          <a:off x="301608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70</xdr:row>
      <xdr:rowOff>51000</xdr:rowOff>
    </xdr:from>
    <xdr:to>
      <xdr:col>43</xdr:col>
      <xdr:colOff>635401</xdr:colOff>
      <xdr:row>75</xdr:row>
      <xdr:rowOff>3751</xdr:rowOff>
    </xdr:to>
    <xdr:sp macro="" textlink="">
      <xdr:nvSpPr>
        <xdr:cNvPr id="246924" name="フリーフォーム: 図形 246923">
          <a:extLst>
            <a:ext uri="{FF2B5EF4-FFF2-40B4-BE49-F238E27FC236}">
              <a16:creationId xmlns:a16="http://schemas.microsoft.com/office/drawing/2014/main" id="{CCBA981E-8436-4AF0-85BC-D0B4D08C33FE}"/>
            </a:ext>
          </a:extLst>
        </xdr:cNvPr>
        <xdr:cNvSpPr>
          <a:spLocks noChangeAspect="1"/>
        </xdr:cNvSpPr>
      </xdr:nvSpPr>
      <xdr:spPr>
        <a:xfrm>
          <a:off x="298548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69</xdr:row>
      <xdr:rowOff>114450</xdr:rowOff>
    </xdr:from>
    <xdr:to>
      <xdr:col>44</xdr:col>
      <xdr:colOff>201601</xdr:colOff>
      <xdr:row>74</xdr:row>
      <xdr:rowOff>157201</xdr:rowOff>
    </xdr:to>
    <xdr:sp macro="" textlink="">
      <xdr:nvSpPr>
        <xdr:cNvPr id="246925" name="フリーフォーム: 図形 246924">
          <a:extLst>
            <a:ext uri="{FF2B5EF4-FFF2-40B4-BE49-F238E27FC236}">
              <a16:creationId xmlns:a16="http://schemas.microsoft.com/office/drawing/2014/main" id="{B6060D5C-8ECB-4371-9179-97691C647658}"/>
            </a:ext>
          </a:extLst>
        </xdr:cNvPr>
        <xdr:cNvSpPr>
          <a:spLocks noChangeAspect="1"/>
        </xdr:cNvSpPr>
      </xdr:nvSpPr>
      <xdr:spPr>
        <a:xfrm>
          <a:off x="301248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70</xdr:row>
      <xdr:rowOff>69000</xdr:rowOff>
    </xdr:from>
    <xdr:to>
      <xdr:col>44</xdr:col>
      <xdr:colOff>525600</xdr:colOff>
      <xdr:row>75</xdr:row>
      <xdr:rowOff>3751</xdr:rowOff>
    </xdr:to>
    <xdr:sp macro="" textlink="">
      <xdr:nvSpPr>
        <xdr:cNvPr id="246926" name="フリーフォーム: 図形 246925">
          <a:extLst>
            <a:ext uri="{FF2B5EF4-FFF2-40B4-BE49-F238E27FC236}">
              <a16:creationId xmlns:a16="http://schemas.microsoft.com/office/drawing/2014/main" id="{9EC2C7BB-3E55-4A6B-8F55-8012668FEC76}"/>
            </a:ext>
          </a:extLst>
        </xdr:cNvPr>
        <xdr:cNvSpPr>
          <a:spLocks noChangeAspect="1"/>
        </xdr:cNvSpPr>
      </xdr:nvSpPr>
      <xdr:spPr>
        <a:xfrm>
          <a:off x="301788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75</xdr:row>
      <xdr:rowOff>75750</xdr:rowOff>
    </xdr:from>
    <xdr:to>
      <xdr:col>44</xdr:col>
      <xdr:colOff>237602</xdr:colOff>
      <xdr:row>79</xdr:row>
      <xdr:rowOff>163951</xdr:rowOff>
    </xdr:to>
    <xdr:sp macro="" textlink="">
      <xdr:nvSpPr>
        <xdr:cNvPr id="246927" name="フリーフォーム: 図形 246926">
          <a:extLst>
            <a:ext uri="{FF2B5EF4-FFF2-40B4-BE49-F238E27FC236}">
              <a16:creationId xmlns:a16="http://schemas.microsoft.com/office/drawing/2014/main" id="{17CFA395-A85D-4B97-9884-CBBD3CDA5438}"/>
            </a:ext>
          </a:extLst>
        </xdr:cNvPr>
        <xdr:cNvSpPr>
          <a:spLocks noChangeAspect="1"/>
        </xdr:cNvSpPr>
      </xdr:nvSpPr>
      <xdr:spPr>
        <a:xfrm>
          <a:off x="301427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75</xdr:row>
      <xdr:rowOff>93749</xdr:rowOff>
    </xdr:from>
    <xdr:to>
      <xdr:col>43</xdr:col>
      <xdr:colOff>653400</xdr:colOff>
      <xdr:row>80</xdr:row>
      <xdr:rowOff>118501</xdr:rowOff>
    </xdr:to>
    <xdr:sp macro="" textlink="">
      <xdr:nvSpPr>
        <xdr:cNvPr id="246928" name="フリーフォーム: 図形 246927">
          <a:extLst>
            <a:ext uri="{FF2B5EF4-FFF2-40B4-BE49-F238E27FC236}">
              <a16:creationId xmlns:a16="http://schemas.microsoft.com/office/drawing/2014/main" id="{68A3EE3F-0DBA-463D-BB38-AAF654D10955}"/>
            </a:ext>
          </a:extLst>
        </xdr:cNvPr>
        <xdr:cNvSpPr>
          <a:spLocks noChangeAspect="1"/>
        </xdr:cNvSpPr>
      </xdr:nvSpPr>
      <xdr:spPr>
        <a:xfrm>
          <a:off x="299088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75</xdr:row>
      <xdr:rowOff>75750</xdr:rowOff>
    </xdr:from>
    <xdr:to>
      <xdr:col>43</xdr:col>
      <xdr:colOff>617402</xdr:colOff>
      <xdr:row>80</xdr:row>
      <xdr:rowOff>10501</xdr:rowOff>
    </xdr:to>
    <xdr:sp macro="" textlink="">
      <xdr:nvSpPr>
        <xdr:cNvPr id="246929" name="フリーフォーム: 図形 246928">
          <a:extLst>
            <a:ext uri="{FF2B5EF4-FFF2-40B4-BE49-F238E27FC236}">
              <a16:creationId xmlns:a16="http://schemas.microsoft.com/office/drawing/2014/main" id="{F99924BA-7E70-4E12-B36B-4021AA04DCB8}"/>
            </a:ext>
          </a:extLst>
        </xdr:cNvPr>
        <xdr:cNvSpPr>
          <a:spLocks noChangeAspect="1"/>
        </xdr:cNvSpPr>
      </xdr:nvSpPr>
      <xdr:spPr>
        <a:xfrm>
          <a:off x="295847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69</xdr:row>
      <xdr:rowOff>42450</xdr:rowOff>
    </xdr:from>
    <xdr:to>
      <xdr:col>46</xdr:col>
      <xdr:colOff>550801</xdr:colOff>
      <xdr:row>70</xdr:row>
      <xdr:rowOff>15001</xdr:rowOff>
    </xdr:to>
    <xdr:sp macro="" textlink="">
      <xdr:nvSpPr>
        <xdr:cNvPr id="246930" name="フリーフォーム: 図形 246929">
          <a:extLst>
            <a:ext uri="{FF2B5EF4-FFF2-40B4-BE49-F238E27FC236}">
              <a16:creationId xmlns:a16="http://schemas.microsoft.com/office/drawing/2014/main" id="{F7E7E010-D747-4184-BDF2-6D392E685455}"/>
            </a:ext>
          </a:extLst>
        </xdr:cNvPr>
        <xdr:cNvSpPr>
          <a:spLocks noChangeAspect="1"/>
        </xdr:cNvSpPr>
      </xdr:nvSpPr>
      <xdr:spPr>
        <a:xfrm>
          <a:off x="316296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69</xdr:row>
      <xdr:rowOff>42450</xdr:rowOff>
    </xdr:from>
    <xdr:to>
      <xdr:col>47</xdr:col>
      <xdr:colOff>405000</xdr:colOff>
      <xdr:row>70</xdr:row>
      <xdr:rowOff>15001</xdr:rowOff>
    </xdr:to>
    <xdr:sp macro="" textlink="">
      <xdr:nvSpPr>
        <xdr:cNvPr id="246931" name="フリーフォーム: 図形 246930">
          <a:extLst>
            <a:ext uri="{FF2B5EF4-FFF2-40B4-BE49-F238E27FC236}">
              <a16:creationId xmlns:a16="http://schemas.microsoft.com/office/drawing/2014/main" id="{FDFA6C03-254A-4076-9058-5804BF37EECB}"/>
            </a:ext>
          </a:extLst>
        </xdr:cNvPr>
        <xdr:cNvSpPr>
          <a:spLocks noChangeAspect="1"/>
        </xdr:cNvSpPr>
      </xdr:nvSpPr>
      <xdr:spPr>
        <a:xfrm>
          <a:off x="321695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69</xdr:row>
      <xdr:rowOff>114450</xdr:rowOff>
    </xdr:from>
    <xdr:to>
      <xdr:col>47</xdr:col>
      <xdr:colOff>477001</xdr:colOff>
      <xdr:row>75</xdr:row>
      <xdr:rowOff>21752</xdr:rowOff>
    </xdr:to>
    <xdr:sp macro="" textlink="">
      <xdr:nvSpPr>
        <xdr:cNvPr id="246932" name="フリーフォーム: 図形 246931">
          <a:extLst>
            <a:ext uri="{FF2B5EF4-FFF2-40B4-BE49-F238E27FC236}">
              <a16:creationId xmlns:a16="http://schemas.microsoft.com/office/drawing/2014/main" id="{0C48223B-1E84-43E1-9FCC-7ADAEE558BC0}"/>
            </a:ext>
          </a:extLst>
        </xdr:cNvPr>
        <xdr:cNvSpPr>
          <a:spLocks noChangeAspect="1"/>
        </xdr:cNvSpPr>
      </xdr:nvSpPr>
      <xdr:spPr>
        <a:xfrm>
          <a:off x="324215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75</xdr:row>
      <xdr:rowOff>75750</xdr:rowOff>
    </xdr:from>
    <xdr:to>
      <xdr:col>47</xdr:col>
      <xdr:colOff>297000</xdr:colOff>
      <xdr:row>80</xdr:row>
      <xdr:rowOff>136501</xdr:rowOff>
    </xdr:to>
    <xdr:sp macro="" textlink="">
      <xdr:nvSpPr>
        <xdr:cNvPr id="246933" name="フリーフォーム: 図形 246932">
          <a:extLst>
            <a:ext uri="{FF2B5EF4-FFF2-40B4-BE49-F238E27FC236}">
              <a16:creationId xmlns:a16="http://schemas.microsoft.com/office/drawing/2014/main" id="{B55068EF-DE9C-4EC2-B361-0FF9D493BA27}"/>
            </a:ext>
          </a:extLst>
        </xdr:cNvPr>
        <xdr:cNvSpPr>
          <a:spLocks noChangeAspect="1"/>
        </xdr:cNvSpPr>
      </xdr:nvSpPr>
      <xdr:spPr>
        <a:xfrm>
          <a:off x="322416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80</xdr:row>
      <xdr:rowOff>64500</xdr:rowOff>
    </xdr:from>
    <xdr:to>
      <xdr:col>46</xdr:col>
      <xdr:colOff>226800</xdr:colOff>
      <xdr:row>81</xdr:row>
      <xdr:rowOff>37051</xdr:rowOff>
    </xdr:to>
    <xdr:sp macro="" textlink="">
      <xdr:nvSpPr>
        <xdr:cNvPr id="246934" name="フリーフォーム: 図形 246933">
          <a:extLst>
            <a:ext uri="{FF2B5EF4-FFF2-40B4-BE49-F238E27FC236}">
              <a16:creationId xmlns:a16="http://schemas.microsoft.com/office/drawing/2014/main" id="{BAF88E9C-F216-40B1-A5B9-1FD3EC313571}"/>
            </a:ext>
          </a:extLst>
        </xdr:cNvPr>
        <xdr:cNvSpPr>
          <a:spLocks noChangeAspect="1"/>
        </xdr:cNvSpPr>
      </xdr:nvSpPr>
      <xdr:spPr>
        <a:xfrm>
          <a:off x="312876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80</xdr:row>
      <xdr:rowOff>64500</xdr:rowOff>
    </xdr:from>
    <xdr:to>
      <xdr:col>47</xdr:col>
      <xdr:colOff>45000</xdr:colOff>
      <xdr:row>81</xdr:row>
      <xdr:rowOff>37051</xdr:rowOff>
    </xdr:to>
    <xdr:sp macro="" textlink="">
      <xdr:nvSpPr>
        <xdr:cNvPr id="246935" name="フリーフォーム: 図形 246934">
          <a:extLst>
            <a:ext uri="{FF2B5EF4-FFF2-40B4-BE49-F238E27FC236}">
              <a16:creationId xmlns:a16="http://schemas.microsoft.com/office/drawing/2014/main" id="{AC880DFD-C048-486B-873F-DD9DBC078DBE}"/>
            </a:ext>
          </a:extLst>
        </xdr:cNvPr>
        <xdr:cNvSpPr>
          <a:spLocks noChangeAspect="1"/>
        </xdr:cNvSpPr>
      </xdr:nvSpPr>
      <xdr:spPr>
        <a:xfrm>
          <a:off x="318095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75</xdr:row>
      <xdr:rowOff>75750</xdr:rowOff>
    </xdr:from>
    <xdr:to>
      <xdr:col>45</xdr:col>
      <xdr:colOff>660603</xdr:colOff>
      <xdr:row>80</xdr:row>
      <xdr:rowOff>136501</xdr:rowOff>
    </xdr:to>
    <xdr:sp macro="" textlink="">
      <xdr:nvSpPr>
        <xdr:cNvPr id="246936" name="フリーフォーム: 図形 246935">
          <a:extLst>
            <a:ext uri="{FF2B5EF4-FFF2-40B4-BE49-F238E27FC236}">
              <a16:creationId xmlns:a16="http://schemas.microsoft.com/office/drawing/2014/main" id="{21FEB74F-1F16-4DB7-B2D2-4C49D88F1D43}"/>
            </a:ext>
          </a:extLst>
        </xdr:cNvPr>
        <xdr:cNvSpPr>
          <a:spLocks noChangeAspect="1"/>
        </xdr:cNvSpPr>
      </xdr:nvSpPr>
      <xdr:spPr>
        <a:xfrm>
          <a:off x="312336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69</xdr:row>
      <xdr:rowOff>114450</xdr:rowOff>
    </xdr:from>
    <xdr:to>
      <xdr:col>46</xdr:col>
      <xdr:colOff>118800</xdr:colOff>
      <xdr:row>75</xdr:row>
      <xdr:rowOff>21752</xdr:rowOff>
    </xdr:to>
    <xdr:sp macro="" textlink="">
      <xdr:nvSpPr>
        <xdr:cNvPr id="246937" name="フリーフォーム: 図形 246936">
          <a:extLst>
            <a:ext uri="{FF2B5EF4-FFF2-40B4-BE49-F238E27FC236}">
              <a16:creationId xmlns:a16="http://schemas.microsoft.com/office/drawing/2014/main" id="{67D8303C-EAB8-4DF6-BDE4-5CCA5E8DA249}"/>
            </a:ext>
          </a:extLst>
        </xdr:cNvPr>
        <xdr:cNvSpPr>
          <a:spLocks noChangeAspect="1"/>
        </xdr:cNvSpPr>
      </xdr:nvSpPr>
      <xdr:spPr>
        <a:xfrm>
          <a:off x="314135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74</xdr:row>
      <xdr:rowOff>139199</xdr:rowOff>
    </xdr:from>
    <xdr:to>
      <xdr:col>46</xdr:col>
      <xdr:colOff>388802</xdr:colOff>
      <xdr:row>75</xdr:row>
      <xdr:rowOff>111751</xdr:rowOff>
    </xdr:to>
    <xdr:sp macro="" textlink="">
      <xdr:nvSpPr>
        <xdr:cNvPr id="246938" name="フリーフォーム: 図形 246937">
          <a:extLst>
            <a:ext uri="{FF2B5EF4-FFF2-40B4-BE49-F238E27FC236}">
              <a16:creationId xmlns:a16="http://schemas.microsoft.com/office/drawing/2014/main" id="{EB20AF1D-661A-4AB0-9EAC-6D73D29B3157}"/>
            </a:ext>
          </a:extLst>
        </xdr:cNvPr>
        <xdr:cNvSpPr>
          <a:spLocks noChangeAspect="1"/>
        </xdr:cNvSpPr>
      </xdr:nvSpPr>
      <xdr:spPr>
        <a:xfrm>
          <a:off x="314856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74</xdr:row>
      <xdr:rowOff>139199</xdr:rowOff>
    </xdr:from>
    <xdr:to>
      <xdr:col>47</xdr:col>
      <xdr:colOff>207002</xdr:colOff>
      <xdr:row>75</xdr:row>
      <xdr:rowOff>111751</xdr:rowOff>
    </xdr:to>
    <xdr:sp macro="" textlink="">
      <xdr:nvSpPr>
        <xdr:cNvPr id="246939" name="フリーフォーム: 図形 246938">
          <a:extLst>
            <a:ext uri="{FF2B5EF4-FFF2-40B4-BE49-F238E27FC236}">
              <a16:creationId xmlns:a16="http://schemas.microsoft.com/office/drawing/2014/main" id="{E3692B7D-5F51-4A22-BA8E-F1EC9474FA11}"/>
            </a:ext>
          </a:extLst>
        </xdr:cNvPr>
        <xdr:cNvSpPr>
          <a:spLocks noChangeAspect="1"/>
        </xdr:cNvSpPr>
      </xdr:nvSpPr>
      <xdr:spPr>
        <a:xfrm>
          <a:off x="319896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70</xdr:row>
      <xdr:rowOff>51000</xdr:rowOff>
    </xdr:from>
    <xdr:to>
      <xdr:col>46</xdr:col>
      <xdr:colOff>406801</xdr:colOff>
      <xdr:row>75</xdr:row>
      <xdr:rowOff>3751</xdr:rowOff>
    </xdr:to>
    <xdr:sp macro="" textlink="">
      <xdr:nvSpPr>
        <xdr:cNvPr id="246940" name="フリーフォーム: 図形 246939">
          <a:extLst>
            <a:ext uri="{FF2B5EF4-FFF2-40B4-BE49-F238E27FC236}">
              <a16:creationId xmlns:a16="http://schemas.microsoft.com/office/drawing/2014/main" id="{DE83C3FD-B438-4AFC-94D9-206CEA24A30B}"/>
            </a:ext>
          </a:extLst>
        </xdr:cNvPr>
        <xdr:cNvSpPr>
          <a:spLocks noChangeAspect="1"/>
        </xdr:cNvSpPr>
      </xdr:nvSpPr>
      <xdr:spPr>
        <a:xfrm>
          <a:off x="316836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69</xdr:row>
      <xdr:rowOff>114450</xdr:rowOff>
    </xdr:from>
    <xdr:to>
      <xdr:col>46</xdr:col>
      <xdr:colOff>658801</xdr:colOff>
      <xdr:row>74</xdr:row>
      <xdr:rowOff>157201</xdr:rowOff>
    </xdr:to>
    <xdr:sp macro="" textlink="">
      <xdr:nvSpPr>
        <xdr:cNvPr id="246941" name="フリーフォーム: 図形 246940">
          <a:extLst>
            <a:ext uri="{FF2B5EF4-FFF2-40B4-BE49-F238E27FC236}">
              <a16:creationId xmlns:a16="http://schemas.microsoft.com/office/drawing/2014/main" id="{21DE3C0D-D6E0-4EE5-AF3E-7487D45B47CF}"/>
            </a:ext>
          </a:extLst>
        </xdr:cNvPr>
        <xdr:cNvSpPr>
          <a:spLocks noChangeAspect="1"/>
        </xdr:cNvSpPr>
      </xdr:nvSpPr>
      <xdr:spPr>
        <a:xfrm>
          <a:off x="319536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70</xdr:row>
      <xdr:rowOff>69000</xdr:rowOff>
    </xdr:from>
    <xdr:to>
      <xdr:col>47</xdr:col>
      <xdr:colOff>297000</xdr:colOff>
      <xdr:row>75</xdr:row>
      <xdr:rowOff>3751</xdr:rowOff>
    </xdr:to>
    <xdr:sp macro="" textlink="">
      <xdr:nvSpPr>
        <xdr:cNvPr id="246942" name="フリーフォーム: 図形 246941">
          <a:extLst>
            <a:ext uri="{FF2B5EF4-FFF2-40B4-BE49-F238E27FC236}">
              <a16:creationId xmlns:a16="http://schemas.microsoft.com/office/drawing/2014/main" id="{B4CDB1CE-FFEB-40A6-B275-0C100AC31405}"/>
            </a:ext>
          </a:extLst>
        </xdr:cNvPr>
        <xdr:cNvSpPr>
          <a:spLocks noChangeAspect="1"/>
        </xdr:cNvSpPr>
      </xdr:nvSpPr>
      <xdr:spPr>
        <a:xfrm>
          <a:off x="320076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75</xdr:row>
      <xdr:rowOff>75750</xdr:rowOff>
    </xdr:from>
    <xdr:to>
      <xdr:col>47</xdr:col>
      <xdr:colOff>9002</xdr:colOff>
      <xdr:row>79</xdr:row>
      <xdr:rowOff>163951</xdr:rowOff>
    </xdr:to>
    <xdr:sp macro="" textlink="">
      <xdr:nvSpPr>
        <xdr:cNvPr id="246943" name="フリーフォーム: 図形 246942">
          <a:extLst>
            <a:ext uri="{FF2B5EF4-FFF2-40B4-BE49-F238E27FC236}">
              <a16:creationId xmlns:a16="http://schemas.microsoft.com/office/drawing/2014/main" id="{421760BA-9955-4D89-969C-68745A2071A4}"/>
            </a:ext>
          </a:extLst>
        </xdr:cNvPr>
        <xdr:cNvSpPr>
          <a:spLocks noChangeAspect="1"/>
        </xdr:cNvSpPr>
      </xdr:nvSpPr>
      <xdr:spPr>
        <a:xfrm>
          <a:off x="319715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75</xdr:row>
      <xdr:rowOff>93749</xdr:rowOff>
    </xdr:from>
    <xdr:to>
      <xdr:col>46</xdr:col>
      <xdr:colOff>424800</xdr:colOff>
      <xdr:row>80</xdr:row>
      <xdr:rowOff>118501</xdr:rowOff>
    </xdr:to>
    <xdr:sp macro="" textlink="">
      <xdr:nvSpPr>
        <xdr:cNvPr id="246944" name="フリーフォーム: 図形 246943">
          <a:extLst>
            <a:ext uri="{FF2B5EF4-FFF2-40B4-BE49-F238E27FC236}">
              <a16:creationId xmlns:a16="http://schemas.microsoft.com/office/drawing/2014/main" id="{CE05C8F4-5394-4524-BC05-F2FCF4C52CBF}"/>
            </a:ext>
          </a:extLst>
        </xdr:cNvPr>
        <xdr:cNvSpPr>
          <a:spLocks noChangeAspect="1"/>
        </xdr:cNvSpPr>
      </xdr:nvSpPr>
      <xdr:spPr>
        <a:xfrm>
          <a:off x="317376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75</xdr:row>
      <xdr:rowOff>75750</xdr:rowOff>
    </xdr:from>
    <xdr:to>
      <xdr:col>46</xdr:col>
      <xdr:colOff>388802</xdr:colOff>
      <xdr:row>80</xdr:row>
      <xdr:rowOff>10501</xdr:rowOff>
    </xdr:to>
    <xdr:sp macro="" textlink="">
      <xdr:nvSpPr>
        <xdr:cNvPr id="246945" name="フリーフォーム: 図形 246944">
          <a:extLst>
            <a:ext uri="{FF2B5EF4-FFF2-40B4-BE49-F238E27FC236}">
              <a16:creationId xmlns:a16="http://schemas.microsoft.com/office/drawing/2014/main" id="{EC6670F5-304F-4E70-97A9-4AC1DF2739FC}"/>
            </a:ext>
          </a:extLst>
        </xdr:cNvPr>
        <xdr:cNvSpPr>
          <a:spLocks noChangeAspect="1"/>
        </xdr:cNvSpPr>
      </xdr:nvSpPr>
      <xdr:spPr>
        <a:xfrm>
          <a:off x="314135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69</xdr:row>
      <xdr:rowOff>42450</xdr:rowOff>
    </xdr:from>
    <xdr:to>
      <xdr:col>49</xdr:col>
      <xdr:colOff>322201</xdr:colOff>
      <xdr:row>70</xdr:row>
      <xdr:rowOff>15001</xdr:rowOff>
    </xdr:to>
    <xdr:sp macro="" textlink="">
      <xdr:nvSpPr>
        <xdr:cNvPr id="246946" name="フリーフォーム: 図形 246945">
          <a:extLst>
            <a:ext uri="{FF2B5EF4-FFF2-40B4-BE49-F238E27FC236}">
              <a16:creationId xmlns:a16="http://schemas.microsoft.com/office/drawing/2014/main" id="{D8A4F962-F5B4-4BC7-A084-4F7B06022DA7}"/>
            </a:ext>
          </a:extLst>
        </xdr:cNvPr>
        <xdr:cNvSpPr>
          <a:spLocks noChangeAspect="1"/>
        </xdr:cNvSpPr>
      </xdr:nvSpPr>
      <xdr:spPr>
        <a:xfrm>
          <a:off x="334584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69</xdr:row>
      <xdr:rowOff>42450</xdr:rowOff>
    </xdr:from>
    <xdr:to>
      <xdr:col>50</xdr:col>
      <xdr:colOff>176400</xdr:colOff>
      <xdr:row>70</xdr:row>
      <xdr:rowOff>15001</xdr:rowOff>
    </xdr:to>
    <xdr:sp macro="" textlink="">
      <xdr:nvSpPr>
        <xdr:cNvPr id="246947" name="フリーフォーム: 図形 246946">
          <a:extLst>
            <a:ext uri="{FF2B5EF4-FFF2-40B4-BE49-F238E27FC236}">
              <a16:creationId xmlns:a16="http://schemas.microsoft.com/office/drawing/2014/main" id="{BD88A231-EE29-4137-84AF-90D4C99217AB}"/>
            </a:ext>
          </a:extLst>
        </xdr:cNvPr>
        <xdr:cNvSpPr>
          <a:spLocks noChangeAspect="1"/>
        </xdr:cNvSpPr>
      </xdr:nvSpPr>
      <xdr:spPr>
        <a:xfrm>
          <a:off x="339983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69</xdr:row>
      <xdr:rowOff>114450</xdr:rowOff>
    </xdr:from>
    <xdr:to>
      <xdr:col>50</xdr:col>
      <xdr:colOff>248401</xdr:colOff>
      <xdr:row>75</xdr:row>
      <xdr:rowOff>21752</xdr:rowOff>
    </xdr:to>
    <xdr:sp macro="" textlink="">
      <xdr:nvSpPr>
        <xdr:cNvPr id="246948" name="フリーフォーム: 図形 246947">
          <a:extLst>
            <a:ext uri="{FF2B5EF4-FFF2-40B4-BE49-F238E27FC236}">
              <a16:creationId xmlns:a16="http://schemas.microsoft.com/office/drawing/2014/main" id="{A6F9D320-10C4-4E26-9BC9-0CE650F6EB20}"/>
            </a:ext>
          </a:extLst>
        </xdr:cNvPr>
        <xdr:cNvSpPr>
          <a:spLocks noChangeAspect="1"/>
        </xdr:cNvSpPr>
      </xdr:nvSpPr>
      <xdr:spPr>
        <a:xfrm>
          <a:off x="342503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75</xdr:row>
      <xdr:rowOff>75750</xdr:rowOff>
    </xdr:from>
    <xdr:to>
      <xdr:col>50</xdr:col>
      <xdr:colOff>68400</xdr:colOff>
      <xdr:row>80</xdr:row>
      <xdr:rowOff>136501</xdr:rowOff>
    </xdr:to>
    <xdr:sp macro="" textlink="">
      <xdr:nvSpPr>
        <xdr:cNvPr id="246949" name="フリーフォーム: 図形 246948">
          <a:extLst>
            <a:ext uri="{FF2B5EF4-FFF2-40B4-BE49-F238E27FC236}">
              <a16:creationId xmlns:a16="http://schemas.microsoft.com/office/drawing/2014/main" id="{15324AC1-E9C7-4012-B8E5-8B32B5E32259}"/>
            </a:ext>
          </a:extLst>
        </xdr:cNvPr>
        <xdr:cNvSpPr>
          <a:spLocks noChangeAspect="1"/>
        </xdr:cNvSpPr>
      </xdr:nvSpPr>
      <xdr:spPr>
        <a:xfrm>
          <a:off x="340704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80</xdr:row>
      <xdr:rowOff>64500</xdr:rowOff>
    </xdr:from>
    <xdr:to>
      <xdr:col>48</xdr:col>
      <xdr:colOff>684000</xdr:colOff>
      <xdr:row>81</xdr:row>
      <xdr:rowOff>37051</xdr:rowOff>
    </xdr:to>
    <xdr:sp macro="" textlink="">
      <xdr:nvSpPr>
        <xdr:cNvPr id="246950" name="フリーフォーム: 図形 246949">
          <a:extLst>
            <a:ext uri="{FF2B5EF4-FFF2-40B4-BE49-F238E27FC236}">
              <a16:creationId xmlns:a16="http://schemas.microsoft.com/office/drawing/2014/main" id="{1B2FA27A-1E50-4B67-9C1D-0C0E6E275D38}"/>
            </a:ext>
          </a:extLst>
        </xdr:cNvPr>
        <xdr:cNvSpPr>
          <a:spLocks noChangeAspect="1"/>
        </xdr:cNvSpPr>
      </xdr:nvSpPr>
      <xdr:spPr>
        <a:xfrm>
          <a:off x="331164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80</xdr:row>
      <xdr:rowOff>64500</xdr:rowOff>
    </xdr:from>
    <xdr:to>
      <xdr:col>49</xdr:col>
      <xdr:colOff>502200</xdr:colOff>
      <xdr:row>81</xdr:row>
      <xdr:rowOff>37051</xdr:rowOff>
    </xdr:to>
    <xdr:sp macro="" textlink="">
      <xdr:nvSpPr>
        <xdr:cNvPr id="246951" name="フリーフォーム: 図形 246950">
          <a:extLst>
            <a:ext uri="{FF2B5EF4-FFF2-40B4-BE49-F238E27FC236}">
              <a16:creationId xmlns:a16="http://schemas.microsoft.com/office/drawing/2014/main" id="{5A616D5E-12A9-4D95-8937-6B7F2EBEC26F}"/>
            </a:ext>
          </a:extLst>
        </xdr:cNvPr>
        <xdr:cNvSpPr>
          <a:spLocks noChangeAspect="1"/>
        </xdr:cNvSpPr>
      </xdr:nvSpPr>
      <xdr:spPr>
        <a:xfrm>
          <a:off x="336383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75</xdr:row>
      <xdr:rowOff>75750</xdr:rowOff>
    </xdr:from>
    <xdr:to>
      <xdr:col>48</xdr:col>
      <xdr:colOff>432003</xdr:colOff>
      <xdr:row>80</xdr:row>
      <xdr:rowOff>136501</xdr:rowOff>
    </xdr:to>
    <xdr:sp macro="" textlink="">
      <xdr:nvSpPr>
        <xdr:cNvPr id="246952" name="フリーフォーム: 図形 246951">
          <a:extLst>
            <a:ext uri="{FF2B5EF4-FFF2-40B4-BE49-F238E27FC236}">
              <a16:creationId xmlns:a16="http://schemas.microsoft.com/office/drawing/2014/main" id="{08A129B3-B1E9-4AF5-B3E0-F696E0D12BE4}"/>
            </a:ext>
          </a:extLst>
        </xdr:cNvPr>
        <xdr:cNvSpPr>
          <a:spLocks noChangeAspect="1"/>
        </xdr:cNvSpPr>
      </xdr:nvSpPr>
      <xdr:spPr>
        <a:xfrm>
          <a:off x="330624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69</xdr:row>
      <xdr:rowOff>114450</xdr:rowOff>
    </xdr:from>
    <xdr:to>
      <xdr:col>48</xdr:col>
      <xdr:colOff>576000</xdr:colOff>
      <xdr:row>75</xdr:row>
      <xdr:rowOff>21752</xdr:rowOff>
    </xdr:to>
    <xdr:sp macro="" textlink="">
      <xdr:nvSpPr>
        <xdr:cNvPr id="246953" name="フリーフォーム: 図形 246952">
          <a:extLst>
            <a:ext uri="{FF2B5EF4-FFF2-40B4-BE49-F238E27FC236}">
              <a16:creationId xmlns:a16="http://schemas.microsoft.com/office/drawing/2014/main" id="{A52251CF-AC70-4B4B-B63D-DB84D61AB420}"/>
            </a:ext>
          </a:extLst>
        </xdr:cNvPr>
        <xdr:cNvSpPr>
          <a:spLocks noChangeAspect="1"/>
        </xdr:cNvSpPr>
      </xdr:nvSpPr>
      <xdr:spPr>
        <a:xfrm>
          <a:off x="332423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74</xdr:row>
      <xdr:rowOff>139199</xdr:rowOff>
    </xdr:from>
    <xdr:to>
      <xdr:col>49</xdr:col>
      <xdr:colOff>160202</xdr:colOff>
      <xdr:row>75</xdr:row>
      <xdr:rowOff>111751</xdr:rowOff>
    </xdr:to>
    <xdr:sp macro="" textlink="">
      <xdr:nvSpPr>
        <xdr:cNvPr id="246954" name="フリーフォーム: 図形 246953">
          <a:extLst>
            <a:ext uri="{FF2B5EF4-FFF2-40B4-BE49-F238E27FC236}">
              <a16:creationId xmlns:a16="http://schemas.microsoft.com/office/drawing/2014/main" id="{92296BE0-959D-434E-A6CF-C47A920B5D4C}"/>
            </a:ext>
          </a:extLst>
        </xdr:cNvPr>
        <xdr:cNvSpPr>
          <a:spLocks noChangeAspect="1"/>
        </xdr:cNvSpPr>
      </xdr:nvSpPr>
      <xdr:spPr>
        <a:xfrm>
          <a:off x="333144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74</xdr:row>
      <xdr:rowOff>139199</xdr:rowOff>
    </xdr:from>
    <xdr:to>
      <xdr:col>49</xdr:col>
      <xdr:colOff>664202</xdr:colOff>
      <xdr:row>75</xdr:row>
      <xdr:rowOff>111751</xdr:rowOff>
    </xdr:to>
    <xdr:sp macro="" textlink="">
      <xdr:nvSpPr>
        <xdr:cNvPr id="246955" name="フリーフォーム: 図形 246954">
          <a:extLst>
            <a:ext uri="{FF2B5EF4-FFF2-40B4-BE49-F238E27FC236}">
              <a16:creationId xmlns:a16="http://schemas.microsoft.com/office/drawing/2014/main" id="{AF49110E-1E56-4AE3-AF41-B79EF2D05CFC}"/>
            </a:ext>
          </a:extLst>
        </xdr:cNvPr>
        <xdr:cNvSpPr>
          <a:spLocks noChangeAspect="1"/>
        </xdr:cNvSpPr>
      </xdr:nvSpPr>
      <xdr:spPr>
        <a:xfrm>
          <a:off x="338184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70</xdr:row>
      <xdr:rowOff>51000</xdr:rowOff>
    </xdr:from>
    <xdr:to>
      <xdr:col>49</xdr:col>
      <xdr:colOff>178201</xdr:colOff>
      <xdr:row>75</xdr:row>
      <xdr:rowOff>3751</xdr:rowOff>
    </xdr:to>
    <xdr:sp macro="" textlink="">
      <xdr:nvSpPr>
        <xdr:cNvPr id="246956" name="フリーフォーム: 図形 246955">
          <a:extLst>
            <a:ext uri="{FF2B5EF4-FFF2-40B4-BE49-F238E27FC236}">
              <a16:creationId xmlns:a16="http://schemas.microsoft.com/office/drawing/2014/main" id="{A942FF57-CF9C-465C-95EB-B7B4D1DDABC9}"/>
            </a:ext>
          </a:extLst>
        </xdr:cNvPr>
        <xdr:cNvSpPr>
          <a:spLocks noChangeAspect="1"/>
        </xdr:cNvSpPr>
      </xdr:nvSpPr>
      <xdr:spPr>
        <a:xfrm>
          <a:off x="335124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69</xdr:row>
      <xdr:rowOff>114450</xdr:rowOff>
    </xdr:from>
    <xdr:to>
      <xdr:col>49</xdr:col>
      <xdr:colOff>430201</xdr:colOff>
      <xdr:row>74</xdr:row>
      <xdr:rowOff>157201</xdr:rowOff>
    </xdr:to>
    <xdr:sp macro="" textlink="">
      <xdr:nvSpPr>
        <xdr:cNvPr id="246957" name="フリーフォーム: 図形 246956">
          <a:extLst>
            <a:ext uri="{FF2B5EF4-FFF2-40B4-BE49-F238E27FC236}">
              <a16:creationId xmlns:a16="http://schemas.microsoft.com/office/drawing/2014/main" id="{E0BB4978-74A9-4F1F-A286-1D17C1FCF50C}"/>
            </a:ext>
          </a:extLst>
        </xdr:cNvPr>
        <xdr:cNvSpPr>
          <a:spLocks noChangeAspect="1"/>
        </xdr:cNvSpPr>
      </xdr:nvSpPr>
      <xdr:spPr>
        <a:xfrm>
          <a:off x="337824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70</xdr:row>
      <xdr:rowOff>69000</xdr:rowOff>
    </xdr:from>
    <xdr:to>
      <xdr:col>50</xdr:col>
      <xdr:colOff>68400</xdr:colOff>
      <xdr:row>75</xdr:row>
      <xdr:rowOff>3751</xdr:rowOff>
    </xdr:to>
    <xdr:sp macro="" textlink="">
      <xdr:nvSpPr>
        <xdr:cNvPr id="246958" name="フリーフォーム: 図形 246957">
          <a:extLst>
            <a:ext uri="{FF2B5EF4-FFF2-40B4-BE49-F238E27FC236}">
              <a16:creationId xmlns:a16="http://schemas.microsoft.com/office/drawing/2014/main" id="{9629E9E8-E09E-4525-BDBB-F54B1B2868A5}"/>
            </a:ext>
          </a:extLst>
        </xdr:cNvPr>
        <xdr:cNvSpPr>
          <a:spLocks noChangeAspect="1"/>
        </xdr:cNvSpPr>
      </xdr:nvSpPr>
      <xdr:spPr>
        <a:xfrm>
          <a:off x="338364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75</xdr:row>
      <xdr:rowOff>75750</xdr:rowOff>
    </xdr:from>
    <xdr:to>
      <xdr:col>49</xdr:col>
      <xdr:colOff>466202</xdr:colOff>
      <xdr:row>79</xdr:row>
      <xdr:rowOff>163951</xdr:rowOff>
    </xdr:to>
    <xdr:sp macro="" textlink="">
      <xdr:nvSpPr>
        <xdr:cNvPr id="246959" name="フリーフォーム: 図形 246958">
          <a:extLst>
            <a:ext uri="{FF2B5EF4-FFF2-40B4-BE49-F238E27FC236}">
              <a16:creationId xmlns:a16="http://schemas.microsoft.com/office/drawing/2014/main" id="{5CB38B79-D2F5-453F-BD90-59D503BD44EC}"/>
            </a:ext>
          </a:extLst>
        </xdr:cNvPr>
        <xdr:cNvSpPr>
          <a:spLocks noChangeAspect="1"/>
        </xdr:cNvSpPr>
      </xdr:nvSpPr>
      <xdr:spPr>
        <a:xfrm>
          <a:off x="338003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75</xdr:row>
      <xdr:rowOff>93749</xdr:rowOff>
    </xdr:from>
    <xdr:to>
      <xdr:col>49</xdr:col>
      <xdr:colOff>196200</xdr:colOff>
      <xdr:row>80</xdr:row>
      <xdr:rowOff>118501</xdr:rowOff>
    </xdr:to>
    <xdr:sp macro="" textlink="">
      <xdr:nvSpPr>
        <xdr:cNvPr id="246960" name="フリーフォーム: 図形 246959">
          <a:extLst>
            <a:ext uri="{FF2B5EF4-FFF2-40B4-BE49-F238E27FC236}">
              <a16:creationId xmlns:a16="http://schemas.microsoft.com/office/drawing/2014/main" id="{BFE5DBD1-776E-4CDB-B7EB-7D191D17AF8C}"/>
            </a:ext>
          </a:extLst>
        </xdr:cNvPr>
        <xdr:cNvSpPr>
          <a:spLocks noChangeAspect="1"/>
        </xdr:cNvSpPr>
      </xdr:nvSpPr>
      <xdr:spPr>
        <a:xfrm>
          <a:off x="335664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75</xdr:row>
      <xdr:rowOff>75750</xdr:rowOff>
    </xdr:from>
    <xdr:to>
      <xdr:col>49</xdr:col>
      <xdr:colOff>160202</xdr:colOff>
      <xdr:row>80</xdr:row>
      <xdr:rowOff>10501</xdr:rowOff>
    </xdr:to>
    <xdr:sp macro="" textlink="">
      <xdr:nvSpPr>
        <xdr:cNvPr id="246961" name="フリーフォーム: 図形 246960">
          <a:extLst>
            <a:ext uri="{FF2B5EF4-FFF2-40B4-BE49-F238E27FC236}">
              <a16:creationId xmlns:a16="http://schemas.microsoft.com/office/drawing/2014/main" id="{817E1FA2-72CC-452A-B18E-245DCE496F77}"/>
            </a:ext>
          </a:extLst>
        </xdr:cNvPr>
        <xdr:cNvSpPr>
          <a:spLocks noChangeAspect="1"/>
        </xdr:cNvSpPr>
      </xdr:nvSpPr>
      <xdr:spPr>
        <a:xfrm>
          <a:off x="332423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69</xdr:row>
      <xdr:rowOff>42450</xdr:rowOff>
    </xdr:from>
    <xdr:to>
      <xdr:col>52</xdr:col>
      <xdr:colOff>93601</xdr:colOff>
      <xdr:row>70</xdr:row>
      <xdr:rowOff>15001</xdr:rowOff>
    </xdr:to>
    <xdr:sp macro="" textlink="">
      <xdr:nvSpPr>
        <xdr:cNvPr id="246962" name="フリーフォーム: 図形 246961">
          <a:extLst>
            <a:ext uri="{FF2B5EF4-FFF2-40B4-BE49-F238E27FC236}">
              <a16:creationId xmlns:a16="http://schemas.microsoft.com/office/drawing/2014/main" id="{46432153-0CF0-4E79-B879-7A699C5CD5C1}"/>
            </a:ext>
          </a:extLst>
        </xdr:cNvPr>
        <xdr:cNvSpPr>
          <a:spLocks noChangeAspect="1"/>
        </xdr:cNvSpPr>
      </xdr:nvSpPr>
      <xdr:spPr>
        <a:xfrm>
          <a:off x="352872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69</xdr:row>
      <xdr:rowOff>42450</xdr:rowOff>
    </xdr:from>
    <xdr:to>
      <xdr:col>52</xdr:col>
      <xdr:colOff>633600</xdr:colOff>
      <xdr:row>70</xdr:row>
      <xdr:rowOff>15001</xdr:rowOff>
    </xdr:to>
    <xdr:sp macro="" textlink="">
      <xdr:nvSpPr>
        <xdr:cNvPr id="246963" name="フリーフォーム: 図形 246962">
          <a:extLst>
            <a:ext uri="{FF2B5EF4-FFF2-40B4-BE49-F238E27FC236}">
              <a16:creationId xmlns:a16="http://schemas.microsoft.com/office/drawing/2014/main" id="{19880F56-5BC3-42A0-A568-4B89466797C5}"/>
            </a:ext>
          </a:extLst>
        </xdr:cNvPr>
        <xdr:cNvSpPr>
          <a:spLocks noChangeAspect="1"/>
        </xdr:cNvSpPr>
      </xdr:nvSpPr>
      <xdr:spPr>
        <a:xfrm>
          <a:off x="358271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69</xdr:row>
      <xdr:rowOff>114450</xdr:rowOff>
    </xdr:from>
    <xdr:to>
      <xdr:col>53</xdr:col>
      <xdr:colOff>19801</xdr:colOff>
      <xdr:row>75</xdr:row>
      <xdr:rowOff>21752</xdr:rowOff>
    </xdr:to>
    <xdr:sp macro="" textlink="">
      <xdr:nvSpPr>
        <xdr:cNvPr id="246964" name="フリーフォーム: 図形 246963">
          <a:extLst>
            <a:ext uri="{FF2B5EF4-FFF2-40B4-BE49-F238E27FC236}">
              <a16:creationId xmlns:a16="http://schemas.microsoft.com/office/drawing/2014/main" id="{5D1AA6FB-8BFB-44EE-9119-B6299F26F3F7}"/>
            </a:ext>
          </a:extLst>
        </xdr:cNvPr>
        <xdr:cNvSpPr>
          <a:spLocks noChangeAspect="1"/>
        </xdr:cNvSpPr>
      </xdr:nvSpPr>
      <xdr:spPr>
        <a:xfrm>
          <a:off x="360791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75</xdr:row>
      <xdr:rowOff>75750</xdr:rowOff>
    </xdr:from>
    <xdr:to>
      <xdr:col>52</xdr:col>
      <xdr:colOff>525600</xdr:colOff>
      <xdr:row>80</xdr:row>
      <xdr:rowOff>136501</xdr:rowOff>
    </xdr:to>
    <xdr:sp macro="" textlink="">
      <xdr:nvSpPr>
        <xdr:cNvPr id="246965" name="フリーフォーム: 図形 246964">
          <a:extLst>
            <a:ext uri="{FF2B5EF4-FFF2-40B4-BE49-F238E27FC236}">
              <a16:creationId xmlns:a16="http://schemas.microsoft.com/office/drawing/2014/main" id="{B76A7FE8-534D-424B-B3FE-3A2E0B536718}"/>
            </a:ext>
          </a:extLst>
        </xdr:cNvPr>
        <xdr:cNvSpPr>
          <a:spLocks noChangeAspect="1"/>
        </xdr:cNvSpPr>
      </xdr:nvSpPr>
      <xdr:spPr>
        <a:xfrm>
          <a:off x="358992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80</xdr:row>
      <xdr:rowOff>64500</xdr:rowOff>
    </xdr:from>
    <xdr:to>
      <xdr:col>51</xdr:col>
      <xdr:colOff>455400</xdr:colOff>
      <xdr:row>81</xdr:row>
      <xdr:rowOff>37051</xdr:rowOff>
    </xdr:to>
    <xdr:sp macro="" textlink="">
      <xdr:nvSpPr>
        <xdr:cNvPr id="246966" name="フリーフォーム: 図形 246965">
          <a:extLst>
            <a:ext uri="{FF2B5EF4-FFF2-40B4-BE49-F238E27FC236}">
              <a16:creationId xmlns:a16="http://schemas.microsoft.com/office/drawing/2014/main" id="{20C69EAB-591B-41BD-AF2C-3895577A64FF}"/>
            </a:ext>
          </a:extLst>
        </xdr:cNvPr>
        <xdr:cNvSpPr>
          <a:spLocks noChangeAspect="1"/>
        </xdr:cNvSpPr>
      </xdr:nvSpPr>
      <xdr:spPr>
        <a:xfrm>
          <a:off x="349452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80</xdr:row>
      <xdr:rowOff>64500</xdr:rowOff>
    </xdr:from>
    <xdr:to>
      <xdr:col>52</xdr:col>
      <xdr:colOff>273600</xdr:colOff>
      <xdr:row>81</xdr:row>
      <xdr:rowOff>37051</xdr:rowOff>
    </xdr:to>
    <xdr:sp macro="" textlink="">
      <xdr:nvSpPr>
        <xdr:cNvPr id="246967" name="フリーフォーム: 図形 246966">
          <a:extLst>
            <a:ext uri="{FF2B5EF4-FFF2-40B4-BE49-F238E27FC236}">
              <a16:creationId xmlns:a16="http://schemas.microsoft.com/office/drawing/2014/main" id="{24D9C277-3B03-4F2C-A3B8-D37774AE8FF6}"/>
            </a:ext>
          </a:extLst>
        </xdr:cNvPr>
        <xdr:cNvSpPr>
          <a:spLocks noChangeAspect="1"/>
        </xdr:cNvSpPr>
      </xdr:nvSpPr>
      <xdr:spPr>
        <a:xfrm>
          <a:off x="354671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75</xdr:row>
      <xdr:rowOff>75750</xdr:rowOff>
    </xdr:from>
    <xdr:to>
      <xdr:col>51</xdr:col>
      <xdr:colOff>203403</xdr:colOff>
      <xdr:row>80</xdr:row>
      <xdr:rowOff>136501</xdr:rowOff>
    </xdr:to>
    <xdr:sp macro="" textlink="">
      <xdr:nvSpPr>
        <xdr:cNvPr id="246968" name="フリーフォーム: 図形 246967">
          <a:extLst>
            <a:ext uri="{FF2B5EF4-FFF2-40B4-BE49-F238E27FC236}">
              <a16:creationId xmlns:a16="http://schemas.microsoft.com/office/drawing/2014/main" id="{1CC13C77-F4FB-47FD-AA4E-601DD77E8CBF}"/>
            </a:ext>
          </a:extLst>
        </xdr:cNvPr>
        <xdr:cNvSpPr>
          <a:spLocks noChangeAspect="1"/>
        </xdr:cNvSpPr>
      </xdr:nvSpPr>
      <xdr:spPr>
        <a:xfrm>
          <a:off x="348912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69</xdr:row>
      <xdr:rowOff>114450</xdr:rowOff>
    </xdr:from>
    <xdr:to>
      <xdr:col>51</xdr:col>
      <xdr:colOff>347400</xdr:colOff>
      <xdr:row>75</xdr:row>
      <xdr:rowOff>21752</xdr:rowOff>
    </xdr:to>
    <xdr:sp macro="" textlink="">
      <xdr:nvSpPr>
        <xdr:cNvPr id="246969" name="フリーフォーム: 図形 246968">
          <a:extLst>
            <a:ext uri="{FF2B5EF4-FFF2-40B4-BE49-F238E27FC236}">
              <a16:creationId xmlns:a16="http://schemas.microsoft.com/office/drawing/2014/main" id="{C969BAA4-9B50-421B-9FD2-1AF120268812}"/>
            </a:ext>
          </a:extLst>
        </xdr:cNvPr>
        <xdr:cNvSpPr>
          <a:spLocks noChangeAspect="1"/>
        </xdr:cNvSpPr>
      </xdr:nvSpPr>
      <xdr:spPr>
        <a:xfrm>
          <a:off x="350711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74</xdr:row>
      <xdr:rowOff>139199</xdr:rowOff>
    </xdr:from>
    <xdr:to>
      <xdr:col>51</xdr:col>
      <xdr:colOff>617402</xdr:colOff>
      <xdr:row>75</xdr:row>
      <xdr:rowOff>111751</xdr:rowOff>
    </xdr:to>
    <xdr:sp macro="" textlink="">
      <xdr:nvSpPr>
        <xdr:cNvPr id="246970" name="フリーフォーム: 図形 246969">
          <a:extLst>
            <a:ext uri="{FF2B5EF4-FFF2-40B4-BE49-F238E27FC236}">
              <a16:creationId xmlns:a16="http://schemas.microsoft.com/office/drawing/2014/main" id="{89284F4E-EDCA-40B8-AE2C-25593E462995}"/>
            </a:ext>
          </a:extLst>
        </xdr:cNvPr>
        <xdr:cNvSpPr>
          <a:spLocks noChangeAspect="1"/>
        </xdr:cNvSpPr>
      </xdr:nvSpPr>
      <xdr:spPr>
        <a:xfrm>
          <a:off x="351432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74</xdr:row>
      <xdr:rowOff>139199</xdr:rowOff>
    </xdr:from>
    <xdr:to>
      <xdr:col>52</xdr:col>
      <xdr:colOff>435602</xdr:colOff>
      <xdr:row>75</xdr:row>
      <xdr:rowOff>111751</xdr:rowOff>
    </xdr:to>
    <xdr:sp macro="" textlink="">
      <xdr:nvSpPr>
        <xdr:cNvPr id="246971" name="フリーフォーム: 図形 246970">
          <a:extLst>
            <a:ext uri="{FF2B5EF4-FFF2-40B4-BE49-F238E27FC236}">
              <a16:creationId xmlns:a16="http://schemas.microsoft.com/office/drawing/2014/main" id="{A5ABAE1A-4FF7-41B1-8B9B-3B4BB55B4EED}"/>
            </a:ext>
          </a:extLst>
        </xdr:cNvPr>
        <xdr:cNvSpPr>
          <a:spLocks noChangeAspect="1"/>
        </xdr:cNvSpPr>
      </xdr:nvSpPr>
      <xdr:spPr>
        <a:xfrm>
          <a:off x="356472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70</xdr:row>
      <xdr:rowOff>51000</xdr:rowOff>
    </xdr:from>
    <xdr:to>
      <xdr:col>51</xdr:col>
      <xdr:colOff>635401</xdr:colOff>
      <xdr:row>75</xdr:row>
      <xdr:rowOff>3751</xdr:rowOff>
    </xdr:to>
    <xdr:sp macro="" textlink="">
      <xdr:nvSpPr>
        <xdr:cNvPr id="246972" name="フリーフォーム: 図形 246971">
          <a:extLst>
            <a:ext uri="{FF2B5EF4-FFF2-40B4-BE49-F238E27FC236}">
              <a16:creationId xmlns:a16="http://schemas.microsoft.com/office/drawing/2014/main" id="{99FD8BE9-F5F4-4EAF-988F-246BEC7CD7FD}"/>
            </a:ext>
          </a:extLst>
        </xdr:cNvPr>
        <xdr:cNvSpPr>
          <a:spLocks noChangeAspect="1"/>
        </xdr:cNvSpPr>
      </xdr:nvSpPr>
      <xdr:spPr>
        <a:xfrm>
          <a:off x="353412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69</xdr:row>
      <xdr:rowOff>114450</xdr:rowOff>
    </xdr:from>
    <xdr:to>
      <xdr:col>52</xdr:col>
      <xdr:colOff>201601</xdr:colOff>
      <xdr:row>74</xdr:row>
      <xdr:rowOff>157201</xdr:rowOff>
    </xdr:to>
    <xdr:sp macro="" textlink="">
      <xdr:nvSpPr>
        <xdr:cNvPr id="246973" name="フリーフォーム: 図形 246972">
          <a:extLst>
            <a:ext uri="{FF2B5EF4-FFF2-40B4-BE49-F238E27FC236}">
              <a16:creationId xmlns:a16="http://schemas.microsoft.com/office/drawing/2014/main" id="{CE46A8A6-D19F-4FEE-A335-960546E8E02C}"/>
            </a:ext>
          </a:extLst>
        </xdr:cNvPr>
        <xdr:cNvSpPr>
          <a:spLocks noChangeAspect="1"/>
        </xdr:cNvSpPr>
      </xdr:nvSpPr>
      <xdr:spPr>
        <a:xfrm>
          <a:off x="356112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70</xdr:row>
      <xdr:rowOff>69000</xdr:rowOff>
    </xdr:from>
    <xdr:to>
      <xdr:col>52</xdr:col>
      <xdr:colOff>525600</xdr:colOff>
      <xdr:row>75</xdr:row>
      <xdr:rowOff>3751</xdr:rowOff>
    </xdr:to>
    <xdr:sp macro="" textlink="">
      <xdr:nvSpPr>
        <xdr:cNvPr id="246974" name="フリーフォーム: 図形 246973">
          <a:extLst>
            <a:ext uri="{FF2B5EF4-FFF2-40B4-BE49-F238E27FC236}">
              <a16:creationId xmlns:a16="http://schemas.microsoft.com/office/drawing/2014/main" id="{D6064ECA-70FB-4256-B256-2EF340DE001F}"/>
            </a:ext>
          </a:extLst>
        </xdr:cNvPr>
        <xdr:cNvSpPr>
          <a:spLocks noChangeAspect="1"/>
        </xdr:cNvSpPr>
      </xdr:nvSpPr>
      <xdr:spPr>
        <a:xfrm>
          <a:off x="356652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75</xdr:row>
      <xdr:rowOff>75750</xdr:rowOff>
    </xdr:from>
    <xdr:to>
      <xdr:col>52</xdr:col>
      <xdr:colOff>237602</xdr:colOff>
      <xdr:row>79</xdr:row>
      <xdr:rowOff>163951</xdr:rowOff>
    </xdr:to>
    <xdr:sp macro="" textlink="">
      <xdr:nvSpPr>
        <xdr:cNvPr id="246975" name="フリーフォーム: 図形 246974">
          <a:extLst>
            <a:ext uri="{FF2B5EF4-FFF2-40B4-BE49-F238E27FC236}">
              <a16:creationId xmlns:a16="http://schemas.microsoft.com/office/drawing/2014/main" id="{CB7973D3-0A5A-4D96-B98E-DCE92920C138}"/>
            </a:ext>
          </a:extLst>
        </xdr:cNvPr>
        <xdr:cNvSpPr>
          <a:spLocks noChangeAspect="1"/>
        </xdr:cNvSpPr>
      </xdr:nvSpPr>
      <xdr:spPr>
        <a:xfrm>
          <a:off x="356291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75</xdr:row>
      <xdr:rowOff>93749</xdr:rowOff>
    </xdr:from>
    <xdr:to>
      <xdr:col>51</xdr:col>
      <xdr:colOff>653400</xdr:colOff>
      <xdr:row>80</xdr:row>
      <xdr:rowOff>118501</xdr:rowOff>
    </xdr:to>
    <xdr:sp macro="" textlink="">
      <xdr:nvSpPr>
        <xdr:cNvPr id="246976" name="フリーフォーム: 図形 246975">
          <a:extLst>
            <a:ext uri="{FF2B5EF4-FFF2-40B4-BE49-F238E27FC236}">
              <a16:creationId xmlns:a16="http://schemas.microsoft.com/office/drawing/2014/main" id="{FC725CD1-5951-44DF-A89A-2EAEB4CD0D2B}"/>
            </a:ext>
          </a:extLst>
        </xdr:cNvPr>
        <xdr:cNvSpPr>
          <a:spLocks noChangeAspect="1"/>
        </xdr:cNvSpPr>
      </xdr:nvSpPr>
      <xdr:spPr>
        <a:xfrm>
          <a:off x="353952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75</xdr:row>
      <xdr:rowOff>75750</xdr:rowOff>
    </xdr:from>
    <xdr:to>
      <xdr:col>51</xdr:col>
      <xdr:colOff>617402</xdr:colOff>
      <xdr:row>80</xdr:row>
      <xdr:rowOff>10501</xdr:rowOff>
    </xdr:to>
    <xdr:sp macro="" textlink="">
      <xdr:nvSpPr>
        <xdr:cNvPr id="246977" name="フリーフォーム: 図形 246976">
          <a:extLst>
            <a:ext uri="{FF2B5EF4-FFF2-40B4-BE49-F238E27FC236}">
              <a16:creationId xmlns:a16="http://schemas.microsoft.com/office/drawing/2014/main" id="{FDE39B1C-5EB3-4490-8EA2-880F59C03815}"/>
            </a:ext>
          </a:extLst>
        </xdr:cNvPr>
        <xdr:cNvSpPr>
          <a:spLocks noChangeAspect="1"/>
        </xdr:cNvSpPr>
      </xdr:nvSpPr>
      <xdr:spPr>
        <a:xfrm>
          <a:off x="350711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69</xdr:row>
      <xdr:rowOff>42450</xdr:rowOff>
    </xdr:from>
    <xdr:to>
      <xdr:col>54</xdr:col>
      <xdr:colOff>550801</xdr:colOff>
      <xdr:row>70</xdr:row>
      <xdr:rowOff>15001</xdr:rowOff>
    </xdr:to>
    <xdr:sp macro="" textlink="">
      <xdr:nvSpPr>
        <xdr:cNvPr id="246978" name="フリーフォーム: 図形 246977">
          <a:extLst>
            <a:ext uri="{FF2B5EF4-FFF2-40B4-BE49-F238E27FC236}">
              <a16:creationId xmlns:a16="http://schemas.microsoft.com/office/drawing/2014/main" id="{ED196762-EBDB-43D8-AE60-F47BA87C4C23}"/>
            </a:ext>
          </a:extLst>
        </xdr:cNvPr>
        <xdr:cNvSpPr>
          <a:spLocks noChangeAspect="1"/>
        </xdr:cNvSpPr>
      </xdr:nvSpPr>
      <xdr:spPr>
        <a:xfrm>
          <a:off x="371160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69</xdr:row>
      <xdr:rowOff>42450</xdr:rowOff>
    </xdr:from>
    <xdr:to>
      <xdr:col>55</xdr:col>
      <xdr:colOff>405000</xdr:colOff>
      <xdr:row>70</xdr:row>
      <xdr:rowOff>15001</xdr:rowOff>
    </xdr:to>
    <xdr:sp macro="" textlink="">
      <xdr:nvSpPr>
        <xdr:cNvPr id="246979" name="フリーフォーム: 図形 246978">
          <a:extLst>
            <a:ext uri="{FF2B5EF4-FFF2-40B4-BE49-F238E27FC236}">
              <a16:creationId xmlns:a16="http://schemas.microsoft.com/office/drawing/2014/main" id="{F657E154-C71F-44F5-B2AA-2575B81DD417}"/>
            </a:ext>
          </a:extLst>
        </xdr:cNvPr>
        <xdr:cNvSpPr>
          <a:spLocks noChangeAspect="1"/>
        </xdr:cNvSpPr>
      </xdr:nvSpPr>
      <xdr:spPr>
        <a:xfrm>
          <a:off x="376559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69</xdr:row>
      <xdr:rowOff>114450</xdr:rowOff>
    </xdr:from>
    <xdr:to>
      <xdr:col>55</xdr:col>
      <xdr:colOff>477001</xdr:colOff>
      <xdr:row>75</xdr:row>
      <xdr:rowOff>21752</xdr:rowOff>
    </xdr:to>
    <xdr:sp macro="" textlink="">
      <xdr:nvSpPr>
        <xdr:cNvPr id="246980" name="フリーフォーム: 図形 246979">
          <a:extLst>
            <a:ext uri="{FF2B5EF4-FFF2-40B4-BE49-F238E27FC236}">
              <a16:creationId xmlns:a16="http://schemas.microsoft.com/office/drawing/2014/main" id="{B60A2B5F-984D-4C96-BA51-1A687B11F5C3}"/>
            </a:ext>
          </a:extLst>
        </xdr:cNvPr>
        <xdr:cNvSpPr>
          <a:spLocks noChangeAspect="1"/>
        </xdr:cNvSpPr>
      </xdr:nvSpPr>
      <xdr:spPr>
        <a:xfrm>
          <a:off x="379079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75</xdr:row>
      <xdr:rowOff>75750</xdr:rowOff>
    </xdr:from>
    <xdr:to>
      <xdr:col>55</xdr:col>
      <xdr:colOff>297000</xdr:colOff>
      <xdr:row>80</xdr:row>
      <xdr:rowOff>136501</xdr:rowOff>
    </xdr:to>
    <xdr:sp macro="" textlink="">
      <xdr:nvSpPr>
        <xdr:cNvPr id="246981" name="フリーフォーム: 図形 246980">
          <a:extLst>
            <a:ext uri="{FF2B5EF4-FFF2-40B4-BE49-F238E27FC236}">
              <a16:creationId xmlns:a16="http://schemas.microsoft.com/office/drawing/2014/main" id="{D9DCB5E0-624A-44D7-B192-92673E4932E4}"/>
            </a:ext>
          </a:extLst>
        </xdr:cNvPr>
        <xdr:cNvSpPr>
          <a:spLocks noChangeAspect="1"/>
        </xdr:cNvSpPr>
      </xdr:nvSpPr>
      <xdr:spPr>
        <a:xfrm>
          <a:off x="377280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80</xdr:row>
      <xdr:rowOff>64500</xdr:rowOff>
    </xdr:from>
    <xdr:to>
      <xdr:col>54</xdr:col>
      <xdr:colOff>226800</xdr:colOff>
      <xdr:row>81</xdr:row>
      <xdr:rowOff>37051</xdr:rowOff>
    </xdr:to>
    <xdr:sp macro="" textlink="">
      <xdr:nvSpPr>
        <xdr:cNvPr id="246982" name="フリーフォーム: 図形 246981">
          <a:extLst>
            <a:ext uri="{FF2B5EF4-FFF2-40B4-BE49-F238E27FC236}">
              <a16:creationId xmlns:a16="http://schemas.microsoft.com/office/drawing/2014/main" id="{0DBCE63A-C810-4859-A4AF-CFB58DB52722}"/>
            </a:ext>
          </a:extLst>
        </xdr:cNvPr>
        <xdr:cNvSpPr>
          <a:spLocks noChangeAspect="1"/>
        </xdr:cNvSpPr>
      </xdr:nvSpPr>
      <xdr:spPr>
        <a:xfrm>
          <a:off x="367740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80</xdr:row>
      <xdr:rowOff>64500</xdr:rowOff>
    </xdr:from>
    <xdr:to>
      <xdr:col>55</xdr:col>
      <xdr:colOff>45000</xdr:colOff>
      <xdr:row>81</xdr:row>
      <xdr:rowOff>37051</xdr:rowOff>
    </xdr:to>
    <xdr:sp macro="" textlink="">
      <xdr:nvSpPr>
        <xdr:cNvPr id="246983" name="フリーフォーム: 図形 246982">
          <a:extLst>
            <a:ext uri="{FF2B5EF4-FFF2-40B4-BE49-F238E27FC236}">
              <a16:creationId xmlns:a16="http://schemas.microsoft.com/office/drawing/2014/main" id="{DD4084B8-727D-425C-98F1-3FB07B1D943B}"/>
            </a:ext>
          </a:extLst>
        </xdr:cNvPr>
        <xdr:cNvSpPr>
          <a:spLocks noChangeAspect="1"/>
        </xdr:cNvSpPr>
      </xdr:nvSpPr>
      <xdr:spPr>
        <a:xfrm>
          <a:off x="372959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75</xdr:row>
      <xdr:rowOff>75750</xdr:rowOff>
    </xdr:from>
    <xdr:to>
      <xdr:col>53</xdr:col>
      <xdr:colOff>660603</xdr:colOff>
      <xdr:row>80</xdr:row>
      <xdr:rowOff>136501</xdr:rowOff>
    </xdr:to>
    <xdr:sp macro="" textlink="">
      <xdr:nvSpPr>
        <xdr:cNvPr id="246984" name="フリーフォーム: 図形 246983">
          <a:extLst>
            <a:ext uri="{FF2B5EF4-FFF2-40B4-BE49-F238E27FC236}">
              <a16:creationId xmlns:a16="http://schemas.microsoft.com/office/drawing/2014/main" id="{CBF065F2-2E56-48EE-A04B-72829FBD0D1C}"/>
            </a:ext>
          </a:extLst>
        </xdr:cNvPr>
        <xdr:cNvSpPr>
          <a:spLocks noChangeAspect="1"/>
        </xdr:cNvSpPr>
      </xdr:nvSpPr>
      <xdr:spPr>
        <a:xfrm>
          <a:off x="367200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69</xdr:row>
      <xdr:rowOff>114450</xdr:rowOff>
    </xdr:from>
    <xdr:to>
      <xdr:col>54</xdr:col>
      <xdr:colOff>118800</xdr:colOff>
      <xdr:row>75</xdr:row>
      <xdr:rowOff>21752</xdr:rowOff>
    </xdr:to>
    <xdr:sp macro="" textlink="">
      <xdr:nvSpPr>
        <xdr:cNvPr id="246985" name="フリーフォーム: 図形 246984">
          <a:extLst>
            <a:ext uri="{FF2B5EF4-FFF2-40B4-BE49-F238E27FC236}">
              <a16:creationId xmlns:a16="http://schemas.microsoft.com/office/drawing/2014/main" id="{22069A72-54B1-4BAB-ACA1-DD5C2D5A07E7}"/>
            </a:ext>
          </a:extLst>
        </xdr:cNvPr>
        <xdr:cNvSpPr>
          <a:spLocks noChangeAspect="1"/>
        </xdr:cNvSpPr>
      </xdr:nvSpPr>
      <xdr:spPr>
        <a:xfrm>
          <a:off x="368999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74</xdr:row>
      <xdr:rowOff>139199</xdr:rowOff>
    </xdr:from>
    <xdr:to>
      <xdr:col>54</xdr:col>
      <xdr:colOff>388802</xdr:colOff>
      <xdr:row>75</xdr:row>
      <xdr:rowOff>111751</xdr:rowOff>
    </xdr:to>
    <xdr:sp macro="" textlink="">
      <xdr:nvSpPr>
        <xdr:cNvPr id="246986" name="フリーフォーム: 図形 246985">
          <a:extLst>
            <a:ext uri="{FF2B5EF4-FFF2-40B4-BE49-F238E27FC236}">
              <a16:creationId xmlns:a16="http://schemas.microsoft.com/office/drawing/2014/main" id="{843C30FA-E24C-40D9-9800-411668D91FAD}"/>
            </a:ext>
          </a:extLst>
        </xdr:cNvPr>
        <xdr:cNvSpPr>
          <a:spLocks noChangeAspect="1"/>
        </xdr:cNvSpPr>
      </xdr:nvSpPr>
      <xdr:spPr>
        <a:xfrm>
          <a:off x="369720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74</xdr:row>
      <xdr:rowOff>139199</xdr:rowOff>
    </xdr:from>
    <xdr:to>
      <xdr:col>55</xdr:col>
      <xdr:colOff>207002</xdr:colOff>
      <xdr:row>75</xdr:row>
      <xdr:rowOff>111751</xdr:rowOff>
    </xdr:to>
    <xdr:sp macro="" textlink="">
      <xdr:nvSpPr>
        <xdr:cNvPr id="246987" name="フリーフォーム: 図形 246986">
          <a:extLst>
            <a:ext uri="{FF2B5EF4-FFF2-40B4-BE49-F238E27FC236}">
              <a16:creationId xmlns:a16="http://schemas.microsoft.com/office/drawing/2014/main" id="{FB83F9AC-A5D3-41D8-B054-736135DFBFF8}"/>
            </a:ext>
          </a:extLst>
        </xdr:cNvPr>
        <xdr:cNvSpPr>
          <a:spLocks noChangeAspect="1"/>
        </xdr:cNvSpPr>
      </xdr:nvSpPr>
      <xdr:spPr>
        <a:xfrm>
          <a:off x="374760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70</xdr:row>
      <xdr:rowOff>51000</xdr:rowOff>
    </xdr:from>
    <xdr:to>
      <xdr:col>54</xdr:col>
      <xdr:colOff>406801</xdr:colOff>
      <xdr:row>75</xdr:row>
      <xdr:rowOff>3751</xdr:rowOff>
    </xdr:to>
    <xdr:sp macro="" textlink="">
      <xdr:nvSpPr>
        <xdr:cNvPr id="246988" name="フリーフォーム: 図形 246987">
          <a:extLst>
            <a:ext uri="{FF2B5EF4-FFF2-40B4-BE49-F238E27FC236}">
              <a16:creationId xmlns:a16="http://schemas.microsoft.com/office/drawing/2014/main" id="{367D4A73-425D-4F1E-B5B3-7F445E65D9B3}"/>
            </a:ext>
          </a:extLst>
        </xdr:cNvPr>
        <xdr:cNvSpPr>
          <a:spLocks noChangeAspect="1"/>
        </xdr:cNvSpPr>
      </xdr:nvSpPr>
      <xdr:spPr>
        <a:xfrm>
          <a:off x="371700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69</xdr:row>
      <xdr:rowOff>114450</xdr:rowOff>
    </xdr:from>
    <xdr:to>
      <xdr:col>54</xdr:col>
      <xdr:colOff>658801</xdr:colOff>
      <xdr:row>74</xdr:row>
      <xdr:rowOff>157201</xdr:rowOff>
    </xdr:to>
    <xdr:sp macro="" textlink="">
      <xdr:nvSpPr>
        <xdr:cNvPr id="246989" name="フリーフォーム: 図形 246988">
          <a:extLst>
            <a:ext uri="{FF2B5EF4-FFF2-40B4-BE49-F238E27FC236}">
              <a16:creationId xmlns:a16="http://schemas.microsoft.com/office/drawing/2014/main" id="{AD969201-4EED-4B8B-B6FD-7B5C508CE316}"/>
            </a:ext>
          </a:extLst>
        </xdr:cNvPr>
        <xdr:cNvSpPr>
          <a:spLocks noChangeAspect="1"/>
        </xdr:cNvSpPr>
      </xdr:nvSpPr>
      <xdr:spPr>
        <a:xfrm>
          <a:off x="374400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70</xdr:row>
      <xdr:rowOff>69000</xdr:rowOff>
    </xdr:from>
    <xdr:to>
      <xdr:col>55</xdr:col>
      <xdr:colOff>297000</xdr:colOff>
      <xdr:row>75</xdr:row>
      <xdr:rowOff>3751</xdr:rowOff>
    </xdr:to>
    <xdr:sp macro="" textlink="">
      <xdr:nvSpPr>
        <xdr:cNvPr id="246990" name="フリーフォーム: 図形 246989">
          <a:extLst>
            <a:ext uri="{FF2B5EF4-FFF2-40B4-BE49-F238E27FC236}">
              <a16:creationId xmlns:a16="http://schemas.microsoft.com/office/drawing/2014/main" id="{DD9FD68D-64B4-4800-A831-DEB9B86453B1}"/>
            </a:ext>
          </a:extLst>
        </xdr:cNvPr>
        <xdr:cNvSpPr>
          <a:spLocks noChangeAspect="1"/>
        </xdr:cNvSpPr>
      </xdr:nvSpPr>
      <xdr:spPr>
        <a:xfrm>
          <a:off x="374940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75</xdr:row>
      <xdr:rowOff>75750</xdr:rowOff>
    </xdr:from>
    <xdr:to>
      <xdr:col>55</xdr:col>
      <xdr:colOff>9002</xdr:colOff>
      <xdr:row>79</xdr:row>
      <xdr:rowOff>163951</xdr:rowOff>
    </xdr:to>
    <xdr:sp macro="" textlink="">
      <xdr:nvSpPr>
        <xdr:cNvPr id="246991" name="フリーフォーム: 図形 246990">
          <a:extLst>
            <a:ext uri="{FF2B5EF4-FFF2-40B4-BE49-F238E27FC236}">
              <a16:creationId xmlns:a16="http://schemas.microsoft.com/office/drawing/2014/main" id="{6746B970-7706-4962-9B87-B5CFCAF1083A}"/>
            </a:ext>
          </a:extLst>
        </xdr:cNvPr>
        <xdr:cNvSpPr>
          <a:spLocks noChangeAspect="1"/>
        </xdr:cNvSpPr>
      </xdr:nvSpPr>
      <xdr:spPr>
        <a:xfrm>
          <a:off x="374579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75</xdr:row>
      <xdr:rowOff>93749</xdr:rowOff>
    </xdr:from>
    <xdr:to>
      <xdr:col>54</xdr:col>
      <xdr:colOff>424800</xdr:colOff>
      <xdr:row>80</xdr:row>
      <xdr:rowOff>118501</xdr:rowOff>
    </xdr:to>
    <xdr:sp macro="" textlink="">
      <xdr:nvSpPr>
        <xdr:cNvPr id="246992" name="フリーフォーム: 図形 246991">
          <a:extLst>
            <a:ext uri="{FF2B5EF4-FFF2-40B4-BE49-F238E27FC236}">
              <a16:creationId xmlns:a16="http://schemas.microsoft.com/office/drawing/2014/main" id="{E28948BF-67EE-4FDB-9A5C-F18957551D33}"/>
            </a:ext>
          </a:extLst>
        </xdr:cNvPr>
        <xdr:cNvSpPr>
          <a:spLocks noChangeAspect="1"/>
        </xdr:cNvSpPr>
      </xdr:nvSpPr>
      <xdr:spPr>
        <a:xfrm>
          <a:off x="372240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75</xdr:row>
      <xdr:rowOff>75750</xdr:rowOff>
    </xdr:from>
    <xdr:to>
      <xdr:col>54</xdr:col>
      <xdr:colOff>388802</xdr:colOff>
      <xdr:row>80</xdr:row>
      <xdr:rowOff>10501</xdr:rowOff>
    </xdr:to>
    <xdr:sp macro="" textlink="">
      <xdr:nvSpPr>
        <xdr:cNvPr id="246993" name="フリーフォーム: 図形 246992">
          <a:extLst>
            <a:ext uri="{FF2B5EF4-FFF2-40B4-BE49-F238E27FC236}">
              <a16:creationId xmlns:a16="http://schemas.microsoft.com/office/drawing/2014/main" id="{35748306-6A16-44AF-B1B2-884F143DF263}"/>
            </a:ext>
          </a:extLst>
        </xdr:cNvPr>
        <xdr:cNvSpPr>
          <a:spLocks noChangeAspect="1"/>
        </xdr:cNvSpPr>
      </xdr:nvSpPr>
      <xdr:spPr>
        <a:xfrm>
          <a:off x="368999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69</xdr:row>
      <xdr:rowOff>42450</xdr:rowOff>
    </xdr:from>
    <xdr:to>
      <xdr:col>57</xdr:col>
      <xdr:colOff>322201</xdr:colOff>
      <xdr:row>70</xdr:row>
      <xdr:rowOff>15001</xdr:rowOff>
    </xdr:to>
    <xdr:sp macro="" textlink="">
      <xdr:nvSpPr>
        <xdr:cNvPr id="246994" name="フリーフォーム: 図形 246993">
          <a:extLst>
            <a:ext uri="{FF2B5EF4-FFF2-40B4-BE49-F238E27FC236}">
              <a16:creationId xmlns:a16="http://schemas.microsoft.com/office/drawing/2014/main" id="{70AEEEF9-BE78-4E8E-97D9-056F982639A2}"/>
            </a:ext>
          </a:extLst>
        </xdr:cNvPr>
        <xdr:cNvSpPr>
          <a:spLocks noChangeAspect="1"/>
        </xdr:cNvSpPr>
      </xdr:nvSpPr>
      <xdr:spPr>
        <a:xfrm>
          <a:off x="389448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69</xdr:row>
      <xdr:rowOff>42450</xdr:rowOff>
    </xdr:from>
    <xdr:to>
      <xdr:col>58</xdr:col>
      <xdr:colOff>176400</xdr:colOff>
      <xdr:row>70</xdr:row>
      <xdr:rowOff>15001</xdr:rowOff>
    </xdr:to>
    <xdr:sp macro="" textlink="">
      <xdr:nvSpPr>
        <xdr:cNvPr id="246995" name="フリーフォーム: 図形 246994">
          <a:extLst>
            <a:ext uri="{FF2B5EF4-FFF2-40B4-BE49-F238E27FC236}">
              <a16:creationId xmlns:a16="http://schemas.microsoft.com/office/drawing/2014/main" id="{C614723D-0642-4E3C-95E8-083439DCBCCD}"/>
            </a:ext>
          </a:extLst>
        </xdr:cNvPr>
        <xdr:cNvSpPr>
          <a:spLocks noChangeAspect="1"/>
        </xdr:cNvSpPr>
      </xdr:nvSpPr>
      <xdr:spPr>
        <a:xfrm>
          <a:off x="394847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69</xdr:row>
      <xdr:rowOff>114450</xdr:rowOff>
    </xdr:from>
    <xdr:to>
      <xdr:col>58</xdr:col>
      <xdr:colOff>248401</xdr:colOff>
      <xdr:row>75</xdr:row>
      <xdr:rowOff>21752</xdr:rowOff>
    </xdr:to>
    <xdr:sp macro="" textlink="">
      <xdr:nvSpPr>
        <xdr:cNvPr id="246996" name="フリーフォーム: 図形 246995">
          <a:extLst>
            <a:ext uri="{FF2B5EF4-FFF2-40B4-BE49-F238E27FC236}">
              <a16:creationId xmlns:a16="http://schemas.microsoft.com/office/drawing/2014/main" id="{6EE9E8BE-4933-4FD5-8CA0-2F236CFEEE9A}"/>
            </a:ext>
          </a:extLst>
        </xdr:cNvPr>
        <xdr:cNvSpPr>
          <a:spLocks noChangeAspect="1"/>
        </xdr:cNvSpPr>
      </xdr:nvSpPr>
      <xdr:spPr>
        <a:xfrm>
          <a:off x="397367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75</xdr:row>
      <xdr:rowOff>75750</xdr:rowOff>
    </xdr:from>
    <xdr:to>
      <xdr:col>58</xdr:col>
      <xdr:colOff>68400</xdr:colOff>
      <xdr:row>80</xdr:row>
      <xdr:rowOff>136501</xdr:rowOff>
    </xdr:to>
    <xdr:sp macro="" textlink="">
      <xdr:nvSpPr>
        <xdr:cNvPr id="246997" name="フリーフォーム: 図形 246996">
          <a:extLst>
            <a:ext uri="{FF2B5EF4-FFF2-40B4-BE49-F238E27FC236}">
              <a16:creationId xmlns:a16="http://schemas.microsoft.com/office/drawing/2014/main" id="{67FECBE2-C94A-4360-B175-81240E8E94E9}"/>
            </a:ext>
          </a:extLst>
        </xdr:cNvPr>
        <xdr:cNvSpPr>
          <a:spLocks noChangeAspect="1"/>
        </xdr:cNvSpPr>
      </xdr:nvSpPr>
      <xdr:spPr>
        <a:xfrm>
          <a:off x="395568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80</xdr:row>
      <xdr:rowOff>64500</xdr:rowOff>
    </xdr:from>
    <xdr:to>
      <xdr:col>56</xdr:col>
      <xdr:colOff>684000</xdr:colOff>
      <xdr:row>81</xdr:row>
      <xdr:rowOff>37051</xdr:rowOff>
    </xdr:to>
    <xdr:sp macro="" textlink="">
      <xdr:nvSpPr>
        <xdr:cNvPr id="246998" name="フリーフォーム: 図形 246997">
          <a:extLst>
            <a:ext uri="{FF2B5EF4-FFF2-40B4-BE49-F238E27FC236}">
              <a16:creationId xmlns:a16="http://schemas.microsoft.com/office/drawing/2014/main" id="{B68A9405-A239-404D-A0B4-79C57E9BFCF3}"/>
            </a:ext>
          </a:extLst>
        </xdr:cNvPr>
        <xdr:cNvSpPr>
          <a:spLocks noChangeAspect="1"/>
        </xdr:cNvSpPr>
      </xdr:nvSpPr>
      <xdr:spPr>
        <a:xfrm>
          <a:off x="386028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80</xdr:row>
      <xdr:rowOff>64500</xdr:rowOff>
    </xdr:from>
    <xdr:to>
      <xdr:col>57</xdr:col>
      <xdr:colOff>502200</xdr:colOff>
      <xdr:row>81</xdr:row>
      <xdr:rowOff>37051</xdr:rowOff>
    </xdr:to>
    <xdr:sp macro="" textlink="">
      <xdr:nvSpPr>
        <xdr:cNvPr id="246999" name="フリーフォーム: 図形 246998">
          <a:extLst>
            <a:ext uri="{FF2B5EF4-FFF2-40B4-BE49-F238E27FC236}">
              <a16:creationId xmlns:a16="http://schemas.microsoft.com/office/drawing/2014/main" id="{73AAB6B5-D44B-4989-952D-9DABAE5CA741}"/>
            </a:ext>
          </a:extLst>
        </xdr:cNvPr>
        <xdr:cNvSpPr>
          <a:spLocks noChangeAspect="1"/>
        </xdr:cNvSpPr>
      </xdr:nvSpPr>
      <xdr:spPr>
        <a:xfrm>
          <a:off x="391247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75</xdr:row>
      <xdr:rowOff>75750</xdr:rowOff>
    </xdr:from>
    <xdr:to>
      <xdr:col>56</xdr:col>
      <xdr:colOff>432003</xdr:colOff>
      <xdr:row>80</xdr:row>
      <xdr:rowOff>136501</xdr:rowOff>
    </xdr:to>
    <xdr:sp macro="" textlink="">
      <xdr:nvSpPr>
        <xdr:cNvPr id="247000" name="フリーフォーム: 図形 246999">
          <a:extLst>
            <a:ext uri="{FF2B5EF4-FFF2-40B4-BE49-F238E27FC236}">
              <a16:creationId xmlns:a16="http://schemas.microsoft.com/office/drawing/2014/main" id="{8A212E26-67B5-4B4A-B259-441DC1EB5982}"/>
            </a:ext>
          </a:extLst>
        </xdr:cNvPr>
        <xdr:cNvSpPr>
          <a:spLocks noChangeAspect="1"/>
        </xdr:cNvSpPr>
      </xdr:nvSpPr>
      <xdr:spPr>
        <a:xfrm>
          <a:off x="385488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69</xdr:row>
      <xdr:rowOff>114450</xdr:rowOff>
    </xdr:from>
    <xdr:to>
      <xdr:col>56</xdr:col>
      <xdr:colOff>576000</xdr:colOff>
      <xdr:row>75</xdr:row>
      <xdr:rowOff>21752</xdr:rowOff>
    </xdr:to>
    <xdr:sp macro="" textlink="">
      <xdr:nvSpPr>
        <xdr:cNvPr id="247001" name="フリーフォーム: 図形 247000">
          <a:extLst>
            <a:ext uri="{FF2B5EF4-FFF2-40B4-BE49-F238E27FC236}">
              <a16:creationId xmlns:a16="http://schemas.microsoft.com/office/drawing/2014/main" id="{80E8F253-BD64-4172-B1C0-CF6E7DD8CA18}"/>
            </a:ext>
          </a:extLst>
        </xdr:cNvPr>
        <xdr:cNvSpPr>
          <a:spLocks noChangeAspect="1"/>
        </xdr:cNvSpPr>
      </xdr:nvSpPr>
      <xdr:spPr>
        <a:xfrm>
          <a:off x="387287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74</xdr:row>
      <xdr:rowOff>139199</xdr:rowOff>
    </xdr:from>
    <xdr:to>
      <xdr:col>57</xdr:col>
      <xdr:colOff>160202</xdr:colOff>
      <xdr:row>75</xdr:row>
      <xdr:rowOff>111751</xdr:rowOff>
    </xdr:to>
    <xdr:sp macro="" textlink="">
      <xdr:nvSpPr>
        <xdr:cNvPr id="247002" name="フリーフォーム: 図形 247001">
          <a:extLst>
            <a:ext uri="{FF2B5EF4-FFF2-40B4-BE49-F238E27FC236}">
              <a16:creationId xmlns:a16="http://schemas.microsoft.com/office/drawing/2014/main" id="{853C9797-DE8E-4955-9853-EEE5DC9601B0}"/>
            </a:ext>
          </a:extLst>
        </xdr:cNvPr>
        <xdr:cNvSpPr>
          <a:spLocks noChangeAspect="1"/>
        </xdr:cNvSpPr>
      </xdr:nvSpPr>
      <xdr:spPr>
        <a:xfrm>
          <a:off x="388008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74</xdr:row>
      <xdr:rowOff>139199</xdr:rowOff>
    </xdr:from>
    <xdr:to>
      <xdr:col>57</xdr:col>
      <xdr:colOff>664202</xdr:colOff>
      <xdr:row>75</xdr:row>
      <xdr:rowOff>111751</xdr:rowOff>
    </xdr:to>
    <xdr:sp macro="" textlink="">
      <xdr:nvSpPr>
        <xdr:cNvPr id="247003" name="フリーフォーム: 図形 247002">
          <a:extLst>
            <a:ext uri="{FF2B5EF4-FFF2-40B4-BE49-F238E27FC236}">
              <a16:creationId xmlns:a16="http://schemas.microsoft.com/office/drawing/2014/main" id="{9F90A391-8D1D-4BAE-AE43-860492C5775E}"/>
            </a:ext>
          </a:extLst>
        </xdr:cNvPr>
        <xdr:cNvSpPr>
          <a:spLocks noChangeAspect="1"/>
        </xdr:cNvSpPr>
      </xdr:nvSpPr>
      <xdr:spPr>
        <a:xfrm>
          <a:off x="393048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70</xdr:row>
      <xdr:rowOff>51000</xdr:rowOff>
    </xdr:from>
    <xdr:to>
      <xdr:col>57</xdr:col>
      <xdr:colOff>178201</xdr:colOff>
      <xdr:row>75</xdr:row>
      <xdr:rowOff>3751</xdr:rowOff>
    </xdr:to>
    <xdr:sp macro="" textlink="">
      <xdr:nvSpPr>
        <xdr:cNvPr id="247004" name="フリーフォーム: 図形 247003">
          <a:extLst>
            <a:ext uri="{FF2B5EF4-FFF2-40B4-BE49-F238E27FC236}">
              <a16:creationId xmlns:a16="http://schemas.microsoft.com/office/drawing/2014/main" id="{35335982-DE51-4482-950A-8DF168EF8818}"/>
            </a:ext>
          </a:extLst>
        </xdr:cNvPr>
        <xdr:cNvSpPr>
          <a:spLocks noChangeAspect="1"/>
        </xdr:cNvSpPr>
      </xdr:nvSpPr>
      <xdr:spPr>
        <a:xfrm>
          <a:off x="389988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69</xdr:row>
      <xdr:rowOff>114450</xdr:rowOff>
    </xdr:from>
    <xdr:to>
      <xdr:col>57</xdr:col>
      <xdr:colOff>430201</xdr:colOff>
      <xdr:row>74</xdr:row>
      <xdr:rowOff>157201</xdr:rowOff>
    </xdr:to>
    <xdr:sp macro="" textlink="">
      <xdr:nvSpPr>
        <xdr:cNvPr id="247005" name="フリーフォーム: 図形 247004">
          <a:extLst>
            <a:ext uri="{FF2B5EF4-FFF2-40B4-BE49-F238E27FC236}">
              <a16:creationId xmlns:a16="http://schemas.microsoft.com/office/drawing/2014/main" id="{6A5F9402-0341-4E34-BF07-D370A18FB49A}"/>
            </a:ext>
          </a:extLst>
        </xdr:cNvPr>
        <xdr:cNvSpPr>
          <a:spLocks noChangeAspect="1"/>
        </xdr:cNvSpPr>
      </xdr:nvSpPr>
      <xdr:spPr>
        <a:xfrm>
          <a:off x="392688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70</xdr:row>
      <xdr:rowOff>69000</xdr:rowOff>
    </xdr:from>
    <xdr:to>
      <xdr:col>58</xdr:col>
      <xdr:colOff>68400</xdr:colOff>
      <xdr:row>75</xdr:row>
      <xdr:rowOff>3751</xdr:rowOff>
    </xdr:to>
    <xdr:sp macro="" textlink="">
      <xdr:nvSpPr>
        <xdr:cNvPr id="247006" name="フリーフォーム: 図形 247005">
          <a:extLst>
            <a:ext uri="{FF2B5EF4-FFF2-40B4-BE49-F238E27FC236}">
              <a16:creationId xmlns:a16="http://schemas.microsoft.com/office/drawing/2014/main" id="{65F66B58-E981-45DC-9D5A-E69C19CF95C0}"/>
            </a:ext>
          </a:extLst>
        </xdr:cNvPr>
        <xdr:cNvSpPr>
          <a:spLocks noChangeAspect="1"/>
        </xdr:cNvSpPr>
      </xdr:nvSpPr>
      <xdr:spPr>
        <a:xfrm>
          <a:off x="393228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75</xdr:row>
      <xdr:rowOff>75750</xdr:rowOff>
    </xdr:from>
    <xdr:to>
      <xdr:col>57</xdr:col>
      <xdr:colOff>466202</xdr:colOff>
      <xdr:row>79</xdr:row>
      <xdr:rowOff>163951</xdr:rowOff>
    </xdr:to>
    <xdr:sp macro="" textlink="">
      <xdr:nvSpPr>
        <xdr:cNvPr id="247007" name="フリーフォーム: 図形 247006">
          <a:extLst>
            <a:ext uri="{FF2B5EF4-FFF2-40B4-BE49-F238E27FC236}">
              <a16:creationId xmlns:a16="http://schemas.microsoft.com/office/drawing/2014/main" id="{42888D50-ABD9-4DB9-A000-6F14545B6D56}"/>
            </a:ext>
          </a:extLst>
        </xdr:cNvPr>
        <xdr:cNvSpPr>
          <a:spLocks noChangeAspect="1"/>
        </xdr:cNvSpPr>
      </xdr:nvSpPr>
      <xdr:spPr>
        <a:xfrm>
          <a:off x="392867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75</xdr:row>
      <xdr:rowOff>93749</xdr:rowOff>
    </xdr:from>
    <xdr:to>
      <xdr:col>57</xdr:col>
      <xdr:colOff>196200</xdr:colOff>
      <xdr:row>80</xdr:row>
      <xdr:rowOff>118501</xdr:rowOff>
    </xdr:to>
    <xdr:sp macro="" textlink="">
      <xdr:nvSpPr>
        <xdr:cNvPr id="247008" name="フリーフォーム: 図形 247007">
          <a:extLst>
            <a:ext uri="{FF2B5EF4-FFF2-40B4-BE49-F238E27FC236}">
              <a16:creationId xmlns:a16="http://schemas.microsoft.com/office/drawing/2014/main" id="{0566D8EE-B695-4833-A9E4-321863582D7E}"/>
            </a:ext>
          </a:extLst>
        </xdr:cNvPr>
        <xdr:cNvSpPr>
          <a:spLocks noChangeAspect="1"/>
        </xdr:cNvSpPr>
      </xdr:nvSpPr>
      <xdr:spPr>
        <a:xfrm>
          <a:off x="390528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75</xdr:row>
      <xdr:rowOff>75750</xdr:rowOff>
    </xdr:from>
    <xdr:to>
      <xdr:col>57</xdr:col>
      <xdr:colOff>160202</xdr:colOff>
      <xdr:row>80</xdr:row>
      <xdr:rowOff>10501</xdr:rowOff>
    </xdr:to>
    <xdr:sp macro="" textlink="">
      <xdr:nvSpPr>
        <xdr:cNvPr id="247009" name="フリーフォーム: 図形 247008">
          <a:extLst>
            <a:ext uri="{FF2B5EF4-FFF2-40B4-BE49-F238E27FC236}">
              <a16:creationId xmlns:a16="http://schemas.microsoft.com/office/drawing/2014/main" id="{E3FD7152-EE41-4C5E-8ADC-A5533CA4C750}"/>
            </a:ext>
          </a:extLst>
        </xdr:cNvPr>
        <xdr:cNvSpPr>
          <a:spLocks noChangeAspect="1"/>
        </xdr:cNvSpPr>
      </xdr:nvSpPr>
      <xdr:spPr>
        <a:xfrm>
          <a:off x="387287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69</xdr:row>
      <xdr:rowOff>42450</xdr:rowOff>
    </xdr:from>
    <xdr:to>
      <xdr:col>60</xdr:col>
      <xdr:colOff>93601</xdr:colOff>
      <xdr:row>70</xdr:row>
      <xdr:rowOff>15001</xdr:rowOff>
    </xdr:to>
    <xdr:sp macro="" textlink="">
      <xdr:nvSpPr>
        <xdr:cNvPr id="247010" name="フリーフォーム: 図形 247009">
          <a:extLst>
            <a:ext uri="{FF2B5EF4-FFF2-40B4-BE49-F238E27FC236}">
              <a16:creationId xmlns:a16="http://schemas.microsoft.com/office/drawing/2014/main" id="{D112EC50-6EEE-4602-BCA3-C055D6CF4559}"/>
            </a:ext>
          </a:extLst>
        </xdr:cNvPr>
        <xdr:cNvSpPr>
          <a:spLocks noChangeAspect="1"/>
        </xdr:cNvSpPr>
      </xdr:nvSpPr>
      <xdr:spPr>
        <a:xfrm>
          <a:off x="407736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69</xdr:row>
      <xdr:rowOff>42450</xdr:rowOff>
    </xdr:from>
    <xdr:to>
      <xdr:col>60</xdr:col>
      <xdr:colOff>633600</xdr:colOff>
      <xdr:row>70</xdr:row>
      <xdr:rowOff>15001</xdr:rowOff>
    </xdr:to>
    <xdr:sp macro="" textlink="">
      <xdr:nvSpPr>
        <xdr:cNvPr id="247011" name="フリーフォーム: 図形 247010">
          <a:extLst>
            <a:ext uri="{FF2B5EF4-FFF2-40B4-BE49-F238E27FC236}">
              <a16:creationId xmlns:a16="http://schemas.microsoft.com/office/drawing/2014/main" id="{0D70EE2E-21A5-4F60-A42D-0DC1FD059849}"/>
            </a:ext>
          </a:extLst>
        </xdr:cNvPr>
        <xdr:cNvSpPr>
          <a:spLocks noChangeAspect="1"/>
        </xdr:cNvSpPr>
      </xdr:nvSpPr>
      <xdr:spPr>
        <a:xfrm>
          <a:off x="413135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69</xdr:row>
      <xdr:rowOff>114450</xdr:rowOff>
    </xdr:from>
    <xdr:to>
      <xdr:col>61</xdr:col>
      <xdr:colOff>19801</xdr:colOff>
      <xdr:row>75</xdr:row>
      <xdr:rowOff>21752</xdr:rowOff>
    </xdr:to>
    <xdr:sp macro="" textlink="">
      <xdr:nvSpPr>
        <xdr:cNvPr id="247012" name="フリーフォーム: 図形 247011">
          <a:extLst>
            <a:ext uri="{FF2B5EF4-FFF2-40B4-BE49-F238E27FC236}">
              <a16:creationId xmlns:a16="http://schemas.microsoft.com/office/drawing/2014/main" id="{792F3C26-4ECE-460B-8C17-3344415712F6}"/>
            </a:ext>
          </a:extLst>
        </xdr:cNvPr>
        <xdr:cNvSpPr>
          <a:spLocks noChangeAspect="1"/>
        </xdr:cNvSpPr>
      </xdr:nvSpPr>
      <xdr:spPr>
        <a:xfrm>
          <a:off x="415655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75</xdr:row>
      <xdr:rowOff>75750</xdr:rowOff>
    </xdr:from>
    <xdr:to>
      <xdr:col>60</xdr:col>
      <xdr:colOff>525600</xdr:colOff>
      <xdr:row>80</xdr:row>
      <xdr:rowOff>136501</xdr:rowOff>
    </xdr:to>
    <xdr:sp macro="" textlink="">
      <xdr:nvSpPr>
        <xdr:cNvPr id="247013" name="フリーフォーム: 図形 247012">
          <a:extLst>
            <a:ext uri="{FF2B5EF4-FFF2-40B4-BE49-F238E27FC236}">
              <a16:creationId xmlns:a16="http://schemas.microsoft.com/office/drawing/2014/main" id="{42376589-4EB5-4FB7-9EE1-28C20F30BFA9}"/>
            </a:ext>
          </a:extLst>
        </xdr:cNvPr>
        <xdr:cNvSpPr>
          <a:spLocks noChangeAspect="1"/>
        </xdr:cNvSpPr>
      </xdr:nvSpPr>
      <xdr:spPr>
        <a:xfrm>
          <a:off x="413856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80</xdr:row>
      <xdr:rowOff>64500</xdr:rowOff>
    </xdr:from>
    <xdr:to>
      <xdr:col>59</xdr:col>
      <xdr:colOff>455400</xdr:colOff>
      <xdr:row>81</xdr:row>
      <xdr:rowOff>37051</xdr:rowOff>
    </xdr:to>
    <xdr:sp macro="" textlink="">
      <xdr:nvSpPr>
        <xdr:cNvPr id="247014" name="フリーフォーム: 図形 247013">
          <a:extLst>
            <a:ext uri="{FF2B5EF4-FFF2-40B4-BE49-F238E27FC236}">
              <a16:creationId xmlns:a16="http://schemas.microsoft.com/office/drawing/2014/main" id="{9CA96469-A8C2-4D3D-8837-1DB0BD2B0EA2}"/>
            </a:ext>
          </a:extLst>
        </xdr:cNvPr>
        <xdr:cNvSpPr>
          <a:spLocks noChangeAspect="1"/>
        </xdr:cNvSpPr>
      </xdr:nvSpPr>
      <xdr:spPr>
        <a:xfrm>
          <a:off x="404316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80</xdr:row>
      <xdr:rowOff>64500</xdr:rowOff>
    </xdr:from>
    <xdr:to>
      <xdr:col>60</xdr:col>
      <xdr:colOff>273600</xdr:colOff>
      <xdr:row>81</xdr:row>
      <xdr:rowOff>37051</xdr:rowOff>
    </xdr:to>
    <xdr:sp macro="" textlink="">
      <xdr:nvSpPr>
        <xdr:cNvPr id="247015" name="フリーフォーム: 図形 247014">
          <a:extLst>
            <a:ext uri="{FF2B5EF4-FFF2-40B4-BE49-F238E27FC236}">
              <a16:creationId xmlns:a16="http://schemas.microsoft.com/office/drawing/2014/main" id="{49DD8C75-B137-49FA-B242-FB54B79A9189}"/>
            </a:ext>
          </a:extLst>
        </xdr:cNvPr>
        <xdr:cNvSpPr>
          <a:spLocks noChangeAspect="1"/>
        </xdr:cNvSpPr>
      </xdr:nvSpPr>
      <xdr:spPr>
        <a:xfrm>
          <a:off x="409535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75</xdr:row>
      <xdr:rowOff>75750</xdr:rowOff>
    </xdr:from>
    <xdr:to>
      <xdr:col>59</xdr:col>
      <xdr:colOff>203403</xdr:colOff>
      <xdr:row>80</xdr:row>
      <xdr:rowOff>136501</xdr:rowOff>
    </xdr:to>
    <xdr:sp macro="" textlink="">
      <xdr:nvSpPr>
        <xdr:cNvPr id="247016" name="フリーフォーム: 図形 247015">
          <a:extLst>
            <a:ext uri="{FF2B5EF4-FFF2-40B4-BE49-F238E27FC236}">
              <a16:creationId xmlns:a16="http://schemas.microsoft.com/office/drawing/2014/main" id="{53800BC4-6DDC-4DEB-B531-01DE2D2ED641}"/>
            </a:ext>
          </a:extLst>
        </xdr:cNvPr>
        <xdr:cNvSpPr>
          <a:spLocks noChangeAspect="1"/>
        </xdr:cNvSpPr>
      </xdr:nvSpPr>
      <xdr:spPr>
        <a:xfrm>
          <a:off x="403776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69</xdr:row>
      <xdr:rowOff>114450</xdr:rowOff>
    </xdr:from>
    <xdr:to>
      <xdr:col>59</xdr:col>
      <xdr:colOff>347400</xdr:colOff>
      <xdr:row>75</xdr:row>
      <xdr:rowOff>21752</xdr:rowOff>
    </xdr:to>
    <xdr:sp macro="" textlink="">
      <xdr:nvSpPr>
        <xdr:cNvPr id="247017" name="フリーフォーム: 図形 247016">
          <a:extLst>
            <a:ext uri="{FF2B5EF4-FFF2-40B4-BE49-F238E27FC236}">
              <a16:creationId xmlns:a16="http://schemas.microsoft.com/office/drawing/2014/main" id="{D29DE9F0-B80C-42C3-B22B-C2A2AA3068EF}"/>
            </a:ext>
          </a:extLst>
        </xdr:cNvPr>
        <xdr:cNvSpPr>
          <a:spLocks noChangeAspect="1"/>
        </xdr:cNvSpPr>
      </xdr:nvSpPr>
      <xdr:spPr>
        <a:xfrm>
          <a:off x="405575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74</xdr:row>
      <xdr:rowOff>139199</xdr:rowOff>
    </xdr:from>
    <xdr:to>
      <xdr:col>59</xdr:col>
      <xdr:colOff>617402</xdr:colOff>
      <xdr:row>75</xdr:row>
      <xdr:rowOff>111751</xdr:rowOff>
    </xdr:to>
    <xdr:sp macro="" textlink="">
      <xdr:nvSpPr>
        <xdr:cNvPr id="247018" name="フリーフォーム: 図形 247017">
          <a:extLst>
            <a:ext uri="{FF2B5EF4-FFF2-40B4-BE49-F238E27FC236}">
              <a16:creationId xmlns:a16="http://schemas.microsoft.com/office/drawing/2014/main" id="{08D68AEB-3725-466C-8168-866A0FEB6013}"/>
            </a:ext>
          </a:extLst>
        </xdr:cNvPr>
        <xdr:cNvSpPr>
          <a:spLocks noChangeAspect="1"/>
        </xdr:cNvSpPr>
      </xdr:nvSpPr>
      <xdr:spPr>
        <a:xfrm>
          <a:off x="406296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74</xdr:row>
      <xdr:rowOff>139199</xdr:rowOff>
    </xdr:from>
    <xdr:to>
      <xdr:col>60</xdr:col>
      <xdr:colOff>435602</xdr:colOff>
      <xdr:row>75</xdr:row>
      <xdr:rowOff>111751</xdr:rowOff>
    </xdr:to>
    <xdr:sp macro="" textlink="">
      <xdr:nvSpPr>
        <xdr:cNvPr id="247019" name="フリーフォーム: 図形 247018">
          <a:extLst>
            <a:ext uri="{FF2B5EF4-FFF2-40B4-BE49-F238E27FC236}">
              <a16:creationId xmlns:a16="http://schemas.microsoft.com/office/drawing/2014/main" id="{785A6372-6A3A-40F8-9B5C-932C7A99EBCF}"/>
            </a:ext>
          </a:extLst>
        </xdr:cNvPr>
        <xdr:cNvSpPr>
          <a:spLocks noChangeAspect="1"/>
        </xdr:cNvSpPr>
      </xdr:nvSpPr>
      <xdr:spPr>
        <a:xfrm>
          <a:off x="411336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70</xdr:row>
      <xdr:rowOff>51000</xdr:rowOff>
    </xdr:from>
    <xdr:to>
      <xdr:col>59</xdr:col>
      <xdr:colOff>635401</xdr:colOff>
      <xdr:row>75</xdr:row>
      <xdr:rowOff>3751</xdr:rowOff>
    </xdr:to>
    <xdr:sp macro="" textlink="">
      <xdr:nvSpPr>
        <xdr:cNvPr id="247020" name="フリーフォーム: 図形 247019">
          <a:extLst>
            <a:ext uri="{FF2B5EF4-FFF2-40B4-BE49-F238E27FC236}">
              <a16:creationId xmlns:a16="http://schemas.microsoft.com/office/drawing/2014/main" id="{54881627-63D5-40B1-90F2-E88EEF74BEF2}"/>
            </a:ext>
          </a:extLst>
        </xdr:cNvPr>
        <xdr:cNvSpPr>
          <a:spLocks noChangeAspect="1"/>
        </xdr:cNvSpPr>
      </xdr:nvSpPr>
      <xdr:spPr>
        <a:xfrm>
          <a:off x="408276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69</xdr:row>
      <xdr:rowOff>114450</xdr:rowOff>
    </xdr:from>
    <xdr:to>
      <xdr:col>60</xdr:col>
      <xdr:colOff>201601</xdr:colOff>
      <xdr:row>74</xdr:row>
      <xdr:rowOff>157201</xdr:rowOff>
    </xdr:to>
    <xdr:sp macro="" textlink="">
      <xdr:nvSpPr>
        <xdr:cNvPr id="247021" name="フリーフォーム: 図形 247020">
          <a:extLst>
            <a:ext uri="{FF2B5EF4-FFF2-40B4-BE49-F238E27FC236}">
              <a16:creationId xmlns:a16="http://schemas.microsoft.com/office/drawing/2014/main" id="{77A3D41F-F5BF-4E39-8FA7-5F27FAA6C179}"/>
            </a:ext>
          </a:extLst>
        </xdr:cNvPr>
        <xdr:cNvSpPr>
          <a:spLocks noChangeAspect="1"/>
        </xdr:cNvSpPr>
      </xdr:nvSpPr>
      <xdr:spPr>
        <a:xfrm>
          <a:off x="410976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70</xdr:row>
      <xdr:rowOff>69000</xdr:rowOff>
    </xdr:from>
    <xdr:to>
      <xdr:col>60</xdr:col>
      <xdr:colOff>525600</xdr:colOff>
      <xdr:row>75</xdr:row>
      <xdr:rowOff>3751</xdr:rowOff>
    </xdr:to>
    <xdr:sp macro="" textlink="">
      <xdr:nvSpPr>
        <xdr:cNvPr id="247022" name="フリーフォーム: 図形 247021">
          <a:extLst>
            <a:ext uri="{FF2B5EF4-FFF2-40B4-BE49-F238E27FC236}">
              <a16:creationId xmlns:a16="http://schemas.microsoft.com/office/drawing/2014/main" id="{762D8E0E-EE44-4490-BB4B-83E0A1E3A977}"/>
            </a:ext>
          </a:extLst>
        </xdr:cNvPr>
        <xdr:cNvSpPr>
          <a:spLocks noChangeAspect="1"/>
        </xdr:cNvSpPr>
      </xdr:nvSpPr>
      <xdr:spPr>
        <a:xfrm>
          <a:off x="411516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75</xdr:row>
      <xdr:rowOff>75750</xdr:rowOff>
    </xdr:from>
    <xdr:to>
      <xdr:col>60</xdr:col>
      <xdr:colOff>237602</xdr:colOff>
      <xdr:row>79</xdr:row>
      <xdr:rowOff>163951</xdr:rowOff>
    </xdr:to>
    <xdr:sp macro="" textlink="">
      <xdr:nvSpPr>
        <xdr:cNvPr id="247023" name="フリーフォーム: 図形 247022">
          <a:extLst>
            <a:ext uri="{FF2B5EF4-FFF2-40B4-BE49-F238E27FC236}">
              <a16:creationId xmlns:a16="http://schemas.microsoft.com/office/drawing/2014/main" id="{9BB19663-A341-458D-8C11-6BA24415ADEA}"/>
            </a:ext>
          </a:extLst>
        </xdr:cNvPr>
        <xdr:cNvSpPr>
          <a:spLocks noChangeAspect="1"/>
        </xdr:cNvSpPr>
      </xdr:nvSpPr>
      <xdr:spPr>
        <a:xfrm>
          <a:off x="411155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75</xdr:row>
      <xdr:rowOff>93749</xdr:rowOff>
    </xdr:from>
    <xdr:to>
      <xdr:col>59</xdr:col>
      <xdr:colOff>653400</xdr:colOff>
      <xdr:row>80</xdr:row>
      <xdr:rowOff>118501</xdr:rowOff>
    </xdr:to>
    <xdr:sp macro="" textlink="">
      <xdr:nvSpPr>
        <xdr:cNvPr id="247024" name="フリーフォーム: 図形 247023">
          <a:extLst>
            <a:ext uri="{FF2B5EF4-FFF2-40B4-BE49-F238E27FC236}">
              <a16:creationId xmlns:a16="http://schemas.microsoft.com/office/drawing/2014/main" id="{4AF56238-6648-4162-A406-4DFBCC6FDB25}"/>
            </a:ext>
          </a:extLst>
        </xdr:cNvPr>
        <xdr:cNvSpPr>
          <a:spLocks noChangeAspect="1"/>
        </xdr:cNvSpPr>
      </xdr:nvSpPr>
      <xdr:spPr>
        <a:xfrm>
          <a:off x="408816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75</xdr:row>
      <xdr:rowOff>75750</xdr:rowOff>
    </xdr:from>
    <xdr:to>
      <xdr:col>59</xdr:col>
      <xdr:colOff>617402</xdr:colOff>
      <xdr:row>80</xdr:row>
      <xdr:rowOff>10501</xdr:rowOff>
    </xdr:to>
    <xdr:sp macro="" textlink="">
      <xdr:nvSpPr>
        <xdr:cNvPr id="247025" name="フリーフォーム: 図形 247024">
          <a:extLst>
            <a:ext uri="{FF2B5EF4-FFF2-40B4-BE49-F238E27FC236}">
              <a16:creationId xmlns:a16="http://schemas.microsoft.com/office/drawing/2014/main" id="{0626CD9C-A626-496A-99EA-55EAB9695BC1}"/>
            </a:ext>
          </a:extLst>
        </xdr:cNvPr>
        <xdr:cNvSpPr>
          <a:spLocks noChangeAspect="1"/>
        </xdr:cNvSpPr>
      </xdr:nvSpPr>
      <xdr:spPr>
        <a:xfrm>
          <a:off x="405575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69</xdr:row>
      <xdr:rowOff>42450</xdr:rowOff>
    </xdr:from>
    <xdr:to>
      <xdr:col>62</xdr:col>
      <xdr:colOff>550801</xdr:colOff>
      <xdr:row>70</xdr:row>
      <xdr:rowOff>15001</xdr:rowOff>
    </xdr:to>
    <xdr:sp macro="" textlink="">
      <xdr:nvSpPr>
        <xdr:cNvPr id="247026" name="フリーフォーム: 図形 247025">
          <a:extLst>
            <a:ext uri="{FF2B5EF4-FFF2-40B4-BE49-F238E27FC236}">
              <a16:creationId xmlns:a16="http://schemas.microsoft.com/office/drawing/2014/main" id="{73EB39E6-4EB8-412F-88F1-51FDA3C4CC35}"/>
            </a:ext>
          </a:extLst>
        </xdr:cNvPr>
        <xdr:cNvSpPr>
          <a:spLocks noChangeAspect="1"/>
        </xdr:cNvSpPr>
      </xdr:nvSpPr>
      <xdr:spPr>
        <a:xfrm>
          <a:off x="426024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69</xdr:row>
      <xdr:rowOff>42450</xdr:rowOff>
    </xdr:from>
    <xdr:to>
      <xdr:col>63</xdr:col>
      <xdr:colOff>405000</xdr:colOff>
      <xdr:row>70</xdr:row>
      <xdr:rowOff>15001</xdr:rowOff>
    </xdr:to>
    <xdr:sp macro="" textlink="">
      <xdr:nvSpPr>
        <xdr:cNvPr id="247027" name="フリーフォーム: 図形 247026">
          <a:extLst>
            <a:ext uri="{FF2B5EF4-FFF2-40B4-BE49-F238E27FC236}">
              <a16:creationId xmlns:a16="http://schemas.microsoft.com/office/drawing/2014/main" id="{93EC0D12-B787-4FDD-B72B-DA09DA28D064}"/>
            </a:ext>
          </a:extLst>
        </xdr:cNvPr>
        <xdr:cNvSpPr>
          <a:spLocks noChangeAspect="1"/>
        </xdr:cNvSpPr>
      </xdr:nvSpPr>
      <xdr:spPr>
        <a:xfrm>
          <a:off x="431423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69</xdr:row>
      <xdr:rowOff>114450</xdr:rowOff>
    </xdr:from>
    <xdr:to>
      <xdr:col>63</xdr:col>
      <xdr:colOff>477001</xdr:colOff>
      <xdr:row>75</xdr:row>
      <xdr:rowOff>21752</xdr:rowOff>
    </xdr:to>
    <xdr:sp macro="" textlink="">
      <xdr:nvSpPr>
        <xdr:cNvPr id="247028" name="フリーフォーム: 図形 247027">
          <a:extLst>
            <a:ext uri="{FF2B5EF4-FFF2-40B4-BE49-F238E27FC236}">
              <a16:creationId xmlns:a16="http://schemas.microsoft.com/office/drawing/2014/main" id="{8164B405-F131-4994-88DC-A15C7986EC4F}"/>
            </a:ext>
          </a:extLst>
        </xdr:cNvPr>
        <xdr:cNvSpPr>
          <a:spLocks noChangeAspect="1"/>
        </xdr:cNvSpPr>
      </xdr:nvSpPr>
      <xdr:spPr>
        <a:xfrm>
          <a:off x="433943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75</xdr:row>
      <xdr:rowOff>75750</xdr:rowOff>
    </xdr:from>
    <xdr:to>
      <xdr:col>63</xdr:col>
      <xdr:colOff>297000</xdr:colOff>
      <xdr:row>80</xdr:row>
      <xdr:rowOff>136501</xdr:rowOff>
    </xdr:to>
    <xdr:sp macro="" textlink="">
      <xdr:nvSpPr>
        <xdr:cNvPr id="247029" name="フリーフォーム: 図形 247028">
          <a:extLst>
            <a:ext uri="{FF2B5EF4-FFF2-40B4-BE49-F238E27FC236}">
              <a16:creationId xmlns:a16="http://schemas.microsoft.com/office/drawing/2014/main" id="{07E4DBA4-632A-45E7-A792-D1E4CA393EE9}"/>
            </a:ext>
          </a:extLst>
        </xdr:cNvPr>
        <xdr:cNvSpPr>
          <a:spLocks noChangeAspect="1"/>
        </xdr:cNvSpPr>
      </xdr:nvSpPr>
      <xdr:spPr>
        <a:xfrm>
          <a:off x="432144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80</xdr:row>
      <xdr:rowOff>64500</xdr:rowOff>
    </xdr:from>
    <xdr:to>
      <xdr:col>62</xdr:col>
      <xdr:colOff>226800</xdr:colOff>
      <xdr:row>81</xdr:row>
      <xdr:rowOff>37051</xdr:rowOff>
    </xdr:to>
    <xdr:sp macro="" textlink="">
      <xdr:nvSpPr>
        <xdr:cNvPr id="247030" name="フリーフォーム: 図形 247029">
          <a:extLst>
            <a:ext uri="{FF2B5EF4-FFF2-40B4-BE49-F238E27FC236}">
              <a16:creationId xmlns:a16="http://schemas.microsoft.com/office/drawing/2014/main" id="{04DAC0AB-F7B7-4105-8E5E-BA6A218A10C0}"/>
            </a:ext>
          </a:extLst>
        </xdr:cNvPr>
        <xdr:cNvSpPr>
          <a:spLocks noChangeAspect="1"/>
        </xdr:cNvSpPr>
      </xdr:nvSpPr>
      <xdr:spPr>
        <a:xfrm>
          <a:off x="422604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80</xdr:row>
      <xdr:rowOff>64500</xdr:rowOff>
    </xdr:from>
    <xdr:to>
      <xdr:col>63</xdr:col>
      <xdr:colOff>45000</xdr:colOff>
      <xdr:row>81</xdr:row>
      <xdr:rowOff>37051</xdr:rowOff>
    </xdr:to>
    <xdr:sp macro="" textlink="">
      <xdr:nvSpPr>
        <xdr:cNvPr id="247031" name="フリーフォーム: 図形 247030">
          <a:extLst>
            <a:ext uri="{FF2B5EF4-FFF2-40B4-BE49-F238E27FC236}">
              <a16:creationId xmlns:a16="http://schemas.microsoft.com/office/drawing/2014/main" id="{259BD17D-AB89-4B2F-8C7A-861DB954FB4F}"/>
            </a:ext>
          </a:extLst>
        </xdr:cNvPr>
        <xdr:cNvSpPr>
          <a:spLocks noChangeAspect="1"/>
        </xdr:cNvSpPr>
      </xdr:nvSpPr>
      <xdr:spPr>
        <a:xfrm>
          <a:off x="427823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75</xdr:row>
      <xdr:rowOff>75750</xdr:rowOff>
    </xdr:from>
    <xdr:to>
      <xdr:col>61</xdr:col>
      <xdr:colOff>660603</xdr:colOff>
      <xdr:row>80</xdr:row>
      <xdr:rowOff>136501</xdr:rowOff>
    </xdr:to>
    <xdr:sp macro="" textlink="">
      <xdr:nvSpPr>
        <xdr:cNvPr id="247032" name="フリーフォーム: 図形 247031">
          <a:extLst>
            <a:ext uri="{FF2B5EF4-FFF2-40B4-BE49-F238E27FC236}">
              <a16:creationId xmlns:a16="http://schemas.microsoft.com/office/drawing/2014/main" id="{D2BC6A85-2C37-4593-8E88-9E1EAEC1CA7C}"/>
            </a:ext>
          </a:extLst>
        </xdr:cNvPr>
        <xdr:cNvSpPr>
          <a:spLocks noChangeAspect="1"/>
        </xdr:cNvSpPr>
      </xdr:nvSpPr>
      <xdr:spPr>
        <a:xfrm>
          <a:off x="422064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69</xdr:row>
      <xdr:rowOff>114450</xdr:rowOff>
    </xdr:from>
    <xdr:to>
      <xdr:col>62</xdr:col>
      <xdr:colOff>118800</xdr:colOff>
      <xdr:row>75</xdr:row>
      <xdr:rowOff>21752</xdr:rowOff>
    </xdr:to>
    <xdr:sp macro="" textlink="">
      <xdr:nvSpPr>
        <xdr:cNvPr id="247033" name="フリーフォーム: 図形 247032">
          <a:extLst>
            <a:ext uri="{FF2B5EF4-FFF2-40B4-BE49-F238E27FC236}">
              <a16:creationId xmlns:a16="http://schemas.microsoft.com/office/drawing/2014/main" id="{2F6C7406-8A8A-405F-8994-E4054B4B9223}"/>
            </a:ext>
          </a:extLst>
        </xdr:cNvPr>
        <xdr:cNvSpPr>
          <a:spLocks noChangeAspect="1"/>
        </xdr:cNvSpPr>
      </xdr:nvSpPr>
      <xdr:spPr>
        <a:xfrm>
          <a:off x="423863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74</xdr:row>
      <xdr:rowOff>139199</xdr:rowOff>
    </xdr:from>
    <xdr:to>
      <xdr:col>62</xdr:col>
      <xdr:colOff>388802</xdr:colOff>
      <xdr:row>75</xdr:row>
      <xdr:rowOff>111751</xdr:rowOff>
    </xdr:to>
    <xdr:sp macro="" textlink="">
      <xdr:nvSpPr>
        <xdr:cNvPr id="247034" name="フリーフォーム: 図形 247033">
          <a:extLst>
            <a:ext uri="{FF2B5EF4-FFF2-40B4-BE49-F238E27FC236}">
              <a16:creationId xmlns:a16="http://schemas.microsoft.com/office/drawing/2014/main" id="{3757A331-37BE-41C8-84C8-CFC82108259A}"/>
            </a:ext>
          </a:extLst>
        </xdr:cNvPr>
        <xdr:cNvSpPr>
          <a:spLocks noChangeAspect="1"/>
        </xdr:cNvSpPr>
      </xdr:nvSpPr>
      <xdr:spPr>
        <a:xfrm>
          <a:off x="424584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74</xdr:row>
      <xdr:rowOff>139199</xdr:rowOff>
    </xdr:from>
    <xdr:to>
      <xdr:col>63</xdr:col>
      <xdr:colOff>207002</xdr:colOff>
      <xdr:row>75</xdr:row>
      <xdr:rowOff>111751</xdr:rowOff>
    </xdr:to>
    <xdr:sp macro="" textlink="">
      <xdr:nvSpPr>
        <xdr:cNvPr id="247035" name="フリーフォーム: 図形 247034">
          <a:extLst>
            <a:ext uri="{FF2B5EF4-FFF2-40B4-BE49-F238E27FC236}">
              <a16:creationId xmlns:a16="http://schemas.microsoft.com/office/drawing/2014/main" id="{8E3D56A1-A6B2-48DB-AB0E-B27BC2FA8CD8}"/>
            </a:ext>
          </a:extLst>
        </xdr:cNvPr>
        <xdr:cNvSpPr>
          <a:spLocks noChangeAspect="1"/>
        </xdr:cNvSpPr>
      </xdr:nvSpPr>
      <xdr:spPr>
        <a:xfrm>
          <a:off x="429624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70</xdr:row>
      <xdr:rowOff>51000</xdr:rowOff>
    </xdr:from>
    <xdr:to>
      <xdr:col>62</xdr:col>
      <xdr:colOff>406801</xdr:colOff>
      <xdr:row>75</xdr:row>
      <xdr:rowOff>3751</xdr:rowOff>
    </xdr:to>
    <xdr:sp macro="" textlink="">
      <xdr:nvSpPr>
        <xdr:cNvPr id="247036" name="フリーフォーム: 図形 247035">
          <a:extLst>
            <a:ext uri="{FF2B5EF4-FFF2-40B4-BE49-F238E27FC236}">
              <a16:creationId xmlns:a16="http://schemas.microsoft.com/office/drawing/2014/main" id="{75ED0D29-FB13-4202-9BDF-C8458835E2C0}"/>
            </a:ext>
          </a:extLst>
        </xdr:cNvPr>
        <xdr:cNvSpPr>
          <a:spLocks noChangeAspect="1"/>
        </xdr:cNvSpPr>
      </xdr:nvSpPr>
      <xdr:spPr>
        <a:xfrm>
          <a:off x="426564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69</xdr:row>
      <xdr:rowOff>114450</xdr:rowOff>
    </xdr:from>
    <xdr:to>
      <xdr:col>62</xdr:col>
      <xdr:colOff>658801</xdr:colOff>
      <xdr:row>74</xdr:row>
      <xdr:rowOff>157201</xdr:rowOff>
    </xdr:to>
    <xdr:sp macro="" textlink="">
      <xdr:nvSpPr>
        <xdr:cNvPr id="247037" name="フリーフォーム: 図形 247036">
          <a:extLst>
            <a:ext uri="{FF2B5EF4-FFF2-40B4-BE49-F238E27FC236}">
              <a16:creationId xmlns:a16="http://schemas.microsoft.com/office/drawing/2014/main" id="{C85F56B0-412C-41D0-A46F-160867414E3C}"/>
            </a:ext>
          </a:extLst>
        </xdr:cNvPr>
        <xdr:cNvSpPr>
          <a:spLocks noChangeAspect="1"/>
        </xdr:cNvSpPr>
      </xdr:nvSpPr>
      <xdr:spPr>
        <a:xfrm>
          <a:off x="429264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70</xdr:row>
      <xdr:rowOff>69000</xdr:rowOff>
    </xdr:from>
    <xdr:to>
      <xdr:col>63</xdr:col>
      <xdr:colOff>297000</xdr:colOff>
      <xdr:row>75</xdr:row>
      <xdr:rowOff>3751</xdr:rowOff>
    </xdr:to>
    <xdr:sp macro="" textlink="">
      <xdr:nvSpPr>
        <xdr:cNvPr id="247038" name="フリーフォーム: 図形 247037">
          <a:extLst>
            <a:ext uri="{FF2B5EF4-FFF2-40B4-BE49-F238E27FC236}">
              <a16:creationId xmlns:a16="http://schemas.microsoft.com/office/drawing/2014/main" id="{A3F3D665-F17B-451A-B7DA-EA62B364CB1B}"/>
            </a:ext>
          </a:extLst>
        </xdr:cNvPr>
        <xdr:cNvSpPr>
          <a:spLocks noChangeAspect="1"/>
        </xdr:cNvSpPr>
      </xdr:nvSpPr>
      <xdr:spPr>
        <a:xfrm>
          <a:off x="429804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75</xdr:row>
      <xdr:rowOff>75750</xdr:rowOff>
    </xdr:from>
    <xdr:to>
      <xdr:col>63</xdr:col>
      <xdr:colOff>9002</xdr:colOff>
      <xdr:row>79</xdr:row>
      <xdr:rowOff>163951</xdr:rowOff>
    </xdr:to>
    <xdr:sp macro="" textlink="">
      <xdr:nvSpPr>
        <xdr:cNvPr id="247039" name="フリーフォーム: 図形 247038">
          <a:extLst>
            <a:ext uri="{FF2B5EF4-FFF2-40B4-BE49-F238E27FC236}">
              <a16:creationId xmlns:a16="http://schemas.microsoft.com/office/drawing/2014/main" id="{FB87031E-2442-4E3D-A457-53B2F4B16F94}"/>
            </a:ext>
          </a:extLst>
        </xdr:cNvPr>
        <xdr:cNvSpPr>
          <a:spLocks noChangeAspect="1"/>
        </xdr:cNvSpPr>
      </xdr:nvSpPr>
      <xdr:spPr>
        <a:xfrm>
          <a:off x="429443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75</xdr:row>
      <xdr:rowOff>93749</xdr:rowOff>
    </xdr:from>
    <xdr:to>
      <xdr:col>62</xdr:col>
      <xdr:colOff>424800</xdr:colOff>
      <xdr:row>80</xdr:row>
      <xdr:rowOff>118501</xdr:rowOff>
    </xdr:to>
    <xdr:sp macro="" textlink="">
      <xdr:nvSpPr>
        <xdr:cNvPr id="247040" name="フリーフォーム: 図形 247039">
          <a:extLst>
            <a:ext uri="{FF2B5EF4-FFF2-40B4-BE49-F238E27FC236}">
              <a16:creationId xmlns:a16="http://schemas.microsoft.com/office/drawing/2014/main" id="{0DB201F8-E5FE-4DE9-AFE5-8A4522999E65}"/>
            </a:ext>
          </a:extLst>
        </xdr:cNvPr>
        <xdr:cNvSpPr>
          <a:spLocks noChangeAspect="1"/>
        </xdr:cNvSpPr>
      </xdr:nvSpPr>
      <xdr:spPr>
        <a:xfrm>
          <a:off x="427104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75</xdr:row>
      <xdr:rowOff>75750</xdr:rowOff>
    </xdr:from>
    <xdr:to>
      <xdr:col>62</xdr:col>
      <xdr:colOff>388802</xdr:colOff>
      <xdr:row>80</xdr:row>
      <xdr:rowOff>10501</xdr:rowOff>
    </xdr:to>
    <xdr:sp macro="" textlink="">
      <xdr:nvSpPr>
        <xdr:cNvPr id="247041" name="フリーフォーム: 図形 247040">
          <a:extLst>
            <a:ext uri="{FF2B5EF4-FFF2-40B4-BE49-F238E27FC236}">
              <a16:creationId xmlns:a16="http://schemas.microsoft.com/office/drawing/2014/main" id="{3F82371E-098D-4858-8E6B-DDC20E113EF7}"/>
            </a:ext>
          </a:extLst>
        </xdr:cNvPr>
        <xdr:cNvSpPr>
          <a:spLocks noChangeAspect="1"/>
        </xdr:cNvSpPr>
      </xdr:nvSpPr>
      <xdr:spPr>
        <a:xfrm>
          <a:off x="423863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69</xdr:row>
      <xdr:rowOff>42450</xdr:rowOff>
    </xdr:from>
    <xdr:to>
      <xdr:col>65</xdr:col>
      <xdr:colOff>322201</xdr:colOff>
      <xdr:row>70</xdr:row>
      <xdr:rowOff>15001</xdr:rowOff>
    </xdr:to>
    <xdr:sp macro="" textlink="">
      <xdr:nvSpPr>
        <xdr:cNvPr id="247042" name="フリーフォーム: 図形 247041">
          <a:extLst>
            <a:ext uri="{FF2B5EF4-FFF2-40B4-BE49-F238E27FC236}">
              <a16:creationId xmlns:a16="http://schemas.microsoft.com/office/drawing/2014/main" id="{A057257F-3415-4C55-B2F9-6FB1268F0F1B}"/>
            </a:ext>
          </a:extLst>
        </xdr:cNvPr>
        <xdr:cNvSpPr>
          <a:spLocks noChangeAspect="1"/>
        </xdr:cNvSpPr>
      </xdr:nvSpPr>
      <xdr:spPr>
        <a:xfrm>
          <a:off x="444312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69</xdr:row>
      <xdr:rowOff>42450</xdr:rowOff>
    </xdr:from>
    <xdr:to>
      <xdr:col>66</xdr:col>
      <xdr:colOff>176400</xdr:colOff>
      <xdr:row>70</xdr:row>
      <xdr:rowOff>15001</xdr:rowOff>
    </xdr:to>
    <xdr:sp macro="" textlink="">
      <xdr:nvSpPr>
        <xdr:cNvPr id="247043" name="フリーフォーム: 図形 247042">
          <a:extLst>
            <a:ext uri="{FF2B5EF4-FFF2-40B4-BE49-F238E27FC236}">
              <a16:creationId xmlns:a16="http://schemas.microsoft.com/office/drawing/2014/main" id="{034265E5-6A93-45AE-9F2D-15E0839F84E4}"/>
            </a:ext>
          </a:extLst>
        </xdr:cNvPr>
        <xdr:cNvSpPr>
          <a:spLocks noChangeAspect="1"/>
        </xdr:cNvSpPr>
      </xdr:nvSpPr>
      <xdr:spPr>
        <a:xfrm>
          <a:off x="449711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69</xdr:row>
      <xdr:rowOff>114450</xdr:rowOff>
    </xdr:from>
    <xdr:to>
      <xdr:col>66</xdr:col>
      <xdr:colOff>248401</xdr:colOff>
      <xdr:row>75</xdr:row>
      <xdr:rowOff>21752</xdr:rowOff>
    </xdr:to>
    <xdr:sp macro="" textlink="">
      <xdr:nvSpPr>
        <xdr:cNvPr id="247044" name="フリーフォーム: 図形 247043">
          <a:extLst>
            <a:ext uri="{FF2B5EF4-FFF2-40B4-BE49-F238E27FC236}">
              <a16:creationId xmlns:a16="http://schemas.microsoft.com/office/drawing/2014/main" id="{58E8EE5B-A1A5-4842-96F5-9154CB032E4E}"/>
            </a:ext>
          </a:extLst>
        </xdr:cNvPr>
        <xdr:cNvSpPr>
          <a:spLocks noChangeAspect="1"/>
        </xdr:cNvSpPr>
      </xdr:nvSpPr>
      <xdr:spPr>
        <a:xfrm>
          <a:off x="452231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75</xdr:row>
      <xdr:rowOff>75750</xdr:rowOff>
    </xdr:from>
    <xdr:to>
      <xdr:col>66</xdr:col>
      <xdr:colOff>68400</xdr:colOff>
      <xdr:row>80</xdr:row>
      <xdr:rowOff>136501</xdr:rowOff>
    </xdr:to>
    <xdr:sp macro="" textlink="">
      <xdr:nvSpPr>
        <xdr:cNvPr id="247045" name="フリーフォーム: 図形 247044">
          <a:extLst>
            <a:ext uri="{FF2B5EF4-FFF2-40B4-BE49-F238E27FC236}">
              <a16:creationId xmlns:a16="http://schemas.microsoft.com/office/drawing/2014/main" id="{03F9284E-BEBC-4CA3-AB51-6ECC3C15E790}"/>
            </a:ext>
          </a:extLst>
        </xdr:cNvPr>
        <xdr:cNvSpPr>
          <a:spLocks noChangeAspect="1"/>
        </xdr:cNvSpPr>
      </xdr:nvSpPr>
      <xdr:spPr>
        <a:xfrm>
          <a:off x="450432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80</xdr:row>
      <xdr:rowOff>64500</xdr:rowOff>
    </xdr:from>
    <xdr:to>
      <xdr:col>64</xdr:col>
      <xdr:colOff>684000</xdr:colOff>
      <xdr:row>81</xdr:row>
      <xdr:rowOff>37051</xdr:rowOff>
    </xdr:to>
    <xdr:sp macro="" textlink="">
      <xdr:nvSpPr>
        <xdr:cNvPr id="247046" name="フリーフォーム: 図形 247045">
          <a:extLst>
            <a:ext uri="{FF2B5EF4-FFF2-40B4-BE49-F238E27FC236}">
              <a16:creationId xmlns:a16="http://schemas.microsoft.com/office/drawing/2014/main" id="{202C33A5-967E-462A-B0FF-9DC02C34DFD9}"/>
            </a:ext>
          </a:extLst>
        </xdr:cNvPr>
        <xdr:cNvSpPr>
          <a:spLocks noChangeAspect="1"/>
        </xdr:cNvSpPr>
      </xdr:nvSpPr>
      <xdr:spPr>
        <a:xfrm>
          <a:off x="440892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80</xdr:row>
      <xdr:rowOff>64500</xdr:rowOff>
    </xdr:from>
    <xdr:to>
      <xdr:col>65</xdr:col>
      <xdr:colOff>502200</xdr:colOff>
      <xdr:row>81</xdr:row>
      <xdr:rowOff>37051</xdr:rowOff>
    </xdr:to>
    <xdr:sp macro="" textlink="">
      <xdr:nvSpPr>
        <xdr:cNvPr id="247047" name="フリーフォーム: 図形 247046">
          <a:extLst>
            <a:ext uri="{FF2B5EF4-FFF2-40B4-BE49-F238E27FC236}">
              <a16:creationId xmlns:a16="http://schemas.microsoft.com/office/drawing/2014/main" id="{FC65A44F-098E-49A3-B188-F7A1603F9C9D}"/>
            </a:ext>
          </a:extLst>
        </xdr:cNvPr>
        <xdr:cNvSpPr>
          <a:spLocks noChangeAspect="1"/>
        </xdr:cNvSpPr>
      </xdr:nvSpPr>
      <xdr:spPr>
        <a:xfrm>
          <a:off x="446111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75</xdr:row>
      <xdr:rowOff>75750</xdr:rowOff>
    </xdr:from>
    <xdr:to>
      <xdr:col>64</xdr:col>
      <xdr:colOff>432003</xdr:colOff>
      <xdr:row>80</xdr:row>
      <xdr:rowOff>136501</xdr:rowOff>
    </xdr:to>
    <xdr:sp macro="" textlink="">
      <xdr:nvSpPr>
        <xdr:cNvPr id="247048" name="フリーフォーム: 図形 247047">
          <a:extLst>
            <a:ext uri="{FF2B5EF4-FFF2-40B4-BE49-F238E27FC236}">
              <a16:creationId xmlns:a16="http://schemas.microsoft.com/office/drawing/2014/main" id="{BBC1A187-2071-406A-BE65-795A1DF6891F}"/>
            </a:ext>
          </a:extLst>
        </xdr:cNvPr>
        <xdr:cNvSpPr>
          <a:spLocks noChangeAspect="1"/>
        </xdr:cNvSpPr>
      </xdr:nvSpPr>
      <xdr:spPr>
        <a:xfrm>
          <a:off x="440352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69</xdr:row>
      <xdr:rowOff>114450</xdr:rowOff>
    </xdr:from>
    <xdr:to>
      <xdr:col>64</xdr:col>
      <xdr:colOff>576000</xdr:colOff>
      <xdr:row>75</xdr:row>
      <xdr:rowOff>21752</xdr:rowOff>
    </xdr:to>
    <xdr:sp macro="" textlink="">
      <xdr:nvSpPr>
        <xdr:cNvPr id="247049" name="フリーフォーム: 図形 247048">
          <a:extLst>
            <a:ext uri="{FF2B5EF4-FFF2-40B4-BE49-F238E27FC236}">
              <a16:creationId xmlns:a16="http://schemas.microsoft.com/office/drawing/2014/main" id="{FA7EFCE5-B8DF-4A29-9CBD-E85FF0029C3E}"/>
            </a:ext>
          </a:extLst>
        </xdr:cNvPr>
        <xdr:cNvSpPr>
          <a:spLocks noChangeAspect="1"/>
        </xdr:cNvSpPr>
      </xdr:nvSpPr>
      <xdr:spPr>
        <a:xfrm>
          <a:off x="442151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74</xdr:row>
      <xdr:rowOff>139199</xdr:rowOff>
    </xdr:from>
    <xdr:to>
      <xdr:col>65</xdr:col>
      <xdr:colOff>160202</xdr:colOff>
      <xdr:row>75</xdr:row>
      <xdr:rowOff>111751</xdr:rowOff>
    </xdr:to>
    <xdr:sp macro="" textlink="">
      <xdr:nvSpPr>
        <xdr:cNvPr id="247050" name="フリーフォーム: 図形 247049">
          <a:extLst>
            <a:ext uri="{FF2B5EF4-FFF2-40B4-BE49-F238E27FC236}">
              <a16:creationId xmlns:a16="http://schemas.microsoft.com/office/drawing/2014/main" id="{1DE18A15-962B-481D-911F-69FD87FD85C4}"/>
            </a:ext>
          </a:extLst>
        </xdr:cNvPr>
        <xdr:cNvSpPr>
          <a:spLocks noChangeAspect="1"/>
        </xdr:cNvSpPr>
      </xdr:nvSpPr>
      <xdr:spPr>
        <a:xfrm>
          <a:off x="442872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74</xdr:row>
      <xdr:rowOff>139199</xdr:rowOff>
    </xdr:from>
    <xdr:to>
      <xdr:col>65</xdr:col>
      <xdr:colOff>664202</xdr:colOff>
      <xdr:row>75</xdr:row>
      <xdr:rowOff>111751</xdr:rowOff>
    </xdr:to>
    <xdr:sp macro="" textlink="">
      <xdr:nvSpPr>
        <xdr:cNvPr id="247051" name="フリーフォーム: 図形 247050">
          <a:extLst>
            <a:ext uri="{FF2B5EF4-FFF2-40B4-BE49-F238E27FC236}">
              <a16:creationId xmlns:a16="http://schemas.microsoft.com/office/drawing/2014/main" id="{72DA6B29-B248-4FB5-8D67-48FD958585C9}"/>
            </a:ext>
          </a:extLst>
        </xdr:cNvPr>
        <xdr:cNvSpPr>
          <a:spLocks noChangeAspect="1"/>
        </xdr:cNvSpPr>
      </xdr:nvSpPr>
      <xdr:spPr>
        <a:xfrm>
          <a:off x="447912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70</xdr:row>
      <xdr:rowOff>51000</xdr:rowOff>
    </xdr:from>
    <xdr:to>
      <xdr:col>65</xdr:col>
      <xdr:colOff>178201</xdr:colOff>
      <xdr:row>75</xdr:row>
      <xdr:rowOff>3751</xdr:rowOff>
    </xdr:to>
    <xdr:sp macro="" textlink="">
      <xdr:nvSpPr>
        <xdr:cNvPr id="247052" name="フリーフォーム: 図形 247051">
          <a:extLst>
            <a:ext uri="{FF2B5EF4-FFF2-40B4-BE49-F238E27FC236}">
              <a16:creationId xmlns:a16="http://schemas.microsoft.com/office/drawing/2014/main" id="{68782FC4-07D1-4AD0-96B6-D86EB39B8B10}"/>
            </a:ext>
          </a:extLst>
        </xdr:cNvPr>
        <xdr:cNvSpPr>
          <a:spLocks noChangeAspect="1"/>
        </xdr:cNvSpPr>
      </xdr:nvSpPr>
      <xdr:spPr>
        <a:xfrm>
          <a:off x="444852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69</xdr:row>
      <xdr:rowOff>114450</xdr:rowOff>
    </xdr:from>
    <xdr:to>
      <xdr:col>65</xdr:col>
      <xdr:colOff>430201</xdr:colOff>
      <xdr:row>74</xdr:row>
      <xdr:rowOff>157201</xdr:rowOff>
    </xdr:to>
    <xdr:sp macro="" textlink="">
      <xdr:nvSpPr>
        <xdr:cNvPr id="247053" name="フリーフォーム: 図形 247052">
          <a:extLst>
            <a:ext uri="{FF2B5EF4-FFF2-40B4-BE49-F238E27FC236}">
              <a16:creationId xmlns:a16="http://schemas.microsoft.com/office/drawing/2014/main" id="{02B68746-089D-43C8-A9B3-70D1119D4380}"/>
            </a:ext>
          </a:extLst>
        </xdr:cNvPr>
        <xdr:cNvSpPr>
          <a:spLocks noChangeAspect="1"/>
        </xdr:cNvSpPr>
      </xdr:nvSpPr>
      <xdr:spPr>
        <a:xfrm>
          <a:off x="447552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70</xdr:row>
      <xdr:rowOff>69000</xdr:rowOff>
    </xdr:from>
    <xdr:to>
      <xdr:col>66</xdr:col>
      <xdr:colOff>68400</xdr:colOff>
      <xdr:row>75</xdr:row>
      <xdr:rowOff>3751</xdr:rowOff>
    </xdr:to>
    <xdr:sp macro="" textlink="">
      <xdr:nvSpPr>
        <xdr:cNvPr id="247054" name="フリーフォーム: 図形 247053">
          <a:extLst>
            <a:ext uri="{FF2B5EF4-FFF2-40B4-BE49-F238E27FC236}">
              <a16:creationId xmlns:a16="http://schemas.microsoft.com/office/drawing/2014/main" id="{CFC85D04-0EAB-4B35-B7A6-1194B9F476D2}"/>
            </a:ext>
          </a:extLst>
        </xdr:cNvPr>
        <xdr:cNvSpPr>
          <a:spLocks noChangeAspect="1"/>
        </xdr:cNvSpPr>
      </xdr:nvSpPr>
      <xdr:spPr>
        <a:xfrm>
          <a:off x="448092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75</xdr:row>
      <xdr:rowOff>75750</xdr:rowOff>
    </xdr:from>
    <xdr:to>
      <xdr:col>65</xdr:col>
      <xdr:colOff>466202</xdr:colOff>
      <xdr:row>79</xdr:row>
      <xdr:rowOff>163951</xdr:rowOff>
    </xdr:to>
    <xdr:sp macro="" textlink="">
      <xdr:nvSpPr>
        <xdr:cNvPr id="247055" name="フリーフォーム: 図形 247054">
          <a:extLst>
            <a:ext uri="{FF2B5EF4-FFF2-40B4-BE49-F238E27FC236}">
              <a16:creationId xmlns:a16="http://schemas.microsoft.com/office/drawing/2014/main" id="{F2C7293E-74EE-433C-A2C9-1BA10216B53D}"/>
            </a:ext>
          </a:extLst>
        </xdr:cNvPr>
        <xdr:cNvSpPr>
          <a:spLocks noChangeAspect="1"/>
        </xdr:cNvSpPr>
      </xdr:nvSpPr>
      <xdr:spPr>
        <a:xfrm>
          <a:off x="447731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75</xdr:row>
      <xdr:rowOff>93749</xdr:rowOff>
    </xdr:from>
    <xdr:to>
      <xdr:col>65</xdr:col>
      <xdr:colOff>196200</xdr:colOff>
      <xdr:row>80</xdr:row>
      <xdr:rowOff>118501</xdr:rowOff>
    </xdr:to>
    <xdr:sp macro="" textlink="">
      <xdr:nvSpPr>
        <xdr:cNvPr id="247056" name="フリーフォーム: 図形 247055">
          <a:extLst>
            <a:ext uri="{FF2B5EF4-FFF2-40B4-BE49-F238E27FC236}">
              <a16:creationId xmlns:a16="http://schemas.microsoft.com/office/drawing/2014/main" id="{67C79A4B-9EC4-4A3C-A7CC-0A6567FB4122}"/>
            </a:ext>
          </a:extLst>
        </xdr:cNvPr>
        <xdr:cNvSpPr>
          <a:spLocks noChangeAspect="1"/>
        </xdr:cNvSpPr>
      </xdr:nvSpPr>
      <xdr:spPr>
        <a:xfrm>
          <a:off x="445392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75</xdr:row>
      <xdr:rowOff>75750</xdr:rowOff>
    </xdr:from>
    <xdr:to>
      <xdr:col>65</xdr:col>
      <xdr:colOff>160202</xdr:colOff>
      <xdr:row>80</xdr:row>
      <xdr:rowOff>10501</xdr:rowOff>
    </xdr:to>
    <xdr:sp macro="" textlink="">
      <xdr:nvSpPr>
        <xdr:cNvPr id="247057" name="フリーフォーム: 図形 247056">
          <a:extLst>
            <a:ext uri="{FF2B5EF4-FFF2-40B4-BE49-F238E27FC236}">
              <a16:creationId xmlns:a16="http://schemas.microsoft.com/office/drawing/2014/main" id="{5D5783A8-D606-428B-ABB7-4B52DD88F511}"/>
            </a:ext>
          </a:extLst>
        </xdr:cNvPr>
        <xdr:cNvSpPr>
          <a:spLocks noChangeAspect="1"/>
        </xdr:cNvSpPr>
      </xdr:nvSpPr>
      <xdr:spPr>
        <a:xfrm>
          <a:off x="442151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69</xdr:row>
      <xdr:rowOff>42450</xdr:rowOff>
    </xdr:from>
    <xdr:to>
      <xdr:col>68</xdr:col>
      <xdr:colOff>93601</xdr:colOff>
      <xdr:row>70</xdr:row>
      <xdr:rowOff>15001</xdr:rowOff>
    </xdr:to>
    <xdr:sp macro="" textlink="">
      <xdr:nvSpPr>
        <xdr:cNvPr id="247058" name="フリーフォーム: 図形 247057">
          <a:extLst>
            <a:ext uri="{FF2B5EF4-FFF2-40B4-BE49-F238E27FC236}">
              <a16:creationId xmlns:a16="http://schemas.microsoft.com/office/drawing/2014/main" id="{56BE3C75-EA7E-466D-A5C4-F5B456DBC694}"/>
            </a:ext>
          </a:extLst>
        </xdr:cNvPr>
        <xdr:cNvSpPr>
          <a:spLocks noChangeAspect="1"/>
        </xdr:cNvSpPr>
      </xdr:nvSpPr>
      <xdr:spPr>
        <a:xfrm>
          <a:off x="462600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69</xdr:row>
      <xdr:rowOff>42450</xdr:rowOff>
    </xdr:from>
    <xdr:to>
      <xdr:col>68</xdr:col>
      <xdr:colOff>633600</xdr:colOff>
      <xdr:row>70</xdr:row>
      <xdr:rowOff>15001</xdr:rowOff>
    </xdr:to>
    <xdr:sp macro="" textlink="">
      <xdr:nvSpPr>
        <xdr:cNvPr id="247059" name="フリーフォーム: 図形 247058">
          <a:extLst>
            <a:ext uri="{FF2B5EF4-FFF2-40B4-BE49-F238E27FC236}">
              <a16:creationId xmlns:a16="http://schemas.microsoft.com/office/drawing/2014/main" id="{486B7CA8-042E-4F53-9B38-E3F3A431379A}"/>
            </a:ext>
          </a:extLst>
        </xdr:cNvPr>
        <xdr:cNvSpPr>
          <a:spLocks noChangeAspect="1"/>
        </xdr:cNvSpPr>
      </xdr:nvSpPr>
      <xdr:spPr>
        <a:xfrm>
          <a:off x="467999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69</xdr:row>
      <xdr:rowOff>114450</xdr:rowOff>
    </xdr:from>
    <xdr:to>
      <xdr:col>69</xdr:col>
      <xdr:colOff>19801</xdr:colOff>
      <xdr:row>75</xdr:row>
      <xdr:rowOff>21752</xdr:rowOff>
    </xdr:to>
    <xdr:sp macro="" textlink="">
      <xdr:nvSpPr>
        <xdr:cNvPr id="247060" name="フリーフォーム: 図形 247059">
          <a:extLst>
            <a:ext uri="{FF2B5EF4-FFF2-40B4-BE49-F238E27FC236}">
              <a16:creationId xmlns:a16="http://schemas.microsoft.com/office/drawing/2014/main" id="{85F7406F-DF59-48EF-8DC1-B64E62C619C4}"/>
            </a:ext>
          </a:extLst>
        </xdr:cNvPr>
        <xdr:cNvSpPr>
          <a:spLocks noChangeAspect="1"/>
        </xdr:cNvSpPr>
      </xdr:nvSpPr>
      <xdr:spPr>
        <a:xfrm>
          <a:off x="470519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75</xdr:row>
      <xdr:rowOff>75750</xdr:rowOff>
    </xdr:from>
    <xdr:to>
      <xdr:col>68</xdr:col>
      <xdr:colOff>525600</xdr:colOff>
      <xdr:row>80</xdr:row>
      <xdr:rowOff>136501</xdr:rowOff>
    </xdr:to>
    <xdr:sp macro="" textlink="">
      <xdr:nvSpPr>
        <xdr:cNvPr id="247061" name="フリーフォーム: 図形 247060">
          <a:extLst>
            <a:ext uri="{FF2B5EF4-FFF2-40B4-BE49-F238E27FC236}">
              <a16:creationId xmlns:a16="http://schemas.microsoft.com/office/drawing/2014/main" id="{048270E6-6BDE-4F7F-B3D4-3C4C512C2B44}"/>
            </a:ext>
          </a:extLst>
        </xdr:cNvPr>
        <xdr:cNvSpPr>
          <a:spLocks noChangeAspect="1"/>
        </xdr:cNvSpPr>
      </xdr:nvSpPr>
      <xdr:spPr>
        <a:xfrm>
          <a:off x="468720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80</xdr:row>
      <xdr:rowOff>64500</xdr:rowOff>
    </xdr:from>
    <xdr:to>
      <xdr:col>67</xdr:col>
      <xdr:colOff>455400</xdr:colOff>
      <xdr:row>81</xdr:row>
      <xdr:rowOff>37051</xdr:rowOff>
    </xdr:to>
    <xdr:sp macro="" textlink="">
      <xdr:nvSpPr>
        <xdr:cNvPr id="247062" name="フリーフォーム: 図形 247061">
          <a:extLst>
            <a:ext uri="{FF2B5EF4-FFF2-40B4-BE49-F238E27FC236}">
              <a16:creationId xmlns:a16="http://schemas.microsoft.com/office/drawing/2014/main" id="{2079BB07-8C2D-489C-98FE-959B34871797}"/>
            </a:ext>
          </a:extLst>
        </xdr:cNvPr>
        <xdr:cNvSpPr>
          <a:spLocks noChangeAspect="1"/>
        </xdr:cNvSpPr>
      </xdr:nvSpPr>
      <xdr:spPr>
        <a:xfrm>
          <a:off x="459180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80</xdr:row>
      <xdr:rowOff>64500</xdr:rowOff>
    </xdr:from>
    <xdr:to>
      <xdr:col>68</xdr:col>
      <xdr:colOff>273600</xdr:colOff>
      <xdr:row>81</xdr:row>
      <xdr:rowOff>37051</xdr:rowOff>
    </xdr:to>
    <xdr:sp macro="" textlink="">
      <xdr:nvSpPr>
        <xdr:cNvPr id="247063" name="フリーフォーム: 図形 247062">
          <a:extLst>
            <a:ext uri="{FF2B5EF4-FFF2-40B4-BE49-F238E27FC236}">
              <a16:creationId xmlns:a16="http://schemas.microsoft.com/office/drawing/2014/main" id="{157DDAF0-E9AA-4620-B66D-B024DE4F6669}"/>
            </a:ext>
          </a:extLst>
        </xdr:cNvPr>
        <xdr:cNvSpPr>
          <a:spLocks noChangeAspect="1"/>
        </xdr:cNvSpPr>
      </xdr:nvSpPr>
      <xdr:spPr>
        <a:xfrm>
          <a:off x="464399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75</xdr:row>
      <xdr:rowOff>75750</xdr:rowOff>
    </xdr:from>
    <xdr:to>
      <xdr:col>67</xdr:col>
      <xdr:colOff>203403</xdr:colOff>
      <xdr:row>80</xdr:row>
      <xdr:rowOff>136501</xdr:rowOff>
    </xdr:to>
    <xdr:sp macro="" textlink="">
      <xdr:nvSpPr>
        <xdr:cNvPr id="247064" name="フリーフォーム: 図形 247063">
          <a:extLst>
            <a:ext uri="{FF2B5EF4-FFF2-40B4-BE49-F238E27FC236}">
              <a16:creationId xmlns:a16="http://schemas.microsoft.com/office/drawing/2014/main" id="{57A05542-91AC-4736-87D7-CC5A2ED29007}"/>
            </a:ext>
          </a:extLst>
        </xdr:cNvPr>
        <xdr:cNvSpPr>
          <a:spLocks noChangeAspect="1"/>
        </xdr:cNvSpPr>
      </xdr:nvSpPr>
      <xdr:spPr>
        <a:xfrm>
          <a:off x="458640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69</xdr:row>
      <xdr:rowOff>114450</xdr:rowOff>
    </xdr:from>
    <xdr:to>
      <xdr:col>67</xdr:col>
      <xdr:colOff>347400</xdr:colOff>
      <xdr:row>75</xdr:row>
      <xdr:rowOff>21752</xdr:rowOff>
    </xdr:to>
    <xdr:sp macro="" textlink="">
      <xdr:nvSpPr>
        <xdr:cNvPr id="247065" name="フリーフォーム: 図形 247064">
          <a:extLst>
            <a:ext uri="{FF2B5EF4-FFF2-40B4-BE49-F238E27FC236}">
              <a16:creationId xmlns:a16="http://schemas.microsoft.com/office/drawing/2014/main" id="{A94B5877-3864-40A7-B266-67270CB8B0EA}"/>
            </a:ext>
          </a:extLst>
        </xdr:cNvPr>
        <xdr:cNvSpPr>
          <a:spLocks noChangeAspect="1"/>
        </xdr:cNvSpPr>
      </xdr:nvSpPr>
      <xdr:spPr>
        <a:xfrm>
          <a:off x="460439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74</xdr:row>
      <xdr:rowOff>139199</xdr:rowOff>
    </xdr:from>
    <xdr:to>
      <xdr:col>67</xdr:col>
      <xdr:colOff>617402</xdr:colOff>
      <xdr:row>75</xdr:row>
      <xdr:rowOff>111751</xdr:rowOff>
    </xdr:to>
    <xdr:sp macro="" textlink="">
      <xdr:nvSpPr>
        <xdr:cNvPr id="247066" name="フリーフォーム: 図形 247065">
          <a:extLst>
            <a:ext uri="{FF2B5EF4-FFF2-40B4-BE49-F238E27FC236}">
              <a16:creationId xmlns:a16="http://schemas.microsoft.com/office/drawing/2014/main" id="{AC1FC844-263B-4CD8-908E-9B38EBD1C6E6}"/>
            </a:ext>
          </a:extLst>
        </xdr:cNvPr>
        <xdr:cNvSpPr>
          <a:spLocks noChangeAspect="1"/>
        </xdr:cNvSpPr>
      </xdr:nvSpPr>
      <xdr:spPr>
        <a:xfrm>
          <a:off x="461160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74</xdr:row>
      <xdr:rowOff>139199</xdr:rowOff>
    </xdr:from>
    <xdr:to>
      <xdr:col>68</xdr:col>
      <xdr:colOff>435602</xdr:colOff>
      <xdr:row>75</xdr:row>
      <xdr:rowOff>111751</xdr:rowOff>
    </xdr:to>
    <xdr:sp macro="" textlink="">
      <xdr:nvSpPr>
        <xdr:cNvPr id="247067" name="フリーフォーム: 図形 247066">
          <a:extLst>
            <a:ext uri="{FF2B5EF4-FFF2-40B4-BE49-F238E27FC236}">
              <a16:creationId xmlns:a16="http://schemas.microsoft.com/office/drawing/2014/main" id="{2EDE84F8-751B-4502-A85C-A56BB45DED30}"/>
            </a:ext>
          </a:extLst>
        </xdr:cNvPr>
        <xdr:cNvSpPr>
          <a:spLocks noChangeAspect="1"/>
        </xdr:cNvSpPr>
      </xdr:nvSpPr>
      <xdr:spPr>
        <a:xfrm>
          <a:off x="466200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70</xdr:row>
      <xdr:rowOff>51000</xdr:rowOff>
    </xdr:from>
    <xdr:to>
      <xdr:col>67</xdr:col>
      <xdr:colOff>635401</xdr:colOff>
      <xdr:row>75</xdr:row>
      <xdr:rowOff>3751</xdr:rowOff>
    </xdr:to>
    <xdr:sp macro="" textlink="">
      <xdr:nvSpPr>
        <xdr:cNvPr id="247068" name="フリーフォーム: 図形 247067">
          <a:extLst>
            <a:ext uri="{FF2B5EF4-FFF2-40B4-BE49-F238E27FC236}">
              <a16:creationId xmlns:a16="http://schemas.microsoft.com/office/drawing/2014/main" id="{73A5B76A-7A0B-4744-A7F4-D226CE950BD4}"/>
            </a:ext>
          </a:extLst>
        </xdr:cNvPr>
        <xdr:cNvSpPr>
          <a:spLocks noChangeAspect="1"/>
        </xdr:cNvSpPr>
      </xdr:nvSpPr>
      <xdr:spPr>
        <a:xfrm>
          <a:off x="463140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69</xdr:row>
      <xdr:rowOff>114450</xdr:rowOff>
    </xdr:from>
    <xdr:to>
      <xdr:col>68</xdr:col>
      <xdr:colOff>201601</xdr:colOff>
      <xdr:row>74</xdr:row>
      <xdr:rowOff>157201</xdr:rowOff>
    </xdr:to>
    <xdr:sp macro="" textlink="">
      <xdr:nvSpPr>
        <xdr:cNvPr id="247069" name="フリーフォーム: 図形 247068">
          <a:extLst>
            <a:ext uri="{FF2B5EF4-FFF2-40B4-BE49-F238E27FC236}">
              <a16:creationId xmlns:a16="http://schemas.microsoft.com/office/drawing/2014/main" id="{C5154659-7ADB-420C-B9C1-7B1EAAEA0BBD}"/>
            </a:ext>
          </a:extLst>
        </xdr:cNvPr>
        <xdr:cNvSpPr>
          <a:spLocks noChangeAspect="1"/>
        </xdr:cNvSpPr>
      </xdr:nvSpPr>
      <xdr:spPr>
        <a:xfrm>
          <a:off x="465840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70</xdr:row>
      <xdr:rowOff>69000</xdr:rowOff>
    </xdr:from>
    <xdr:to>
      <xdr:col>68</xdr:col>
      <xdr:colOff>525600</xdr:colOff>
      <xdr:row>75</xdr:row>
      <xdr:rowOff>3751</xdr:rowOff>
    </xdr:to>
    <xdr:sp macro="" textlink="">
      <xdr:nvSpPr>
        <xdr:cNvPr id="247070" name="フリーフォーム: 図形 247069">
          <a:extLst>
            <a:ext uri="{FF2B5EF4-FFF2-40B4-BE49-F238E27FC236}">
              <a16:creationId xmlns:a16="http://schemas.microsoft.com/office/drawing/2014/main" id="{ED5D2E86-0AB6-4A30-81EF-56C633CA7BDF}"/>
            </a:ext>
          </a:extLst>
        </xdr:cNvPr>
        <xdr:cNvSpPr>
          <a:spLocks noChangeAspect="1"/>
        </xdr:cNvSpPr>
      </xdr:nvSpPr>
      <xdr:spPr>
        <a:xfrm>
          <a:off x="466380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75</xdr:row>
      <xdr:rowOff>75750</xdr:rowOff>
    </xdr:from>
    <xdr:to>
      <xdr:col>68</xdr:col>
      <xdr:colOff>237602</xdr:colOff>
      <xdr:row>79</xdr:row>
      <xdr:rowOff>163951</xdr:rowOff>
    </xdr:to>
    <xdr:sp macro="" textlink="">
      <xdr:nvSpPr>
        <xdr:cNvPr id="247071" name="フリーフォーム: 図形 247070">
          <a:extLst>
            <a:ext uri="{FF2B5EF4-FFF2-40B4-BE49-F238E27FC236}">
              <a16:creationId xmlns:a16="http://schemas.microsoft.com/office/drawing/2014/main" id="{6B5B52D5-A77C-4E21-A824-628A610ED4AA}"/>
            </a:ext>
          </a:extLst>
        </xdr:cNvPr>
        <xdr:cNvSpPr>
          <a:spLocks noChangeAspect="1"/>
        </xdr:cNvSpPr>
      </xdr:nvSpPr>
      <xdr:spPr>
        <a:xfrm>
          <a:off x="466019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75</xdr:row>
      <xdr:rowOff>93749</xdr:rowOff>
    </xdr:from>
    <xdr:to>
      <xdr:col>67</xdr:col>
      <xdr:colOff>653400</xdr:colOff>
      <xdr:row>80</xdr:row>
      <xdr:rowOff>118501</xdr:rowOff>
    </xdr:to>
    <xdr:sp macro="" textlink="">
      <xdr:nvSpPr>
        <xdr:cNvPr id="247072" name="フリーフォーム: 図形 247071">
          <a:extLst>
            <a:ext uri="{FF2B5EF4-FFF2-40B4-BE49-F238E27FC236}">
              <a16:creationId xmlns:a16="http://schemas.microsoft.com/office/drawing/2014/main" id="{13C0A851-749A-4CFE-A4F7-9BF13754066D}"/>
            </a:ext>
          </a:extLst>
        </xdr:cNvPr>
        <xdr:cNvSpPr>
          <a:spLocks noChangeAspect="1"/>
        </xdr:cNvSpPr>
      </xdr:nvSpPr>
      <xdr:spPr>
        <a:xfrm>
          <a:off x="463680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75</xdr:row>
      <xdr:rowOff>75750</xdr:rowOff>
    </xdr:from>
    <xdr:to>
      <xdr:col>67</xdr:col>
      <xdr:colOff>617402</xdr:colOff>
      <xdr:row>80</xdr:row>
      <xdr:rowOff>10501</xdr:rowOff>
    </xdr:to>
    <xdr:sp macro="" textlink="">
      <xdr:nvSpPr>
        <xdr:cNvPr id="247073" name="フリーフォーム: 図形 247072">
          <a:extLst>
            <a:ext uri="{FF2B5EF4-FFF2-40B4-BE49-F238E27FC236}">
              <a16:creationId xmlns:a16="http://schemas.microsoft.com/office/drawing/2014/main" id="{07CFADE2-8B09-4348-AC81-D3D20E977824}"/>
            </a:ext>
          </a:extLst>
        </xdr:cNvPr>
        <xdr:cNvSpPr>
          <a:spLocks noChangeAspect="1"/>
        </xdr:cNvSpPr>
      </xdr:nvSpPr>
      <xdr:spPr>
        <a:xfrm>
          <a:off x="460439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69</xdr:row>
      <xdr:rowOff>42450</xdr:rowOff>
    </xdr:from>
    <xdr:to>
      <xdr:col>70</xdr:col>
      <xdr:colOff>550801</xdr:colOff>
      <xdr:row>70</xdr:row>
      <xdr:rowOff>15001</xdr:rowOff>
    </xdr:to>
    <xdr:sp macro="" textlink="">
      <xdr:nvSpPr>
        <xdr:cNvPr id="247074" name="フリーフォーム: 図形 247073">
          <a:extLst>
            <a:ext uri="{FF2B5EF4-FFF2-40B4-BE49-F238E27FC236}">
              <a16:creationId xmlns:a16="http://schemas.microsoft.com/office/drawing/2014/main" id="{C9EE96E4-8843-4AE1-B542-2386A2A7592C}"/>
            </a:ext>
          </a:extLst>
        </xdr:cNvPr>
        <xdr:cNvSpPr>
          <a:spLocks noChangeAspect="1"/>
        </xdr:cNvSpPr>
      </xdr:nvSpPr>
      <xdr:spPr>
        <a:xfrm>
          <a:off x="480888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69</xdr:row>
      <xdr:rowOff>42450</xdr:rowOff>
    </xdr:from>
    <xdr:to>
      <xdr:col>71</xdr:col>
      <xdr:colOff>405000</xdr:colOff>
      <xdr:row>70</xdr:row>
      <xdr:rowOff>15001</xdr:rowOff>
    </xdr:to>
    <xdr:sp macro="" textlink="">
      <xdr:nvSpPr>
        <xdr:cNvPr id="247075" name="フリーフォーム: 図形 247074">
          <a:extLst>
            <a:ext uri="{FF2B5EF4-FFF2-40B4-BE49-F238E27FC236}">
              <a16:creationId xmlns:a16="http://schemas.microsoft.com/office/drawing/2014/main" id="{7E7BA58B-4C97-41E3-B5AD-9C6E3CA339E5}"/>
            </a:ext>
          </a:extLst>
        </xdr:cNvPr>
        <xdr:cNvSpPr>
          <a:spLocks noChangeAspect="1"/>
        </xdr:cNvSpPr>
      </xdr:nvSpPr>
      <xdr:spPr>
        <a:xfrm>
          <a:off x="486287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69</xdr:row>
      <xdr:rowOff>114450</xdr:rowOff>
    </xdr:from>
    <xdr:to>
      <xdr:col>71</xdr:col>
      <xdr:colOff>477001</xdr:colOff>
      <xdr:row>75</xdr:row>
      <xdr:rowOff>21752</xdr:rowOff>
    </xdr:to>
    <xdr:sp macro="" textlink="">
      <xdr:nvSpPr>
        <xdr:cNvPr id="247076" name="フリーフォーム: 図形 247075">
          <a:extLst>
            <a:ext uri="{FF2B5EF4-FFF2-40B4-BE49-F238E27FC236}">
              <a16:creationId xmlns:a16="http://schemas.microsoft.com/office/drawing/2014/main" id="{25B054C2-5728-442A-968B-233BAF8CDE7A}"/>
            </a:ext>
          </a:extLst>
        </xdr:cNvPr>
        <xdr:cNvSpPr>
          <a:spLocks noChangeAspect="1"/>
        </xdr:cNvSpPr>
      </xdr:nvSpPr>
      <xdr:spPr>
        <a:xfrm>
          <a:off x="488807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75</xdr:row>
      <xdr:rowOff>75750</xdr:rowOff>
    </xdr:from>
    <xdr:to>
      <xdr:col>71</xdr:col>
      <xdr:colOff>297000</xdr:colOff>
      <xdr:row>80</xdr:row>
      <xdr:rowOff>136501</xdr:rowOff>
    </xdr:to>
    <xdr:sp macro="" textlink="">
      <xdr:nvSpPr>
        <xdr:cNvPr id="247077" name="フリーフォーム: 図形 247076">
          <a:extLst>
            <a:ext uri="{FF2B5EF4-FFF2-40B4-BE49-F238E27FC236}">
              <a16:creationId xmlns:a16="http://schemas.microsoft.com/office/drawing/2014/main" id="{D2EE5355-6A0F-4092-A55A-5D8CA5A9452F}"/>
            </a:ext>
          </a:extLst>
        </xdr:cNvPr>
        <xdr:cNvSpPr>
          <a:spLocks noChangeAspect="1"/>
        </xdr:cNvSpPr>
      </xdr:nvSpPr>
      <xdr:spPr>
        <a:xfrm>
          <a:off x="487008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80</xdr:row>
      <xdr:rowOff>64500</xdr:rowOff>
    </xdr:from>
    <xdr:to>
      <xdr:col>70</xdr:col>
      <xdr:colOff>226800</xdr:colOff>
      <xdr:row>81</xdr:row>
      <xdr:rowOff>37051</xdr:rowOff>
    </xdr:to>
    <xdr:sp macro="" textlink="">
      <xdr:nvSpPr>
        <xdr:cNvPr id="247078" name="フリーフォーム: 図形 247077">
          <a:extLst>
            <a:ext uri="{FF2B5EF4-FFF2-40B4-BE49-F238E27FC236}">
              <a16:creationId xmlns:a16="http://schemas.microsoft.com/office/drawing/2014/main" id="{47E6B53E-ACD9-45D2-A8EC-281C86DB5E70}"/>
            </a:ext>
          </a:extLst>
        </xdr:cNvPr>
        <xdr:cNvSpPr>
          <a:spLocks noChangeAspect="1"/>
        </xdr:cNvSpPr>
      </xdr:nvSpPr>
      <xdr:spPr>
        <a:xfrm>
          <a:off x="477468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80</xdr:row>
      <xdr:rowOff>64500</xdr:rowOff>
    </xdr:from>
    <xdr:to>
      <xdr:col>71</xdr:col>
      <xdr:colOff>45000</xdr:colOff>
      <xdr:row>81</xdr:row>
      <xdr:rowOff>37051</xdr:rowOff>
    </xdr:to>
    <xdr:sp macro="" textlink="">
      <xdr:nvSpPr>
        <xdr:cNvPr id="247079" name="フリーフォーム: 図形 247078">
          <a:extLst>
            <a:ext uri="{FF2B5EF4-FFF2-40B4-BE49-F238E27FC236}">
              <a16:creationId xmlns:a16="http://schemas.microsoft.com/office/drawing/2014/main" id="{27C72D0A-8752-42E5-95C4-1D8148807D90}"/>
            </a:ext>
          </a:extLst>
        </xdr:cNvPr>
        <xdr:cNvSpPr>
          <a:spLocks noChangeAspect="1"/>
        </xdr:cNvSpPr>
      </xdr:nvSpPr>
      <xdr:spPr>
        <a:xfrm>
          <a:off x="482687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75</xdr:row>
      <xdr:rowOff>75750</xdr:rowOff>
    </xdr:from>
    <xdr:to>
      <xdr:col>69</xdr:col>
      <xdr:colOff>660603</xdr:colOff>
      <xdr:row>80</xdr:row>
      <xdr:rowOff>136501</xdr:rowOff>
    </xdr:to>
    <xdr:sp macro="" textlink="">
      <xdr:nvSpPr>
        <xdr:cNvPr id="247080" name="フリーフォーム: 図形 247079">
          <a:extLst>
            <a:ext uri="{FF2B5EF4-FFF2-40B4-BE49-F238E27FC236}">
              <a16:creationId xmlns:a16="http://schemas.microsoft.com/office/drawing/2014/main" id="{A1BBD7F8-9553-4645-AEBF-935C3F7C64C3}"/>
            </a:ext>
          </a:extLst>
        </xdr:cNvPr>
        <xdr:cNvSpPr>
          <a:spLocks noChangeAspect="1"/>
        </xdr:cNvSpPr>
      </xdr:nvSpPr>
      <xdr:spPr>
        <a:xfrm>
          <a:off x="476928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69</xdr:row>
      <xdr:rowOff>114450</xdr:rowOff>
    </xdr:from>
    <xdr:to>
      <xdr:col>70</xdr:col>
      <xdr:colOff>118800</xdr:colOff>
      <xdr:row>75</xdr:row>
      <xdr:rowOff>21752</xdr:rowOff>
    </xdr:to>
    <xdr:sp macro="" textlink="">
      <xdr:nvSpPr>
        <xdr:cNvPr id="247081" name="フリーフォーム: 図形 247080">
          <a:extLst>
            <a:ext uri="{FF2B5EF4-FFF2-40B4-BE49-F238E27FC236}">
              <a16:creationId xmlns:a16="http://schemas.microsoft.com/office/drawing/2014/main" id="{CA4C688F-4037-45E9-B46C-7204B0A925DB}"/>
            </a:ext>
          </a:extLst>
        </xdr:cNvPr>
        <xdr:cNvSpPr>
          <a:spLocks noChangeAspect="1"/>
        </xdr:cNvSpPr>
      </xdr:nvSpPr>
      <xdr:spPr>
        <a:xfrm>
          <a:off x="478727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74</xdr:row>
      <xdr:rowOff>139199</xdr:rowOff>
    </xdr:from>
    <xdr:to>
      <xdr:col>70</xdr:col>
      <xdr:colOff>388802</xdr:colOff>
      <xdr:row>75</xdr:row>
      <xdr:rowOff>111751</xdr:rowOff>
    </xdr:to>
    <xdr:sp macro="" textlink="">
      <xdr:nvSpPr>
        <xdr:cNvPr id="247082" name="フリーフォーム: 図形 247081">
          <a:extLst>
            <a:ext uri="{FF2B5EF4-FFF2-40B4-BE49-F238E27FC236}">
              <a16:creationId xmlns:a16="http://schemas.microsoft.com/office/drawing/2014/main" id="{C0F683FB-56CF-4851-9CB5-7C184C1F70D9}"/>
            </a:ext>
          </a:extLst>
        </xdr:cNvPr>
        <xdr:cNvSpPr>
          <a:spLocks noChangeAspect="1"/>
        </xdr:cNvSpPr>
      </xdr:nvSpPr>
      <xdr:spPr>
        <a:xfrm>
          <a:off x="479448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74</xdr:row>
      <xdr:rowOff>139199</xdr:rowOff>
    </xdr:from>
    <xdr:to>
      <xdr:col>71</xdr:col>
      <xdr:colOff>207002</xdr:colOff>
      <xdr:row>75</xdr:row>
      <xdr:rowOff>111751</xdr:rowOff>
    </xdr:to>
    <xdr:sp macro="" textlink="">
      <xdr:nvSpPr>
        <xdr:cNvPr id="247083" name="フリーフォーム: 図形 247082">
          <a:extLst>
            <a:ext uri="{FF2B5EF4-FFF2-40B4-BE49-F238E27FC236}">
              <a16:creationId xmlns:a16="http://schemas.microsoft.com/office/drawing/2014/main" id="{0E777FA3-F7D4-40AE-811B-F7CF2733C2F4}"/>
            </a:ext>
          </a:extLst>
        </xdr:cNvPr>
        <xdr:cNvSpPr>
          <a:spLocks noChangeAspect="1"/>
        </xdr:cNvSpPr>
      </xdr:nvSpPr>
      <xdr:spPr>
        <a:xfrm>
          <a:off x="484488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70</xdr:row>
      <xdr:rowOff>51000</xdr:rowOff>
    </xdr:from>
    <xdr:to>
      <xdr:col>70</xdr:col>
      <xdr:colOff>406801</xdr:colOff>
      <xdr:row>75</xdr:row>
      <xdr:rowOff>3751</xdr:rowOff>
    </xdr:to>
    <xdr:sp macro="" textlink="">
      <xdr:nvSpPr>
        <xdr:cNvPr id="247084" name="フリーフォーム: 図形 247083">
          <a:extLst>
            <a:ext uri="{FF2B5EF4-FFF2-40B4-BE49-F238E27FC236}">
              <a16:creationId xmlns:a16="http://schemas.microsoft.com/office/drawing/2014/main" id="{8551F879-4100-463D-9BF9-DD65BA3B0251}"/>
            </a:ext>
          </a:extLst>
        </xdr:cNvPr>
        <xdr:cNvSpPr>
          <a:spLocks noChangeAspect="1"/>
        </xdr:cNvSpPr>
      </xdr:nvSpPr>
      <xdr:spPr>
        <a:xfrm>
          <a:off x="481428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69</xdr:row>
      <xdr:rowOff>114450</xdr:rowOff>
    </xdr:from>
    <xdr:to>
      <xdr:col>70</xdr:col>
      <xdr:colOff>658801</xdr:colOff>
      <xdr:row>74</xdr:row>
      <xdr:rowOff>157201</xdr:rowOff>
    </xdr:to>
    <xdr:sp macro="" textlink="">
      <xdr:nvSpPr>
        <xdr:cNvPr id="247085" name="フリーフォーム: 図形 247084">
          <a:extLst>
            <a:ext uri="{FF2B5EF4-FFF2-40B4-BE49-F238E27FC236}">
              <a16:creationId xmlns:a16="http://schemas.microsoft.com/office/drawing/2014/main" id="{38671109-6D4C-49A8-91C8-353A0DEEDE74}"/>
            </a:ext>
          </a:extLst>
        </xdr:cNvPr>
        <xdr:cNvSpPr>
          <a:spLocks noChangeAspect="1"/>
        </xdr:cNvSpPr>
      </xdr:nvSpPr>
      <xdr:spPr>
        <a:xfrm>
          <a:off x="484128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70</xdr:row>
      <xdr:rowOff>69000</xdr:rowOff>
    </xdr:from>
    <xdr:to>
      <xdr:col>71</xdr:col>
      <xdr:colOff>297000</xdr:colOff>
      <xdr:row>75</xdr:row>
      <xdr:rowOff>3751</xdr:rowOff>
    </xdr:to>
    <xdr:sp macro="" textlink="">
      <xdr:nvSpPr>
        <xdr:cNvPr id="247086" name="フリーフォーム: 図形 247085">
          <a:extLst>
            <a:ext uri="{FF2B5EF4-FFF2-40B4-BE49-F238E27FC236}">
              <a16:creationId xmlns:a16="http://schemas.microsoft.com/office/drawing/2014/main" id="{FDB93759-3B97-43AF-9CB5-BE0B84175EB3}"/>
            </a:ext>
          </a:extLst>
        </xdr:cNvPr>
        <xdr:cNvSpPr>
          <a:spLocks noChangeAspect="1"/>
        </xdr:cNvSpPr>
      </xdr:nvSpPr>
      <xdr:spPr>
        <a:xfrm>
          <a:off x="484668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75</xdr:row>
      <xdr:rowOff>75750</xdr:rowOff>
    </xdr:from>
    <xdr:to>
      <xdr:col>71</xdr:col>
      <xdr:colOff>9002</xdr:colOff>
      <xdr:row>79</xdr:row>
      <xdr:rowOff>163951</xdr:rowOff>
    </xdr:to>
    <xdr:sp macro="" textlink="">
      <xdr:nvSpPr>
        <xdr:cNvPr id="247087" name="フリーフォーム: 図形 247086">
          <a:extLst>
            <a:ext uri="{FF2B5EF4-FFF2-40B4-BE49-F238E27FC236}">
              <a16:creationId xmlns:a16="http://schemas.microsoft.com/office/drawing/2014/main" id="{0DC49B58-FE20-4604-BEF5-D7DBAA7F85F7}"/>
            </a:ext>
          </a:extLst>
        </xdr:cNvPr>
        <xdr:cNvSpPr>
          <a:spLocks noChangeAspect="1"/>
        </xdr:cNvSpPr>
      </xdr:nvSpPr>
      <xdr:spPr>
        <a:xfrm>
          <a:off x="484307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75</xdr:row>
      <xdr:rowOff>93749</xdr:rowOff>
    </xdr:from>
    <xdr:to>
      <xdr:col>70</xdr:col>
      <xdr:colOff>424800</xdr:colOff>
      <xdr:row>80</xdr:row>
      <xdr:rowOff>118501</xdr:rowOff>
    </xdr:to>
    <xdr:sp macro="" textlink="">
      <xdr:nvSpPr>
        <xdr:cNvPr id="247088" name="フリーフォーム: 図形 247087">
          <a:extLst>
            <a:ext uri="{FF2B5EF4-FFF2-40B4-BE49-F238E27FC236}">
              <a16:creationId xmlns:a16="http://schemas.microsoft.com/office/drawing/2014/main" id="{0AFE1495-36D4-4FD4-8021-FD08BDBCE4D4}"/>
            </a:ext>
          </a:extLst>
        </xdr:cNvPr>
        <xdr:cNvSpPr>
          <a:spLocks noChangeAspect="1"/>
        </xdr:cNvSpPr>
      </xdr:nvSpPr>
      <xdr:spPr>
        <a:xfrm>
          <a:off x="481968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75</xdr:row>
      <xdr:rowOff>75750</xdr:rowOff>
    </xdr:from>
    <xdr:to>
      <xdr:col>70</xdr:col>
      <xdr:colOff>388802</xdr:colOff>
      <xdr:row>80</xdr:row>
      <xdr:rowOff>10501</xdr:rowOff>
    </xdr:to>
    <xdr:sp macro="" textlink="">
      <xdr:nvSpPr>
        <xdr:cNvPr id="247089" name="フリーフォーム: 図形 247088">
          <a:extLst>
            <a:ext uri="{FF2B5EF4-FFF2-40B4-BE49-F238E27FC236}">
              <a16:creationId xmlns:a16="http://schemas.microsoft.com/office/drawing/2014/main" id="{D9E6E7FF-E33F-4DDB-9FC2-5DA85EE116D6}"/>
            </a:ext>
          </a:extLst>
        </xdr:cNvPr>
        <xdr:cNvSpPr>
          <a:spLocks noChangeAspect="1"/>
        </xdr:cNvSpPr>
      </xdr:nvSpPr>
      <xdr:spPr>
        <a:xfrm>
          <a:off x="478727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69</xdr:row>
      <xdr:rowOff>42450</xdr:rowOff>
    </xdr:from>
    <xdr:to>
      <xdr:col>73</xdr:col>
      <xdr:colOff>322201</xdr:colOff>
      <xdr:row>70</xdr:row>
      <xdr:rowOff>15001</xdr:rowOff>
    </xdr:to>
    <xdr:sp macro="" textlink="">
      <xdr:nvSpPr>
        <xdr:cNvPr id="247090" name="フリーフォーム: 図形 247089">
          <a:extLst>
            <a:ext uri="{FF2B5EF4-FFF2-40B4-BE49-F238E27FC236}">
              <a16:creationId xmlns:a16="http://schemas.microsoft.com/office/drawing/2014/main" id="{F838FC97-CD27-47F2-BE97-BB47CD164DC1}"/>
            </a:ext>
          </a:extLst>
        </xdr:cNvPr>
        <xdr:cNvSpPr>
          <a:spLocks noChangeAspect="1"/>
        </xdr:cNvSpPr>
      </xdr:nvSpPr>
      <xdr:spPr>
        <a:xfrm>
          <a:off x="49917601" y="12139200"/>
          <a:ext cx="468000" cy="144001"/>
        </a:xfrm>
        <a:custGeom>
          <a:avLst/>
          <a:gdLst/>
          <a:ahLst/>
          <a:cxnLst/>
          <a:rect l="0" t="0" r="0" b="0"/>
          <a:pathLst>
            <a:path w="468000" h="144001">
              <a:moveTo>
                <a:pt x="71999" y="0"/>
              </a:moveTo>
              <a:lnTo>
                <a:pt x="431999"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69</xdr:row>
      <xdr:rowOff>42450</xdr:rowOff>
    </xdr:from>
    <xdr:to>
      <xdr:col>74</xdr:col>
      <xdr:colOff>176400</xdr:colOff>
      <xdr:row>70</xdr:row>
      <xdr:rowOff>15001</xdr:rowOff>
    </xdr:to>
    <xdr:sp macro="" textlink="">
      <xdr:nvSpPr>
        <xdr:cNvPr id="247091" name="フリーフォーム: 図形 247090">
          <a:extLst>
            <a:ext uri="{FF2B5EF4-FFF2-40B4-BE49-F238E27FC236}">
              <a16:creationId xmlns:a16="http://schemas.microsoft.com/office/drawing/2014/main" id="{EBE58D7D-565E-4366-927E-708A14286CB6}"/>
            </a:ext>
          </a:extLst>
        </xdr:cNvPr>
        <xdr:cNvSpPr>
          <a:spLocks noChangeAspect="1"/>
        </xdr:cNvSpPr>
      </xdr:nvSpPr>
      <xdr:spPr>
        <a:xfrm>
          <a:off x="50457599" y="12139200"/>
          <a:ext cx="468001" cy="144001"/>
        </a:xfrm>
        <a:custGeom>
          <a:avLst/>
          <a:gdLst/>
          <a:ahLst/>
          <a:cxnLst/>
          <a:rect l="0" t="0" r="0" b="0"/>
          <a:pathLst>
            <a:path w="468001" h="144001">
              <a:moveTo>
                <a:pt x="72002" y="0"/>
              </a:moveTo>
              <a:lnTo>
                <a:pt x="432002" y="0"/>
              </a:lnTo>
              <a:lnTo>
                <a:pt x="468000" y="36000"/>
              </a:lnTo>
              <a:lnTo>
                <a:pt x="360000" y="144000"/>
              </a:lnTo>
              <a:lnTo>
                <a:pt x="90001"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69</xdr:row>
      <xdr:rowOff>114450</xdr:rowOff>
    </xdr:from>
    <xdr:to>
      <xdr:col>74</xdr:col>
      <xdr:colOff>248401</xdr:colOff>
      <xdr:row>75</xdr:row>
      <xdr:rowOff>21752</xdr:rowOff>
    </xdr:to>
    <xdr:sp macro="" textlink="">
      <xdr:nvSpPr>
        <xdr:cNvPr id="247092" name="フリーフォーム: 図形 247091">
          <a:extLst>
            <a:ext uri="{FF2B5EF4-FFF2-40B4-BE49-F238E27FC236}">
              <a16:creationId xmlns:a16="http://schemas.microsoft.com/office/drawing/2014/main" id="{74142F3B-DF5B-4451-89FF-04FC70151A7F}"/>
            </a:ext>
          </a:extLst>
        </xdr:cNvPr>
        <xdr:cNvSpPr>
          <a:spLocks noChangeAspect="1"/>
        </xdr:cNvSpPr>
      </xdr:nvSpPr>
      <xdr:spPr>
        <a:xfrm>
          <a:off x="50709599" y="12211200"/>
          <a:ext cx="288002" cy="936002"/>
        </a:xfrm>
        <a:custGeom>
          <a:avLst/>
          <a:gdLst/>
          <a:ahLst/>
          <a:cxnLst/>
          <a:rect l="0" t="0" r="0" b="0"/>
          <a:pathLst>
            <a:path w="288002" h="936002">
              <a:moveTo>
                <a:pt x="144001" y="108000"/>
              </a:moveTo>
              <a:lnTo>
                <a:pt x="252000" y="0"/>
              </a:lnTo>
              <a:lnTo>
                <a:pt x="288001" y="72000"/>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75</xdr:row>
      <xdr:rowOff>75750</xdr:rowOff>
    </xdr:from>
    <xdr:to>
      <xdr:col>74</xdr:col>
      <xdr:colOff>68400</xdr:colOff>
      <xdr:row>80</xdr:row>
      <xdr:rowOff>136501</xdr:rowOff>
    </xdr:to>
    <xdr:sp macro="" textlink="">
      <xdr:nvSpPr>
        <xdr:cNvPr id="247093" name="フリーフォーム: 図形 247092">
          <a:extLst>
            <a:ext uri="{FF2B5EF4-FFF2-40B4-BE49-F238E27FC236}">
              <a16:creationId xmlns:a16="http://schemas.microsoft.com/office/drawing/2014/main" id="{4C04A7D8-9755-487D-9C7C-11D7DBC21FBB}"/>
            </a:ext>
          </a:extLst>
        </xdr:cNvPr>
        <xdr:cNvSpPr>
          <a:spLocks noChangeAspect="1"/>
        </xdr:cNvSpPr>
      </xdr:nvSpPr>
      <xdr:spPr>
        <a:xfrm>
          <a:off x="50529601" y="132012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80</xdr:row>
      <xdr:rowOff>64500</xdr:rowOff>
    </xdr:from>
    <xdr:to>
      <xdr:col>72</xdr:col>
      <xdr:colOff>684000</xdr:colOff>
      <xdr:row>81</xdr:row>
      <xdr:rowOff>37051</xdr:rowOff>
    </xdr:to>
    <xdr:sp macro="" textlink="">
      <xdr:nvSpPr>
        <xdr:cNvPr id="247094" name="フリーフォーム: 図形 247093">
          <a:extLst>
            <a:ext uri="{FF2B5EF4-FFF2-40B4-BE49-F238E27FC236}">
              <a16:creationId xmlns:a16="http://schemas.microsoft.com/office/drawing/2014/main" id="{E2458C71-F357-4C8B-9815-64C756C7DBE5}"/>
            </a:ext>
          </a:extLst>
        </xdr:cNvPr>
        <xdr:cNvSpPr>
          <a:spLocks noChangeAspect="1"/>
        </xdr:cNvSpPr>
      </xdr:nvSpPr>
      <xdr:spPr>
        <a:xfrm>
          <a:off x="495756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80</xdr:row>
      <xdr:rowOff>64500</xdr:rowOff>
    </xdr:from>
    <xdr:to>
      <xdr:col>73</xdr:col>
      <xdr:colOff>502200</xdr:colOff>
      <xdr:row>81</xdr:row>
      <xdr:rowOff>37051</xdr:rowOff>
    </xdr:to>
    <xdr:sp macro="" textlink="">
      <xdr:nvSpPr>
        <xdr:cNvPr id="247095" name="フリーフォーム: 図形 247094">
          <a:extLst>
            <a:ext uri="{FF2B5EF4-FFF2-40B4-BE49-F238E27FC236}">
              <a16:creationId xmlns:a16="http://schemas.microsoft.com/office/drawing/2014/main" id="{C27CF8D2-7963-4179-B1A6-395005A1324E}"/>
            </a:ext>
          </a:extLst>
        </xdr:cNvPr>
        <xdr:cNvSpPr>
          <a:spLocks noChangeAspect="1"/>
        </xdr:cNvSpPr>
      </xdr:nvSpPr>
      <xdr:spPr>
        <a:xfrm>
          <a:off x="50097599" y="140472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75</xdr:row>
      <xdr:rowOff>75750</xdr:rowOff>
    </xdr:from>
    <xdr:to>
      <xdr:col>72</xdr:col>
      <xdr:colOff>432003</xdr:colOff>
      <xdr:row>80</xdr:row>
      <xdr:rowOff>136501</xdr:rowOff>
    </xdr:to>
    <xdr:sp macro="" textlink="">
      <xdr:nvSpPr>
        <xdr:cNvPr id="247096" name="フリーフォーム: 図形 247095">
          <a:extLst>
            <a:ext uri="{FF2B5EF4-FFF2-40B4-BE49-F238E27FC236}">
              <a16:creationId xmlns:a16="http://schemas.microsoft.com/office/drawing/2014/main" id="{4D437BAB-E87A-4392-A103-D2032CA2D78E}"/>
            </a:ext>
          </a:extLst>
        </xdr:cNvPr>
        <xdr:cNvSpPr>
          <a:spLocks noChangeAspect="1"/>
        </xdr:cNvSpPr>
      </xdr:nvSpPr>
      <xdr:spPr>
        <a:xfrm>
          <a:off x="495216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69</xdr:row>
      <xdr:rowOff>114450</xdr:rowOff>
    </xdr:from>
    <xdr:to>
      <xdr:col>72</xdr:col>
      <xdr:colOff>576000</xdr:colOff>
      <xdr:row>75</xdr:row>
      <xdr:rowOff>21752</xdr:rowOff>
    </xdr:to>
    <xdr:sp macro="" textlink="">
      <xdr:nvSpPr>
        <xdr:cNvPr id="247097" name="フリーフォーム: 図形 247096">
          <a:extLst>
            <a:ext uri="{FF2B5EF4-FFF2-40B4-BE49-F238E27FC236}">
              <a16:creationId xmlns:a16="http://schemas.microsoft.com/office/drawing/2014/main" id="{4D85B894-975D-4332-9C8F-85E7651D880B}"/>
            </a:ext>
          </a:extLst>
        </xdr:cNvPr>
        <xdr:cNvSpPr>
          <a:spLocks noChangeAspect="1"/>
        </xdr:cNvSpPr>
      </xdr:nvSpPr>
      <xdr:spPr>
        <a:xfrm>
          <a:off x="497015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74</xdr:row>
      <xdr:rowOff>139199</xdr:rowOff>
    </xdr:from>
    <xdr:to>
      <xdr:col>73</xdr:col>
      <xdr:colOff>160202</xdr:colOff>
      <xdr:row>75</xdr:row>
      <xdr:rowOff>111751</xdr:rowOff>
    </xdr:to>
    <xdr:sp macro="" textlink="">
      <xdr:nvSpPr>
        <xdr:cNvPr id="247098" name="フリーフォーム: 図形 247097">
          <a:extLst>
            <a:ext uri="{FF2B5EF4-FFF2-40B4-BE49-F238E27FC236}">
              <a16:creationId xmlns:a16="http://schemas.microsoft.com/office/drawing/2014/main" id="{C4356A99-5A0A-4B22-A20B-866CE56D4E20}"/>
            </a:ext>
          </a:extLst>
        </xdr:cNvPr>
        <xdr:cNvSpPr>
          <a:spLocks noChangeAspect="1"/>
        </xdr:cNvSpPr>
      </xdr:nvSpPr>
      <xdr:spPr>
        <a:xfrm>
          <a:off x="497736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74</xdr:row>
      <xdr:rowOff>139199</xdr:rowOff>
    </xdr:from>
    <xdr:to>
      <xdr:col>73</xdr:col>
      <xdr:colOff>664202</xdr:colOff>
      <xdr:row>75</xdr:row>
      <xdr:rowOff>111751</xdr:rowOff>
    </xdr:to>
    <xdr:sp macro="" textlink="">
      <xdr:nvSpPr>
        <xdr:cNvPr id="247099" name="フリーフォーム: 図形 247098">
          <a:extLst>
            <a:ext uri="{FF2B5EF4-FFF2-40B4-BE49-F238E27FC236}">
              <a16:creationId xmlns:a16="http://schemas.microsoft.com/office/drawing/2014/main" id="{867F88E7-FBE1-4539-8449-808DAF8D1422}"/>
            </a:ext>
          </a:extLst>
        </xdr:cNvPr>
        <xdr:cNvSpPr>
          <a:spLocks noChangeAspect="1"/>
        </xdr:cNvSpPr>
      </xdr:nvSpPr>
      <xdr:spPr>
        <a:xfrm>
          <a:off x="50277601" y="130931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70</xdr:row>
      <xdr:rowOff>51000</xdr:rowOff>
    </xdr:from>
    <xdr:to>
      <xdr:col>73</xdr:col>
      <xdr:colOff>178201</xdr:colOff>
      <xdr:row>75</xdr:row>
      <xdr:rowOff>3751</xdr:rowOff>
    </xdr:to>
    <xdr:sp macro="" textlink="">
      <xdr:nvSpPr>
        <xdr:cNvPr id="247100" name="フリーフォーム: 図形 247099">
          <a:extLst>
            <a:ext uri="{FF2B5EF4-FFF2-40B4-BE49-F238E27FC236}">
              <a16:creationId xmlns:a16="http://schemas.microsoft.com/office/drawing/2014/main" id="{740526AF-D4F9-446B-9466-721DFED1AA0F}"/>
            </a:ext>
          </a:extLst>
        </xdr:cNvPr>
        <xdr:cNvSpPr>
          <a:spLocks noChangeAspect="1"/>
        </xdr:cNvSpPr>
      </xdr:nvSpPr>
      <xdr:spPr>
        <a:xfrm>
          <a:off x="49971601" y="12319200"/>
          <a:ext cx="270000" cy="810001"/>
        </a:xfrm>
        <a:custGeom>
          <a:avLst/>
          <a:gdLst/>
          <a:ahLst/>
          <a:cxnLst/>
          <a:rect l="0" t="0" r="0" b="0"/>
          <a:pathLst>
            <a:path w="270000" h="810001">
              <a:moveTo>
                <a:pt x="0" y="180000"/>
              </a:moveTo>
              <a:lnTo>
                <a:pt x="17999" y="0"/>
              </a:lnTo>
              <a:lnTo>
                <a:pt x="108000" y="108000"/>
              </a:lnTo>
              <a:lnTo>
                <a:pt x="215999" y="468000"/>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69</xdr:row>
      <xdr:rowOff>114450</xdr:rowOff>
    </xdr:from>
    <xdr:to>
      <xdr:col>73</xdr:col>
      <xdr:colOff>430201</xdr:colOff>
      <xdr:row>74</xdr:row>
      <xdr:rowOff>157201</xdr:rowOff>
    </xdr:to>
    <xdr:sp macro="" textlink="">
      <xdr:nvSpPr>
        <xdr:cNvPr id="247101" name="フリーフォーム: 図形 247100">
          <a:extLst>
            <a:ext uri="{FF2B5EF4-FFF2-40B4-BE49-F238E27FC236}">
              <a16:creationId xmlns:a16="http://schemas.microsoft.com/office/drawing/2014/main" id="{986690FF-1A67-4B12-81EB-65D9C9E1F5E4}"/>
            </a:ext>
          </a:extLst>
        </xdr:cNvPr>
        <xdr:cNvSpPr>
          <a:spLocks noChangeAspect="1"/>
        </xdr:cNvSpPr>
      </xdr:nvSpPr>
      <xdr:spPr>
        <a:xfrm>
          <a:off x="50241600" y="12211200"/>
          <a:ext cx="252001" cy="900001"/>
        </a:xfrm>
        <a:custGeom>
          <a:avLst/>
          <a:gdLst/>
          <a:ahLst/>
          <a:cxnLst/>
          <a:rect l="0" t="0" r="0" b="0"/>
          <a:pathLst>
            <a:path w="252001" h="900001">
              <a:moveTo>
                <a:pt x="108000" y="72000"/>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70</xdr:row>
      <xdr:rowOff>69000</xdr:rowOff>
    </xdr:from>
    <xdr:to>
      <xdr:col>74</xdr:col>
      <xdr:colOff>68400</xdr:colOff>
      <xdr:row>75</xdr:row>
      <xdr:rowOff>3751</xdr:rowOff>
    </xdr:to>
    <xdr:sp macro="" textlink="">
      <xdr:nvSpPr>
        <xdr:cNvPr id="247102" name="フリーフォーム: 図形 247101">
          <a:extLst>
            <a:ext uri="{FF2B5EF4-FFF2-40B4-BE49-F238E27FC236}">
              <a16:creationId xmlns:a16="http://schemas.microsoft.com/office/drawing/2014/main" id="{1CCF9986-FD04-4EDD-BF97-6B9019A35334}"/>
            </a:ext>
          </a:extLst>
        </xdr:cNvPr>
        <xdr:cNvSpPr>
          <a:spLocks noChangeAspect="1"/>
        </xdr:cNvSpPr>
      </xdr:nvSpPr>
      <xdr:spPr>
        <a:xfrm>
          <a:off x="50295600" y="12337200"/>
          <a:ext cx="522000" cy="792001"/>
        </a:xfrm>
        <a:custGeom>
          <a:avLst/>
          <a:gdLst/>
          <a:ahLst/>
          <a:cxnLst/>
          <a:rect l="0" t="0" r="0" b="0"/>
          <a:pathLst>
            <a:path w="522000" h="792001">
              <a:moveTo>
                <a:pt x="378002" y="126000"/>
              </a:moveTo>
              <a:lnTo>
                <a:pt x="521999" y="0"/>
              </a:lnTo>
              <a:lnTo>
                <a:pt x="486001" y="198000"/>
              </a:lnTo>
              <a:lnTo>
                <a:pt x="90000" y="738000"/>
              </a:lnTo>
              <a:lnTo>
                <a:pt x="0" y="792000"/>
              </a:lnTo>
              <a:lnTo>
                <a:pt x="198000"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75</xdr:row>
      <xdr:rowOff>75750</xdr:rowOff>
    </xdr:from>
    <xdr:to>
      <xdr:col>73</xdr:col>
      <xdr:colOff>466202</xdr:colOff>
      <xdr:row>79</xdr:row>
      <xdr:rowOff>163951</xdr:rowOff>
    </xdr:to>
    <xdr:sp macro="" textlink="">
      <xdr:nvSpPr>
        <xdr:cNvPr id="247103" name="フリーフォーム: 図形 247102">
          <a:extLst>
            <a:ext uri="{FF2B5EF4-FFF2-40B4-BE49-F238E27FC236}">
              <a16:creationId xmlns:a16="http://schemas.microsoft.com/office/drawing/2014/main" id="{CD9FED63-5A7D-490A-BABD-93397E99EF8C}"/>
            </a:ext>
          </a:extLst>
        </xdr:cNvPr>
        <xdr:cNvSpPr>
          <a:spLocks noChangeAspect="1"/>
        </xdr:cNvSpPr>
      </xdr:nvSpPr>
      <xdr:spPr>
        <a:xfrm>
          <a:off x="50259599" y="132012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75</xdr:row>
      <xdr:rowOff>93749</xdr:rowOff>
    </xdr:from>
    <xdr:to>
      <xdr:col>73</xdr:col>
      <xdr:colOff>196200</xdr:colOff>
      <xdr:row>80</xdr:row>
      <xdr:rowOff>118501</xdr:rowOff>
    </xdr:to>
    <xdr:sp macro="" textlink="">
      <xdr:nvSpPr>
        <xdr:cNvPr id="247104" name="フリーフォーム: 図形 247103">
          <a:extLst>
            <a:ext uri="{FF2B5EF4-FFF2-40B4-BE49-F238E27FC236}">
              <a16:creationId xmlns:a16="http://schemas.microsoft.com/office/drawing/2014/main" id="{82BE57DD-B9AF-4949-BE9C-A2A8B2FC5942}"/>
            </a:ext>
          </a:extLst>
        </xdr:cNvPr>
        <xdr:cNvSpPr>
          <a:spLocks noChangeAspect="1"/>
        </xdr:cNvSpPr>
      </xdr:nvSpPr>
      <xdr:spPr>
        <a:xfrm>
          <a:off x="50025601" y="132191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75</xdr:row>
      <xdr:rowOff>75750</xdr:rowOff>
    </xdr:from>
    <xdr:to>
      <xdr:col>73</xdr:col>
      <xdr:colOff>160202</xdr:colOff>
      <xdr:row>80</xdr:row>
      <xdr:rowOff>10501</xdr:rowOff>
    </xdr:to>
    <xdr:sp macro="" textlink="">
      <xdr:nvSpPr>
        <xdr:cNvPr id="247105" name="フリーフォーム: 図形 247104">
          <a:extLst>
            <a:ext uri="{FF2B5EF4-FFF2-40B4-BE49-F238E27FC236}">
              <a16:creationId xmlns:a16="http://schemas.microsoft.com/office/drawing/2014/main" id="{E2C6437D-0811-4E92-9C5B-143F7AA36F42}"/>
            </a:ext>
          </a:extLst>
        </xdr:cNvPr>
        <xdr:cNvSpPr>
          <a:spLocks noChangeAspect="1"/>
        </xdr:cNvSpPr>
      </xdr:nvSpPr>
      <xdr:spPr>
        <a:xfrm>
          <a:off x="497015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69</xdr:row>
      <xdr:rowOff>42450</xdr:rowOff>
    </xdr:from>
    <xdr:to>
      <xdr:col>76</xdr:col>
      <xdr:colOff>93601</xdr:colOff>
      <xdr:row>70</xdr:row>
      <xdr:rowOff>15001</xdr:rowOff>
    </xdr:to>
    <xdr:sp macro="" textlink="">
      <xdr:nvSpPr>
        <xdr:cNvPr id="247106" name="フリーフォーム: 図形 247105">
          <a:extLst>
            <a:ext uri="{FF2B5EF4-FFF2-40B4-BE49-F238E27FC236}">
              <a16:creationId xmlns:a16="http://schemas.microsoft.com/office/drawing/2014/main" id="{673DB2DC-CA25-49F3-9210-AC06CFA34D96}"/>
            </a:ext>
          </a:extLst>
        </xdr:cNvPr>
        <xdr:cNvSpPr>
          <a:spLocks noChangeAspect="1"/>
        </xdr:cNvSpPr>
      </xdr:nvSpPr>
      <xdr:spPr>
        <a:xfrm>
          <a:off x="51746401" y="12139200"/>
          <a:ext cx="468000" cy="144001"/>
        </a:xfrm>
        <a:custGeom>
          <a:avLst/>
          <a:gdLst/>
          <a:ahLst/>
          <a:cxnLst/>
          <a:rect l="0" t="0" r="0" b="0"/>
          <a:pathLst>
            <a:path w="468000" h="144001">
              <a:moveTo>
                <a:pt x="71999" y="0"/>
              </a:moveTo>
              <a:lnTo>
                <a:pt x="432002" y="0"/>
              </a:lnTo>
              <a:lnTo>
                <a:pt x="467999" y="36000"/>
              </a:lnTo>
              <a:lnTo>
                <a:pt x="360000" y="144000"/>
              </a:lnTo>
              <a:lnTo>
                <a:pt x="71999"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69</xdr:row>
      <xdr:rowOff>42450</xdr:rowOff>
    </xdr:from>
    <xdr:to>
      <xdr:col>76</xdr:col>
      <xdr:colOff>633600</xdr:colOff>
      <xdr:row>70</xdr:row>
      <xdr:rowOff>15001</xdr:rowOff>
    </xdr:to>
    <xdr:sp macro="" textlink="">
      <xdr:nvSpPr>
        <xdr:cNvPr id="247107" name="フリーフォーム: 図形 247106">
          <a:extLst>
            <a:ext uri="{FF2B5EF4-FFF2-40B4-BE49-F238E27FC236}">
              <a16:creationId xmlns:a16="http://schemas.microsoft.com/office/drawing/2014/main" id="{9A7DF764-4139-4063-9054-1F0D01804903}"/>
            </a:ext>
          </a:extLst>
        </xdr:cNvPr>
        <xdr:cNvSpPr>
          <a:spLocks noChangeAspect="1"/>
        </xdr:cNvSpPr>
      </xdr:nvSpPr>
      <xdr:spPr>
        <a:xfrm>
          <a:off x="52286402" y="121392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69</xdr:row>
      <xdr:rowOff>114450</xdr:rowOff>
    </xdr:from>
    <xdr:to>
      <xdr:col>77</xdr:col>
      <xdr:colOff>19801</xdr:colOff>
      <xdr:row>75</xdr:row>
      <xdr:rowOff>21752</xdr:rowOff>
    </xdr:to>
    <xdr:sp macro="" textlink="">
      <xdr:nvSpPr>
        <xdr:cNvPr id="247108" name="フリーフォーム: 図形 247107">
          <a:extLst>
            <a:ext uri="{FF2B5EF4-FFF2-40B4-BE49-F238E27FC236}">
              <a16:creationId xmlns:a16="http://schemas.microsoft.com/office/drawing/2014/main" id="{DE5CD971-EE55-4E70-9E9B-C7C52D910E8E}"/>
            </a:ext>
          </a:extLst>
        </xdr:cNvPr>
        <xdr:cNvSpPr>
          <a:spLocks noChangeAspect="1"/>
        </xdr:cNvSpPr>
      </xdr:nvSpPr>
      <xdr:spPr>
        <a:xfrm>
          <a:off x="52538399" y="12211200"/>
          <a:ext cx="288002" cy="936002"/>
        </a:xfrm>
        <a:custGeom>
          <a:avLst/>
          <a:gdLst/>
          <a:ahLst/>
          <a:cxnLst/>
          <a:rect l="0" t="0" r="0" b="0"/>
          <a:pathLst>
            <a:path w="288002" h="936002">
              <a:moveTo>
                <a:pt x="144004" y="108000"/>
              </a:moveTo>
              <a:lnTo>
                <a:pt x="252004" y="0"/>
              </a:lnTo>
              <a:lnTo>
                <a:pt x="288001" y="72000"/>
              </a:lnTo>
              <a:lnTo>
                <a:pt x="144004"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75</xdr:row>
      <xdr:rowOff>75750</xdr:rowOff>
    </xdr:from>
    <xdr:to>
      <xdr:col>76</xdr:col>
      <xdr:colOff>525600</xdr:colOff>
      <xdr:row>80</xdr:row>
      <xdr:rowOff>136501</xdr:rowOff>
    </xdr:to>
    <xdr:sp macro="" textlink="">
      <xdr:nvSpPr>
        <xdr:cNvPr id="247109" name="フリーフォーム: 図形 247108">
          <a:extLst>
            <a:ext uri="{FF2B5EF4-FFF2-40B4-BE49-F238E27FC236}">
              <a16:creationId xmlns:a16="http://schemas.microsoft.com/office/drawing/2014/main" id="{3E047407-47D2-4C22-9769-F474432A0846}"/>
            </a:ext>
          </a:extLst>
        </xdr:cNvPr>
        <xdr:cNvSpPr>
          <a:spLocks noChangeAspect="1"/>
        </xdr:cNvSpPr>
      </xdr:nvSpPr>
      <xdr:spPr>
        <a:xfrm>
          <a:off x="52358398" y="132012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80</xdr:row>
      <xdr:rowOff>64500</xdr:rowOff>
    </xdr:from>
    <xdr:to>
      <xdr:col>75</xdr:col>
      <xdr:colOff>455400</xdr:colOff>
      <xdr:row>81</xdr:row>
      <xdr:rowOff>37051</xdr:rowOff>
    </xdr:to>
    <xdr:sp macro="" textlink="">
      <xdr:nvSpPr>
        <xdr:cNvPr id="247110" name="フリーフォーム: 図形 247109">
          <a:extLst>
            <a:ext uri="{FF2B5EF4-FFF2-40B4-BE49-F238E27FC236}">
              <a16:creationId xmlns:a16="http://schemas.microsoft.com/office/drawing/2014/main" id="{01520A88-95B2-4669-A48F-A727CAE052F9}"/>
            </a:ext>
          </a:extLst>
        </xdr:cNvPr>
        <xdr:cNvSpPr>
          <a:spLocks noChangeAspect="1"/>
        </xdr:cNvSpPr>
      </xdr:nvSpPr>
      <xdr:spPr>
        <a:xfrm>
          <a:off x="51404400" y="140472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80</xdr:row>
      <xdr:rowOff>64500</xdr:rowOff>
    </xdr:from>
    <xdr:to>
      <xdr:col>76</xdr:col>
      <xdr:colOff>273603</xdr:colOff>
      <xdr:row>81</xdr:row>
      <xdr:rowOff>37051</xdr:rowOff>
    </xdr:to>
    <xdr:sp macro="" textlink="">
      <xdr:nvSpPr>
        <xdr:cNvPr id="247111" name="フリーフォーム: 図形 247110">
          <a:extLst>
            <a:ext uri="{FF2B5EF4-FFF2-40B4-BE49-F238E27FC236}">
              <a16:creationId xmlns:a16="http://schemas.microsoft.com/office/drawing/2014/main" id="{E8C0F6C3-9BA9-435E-9F10-D388991BEA18}"/>
            </a:ext>
          </a:extLst>
        </xdr:cNvPr>
        <xdr:cNvSpPr>
          <a:spLocks noChangeAspect="1"/>
        </xdr:cNvSpPr>
      </xdr:nvSpPr>
      <xdr:spPr>
        <a:xfrm>
          <a:off x="51926399" y="140472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75</xdr:row>
      <xdr:rowOff>75750</xdr:rowOff>
    </xdr:from>
    <xdr:to>
      <xdr:col>75</xdr:col>
      <xdr:colOff>203403</xdr:colOff>
      <xdr:row>80</xdr:row>
      <xdr:rowOff>136501</xdr:rowOff>
    </xdr:to>
    <xdr:sp macro="" textlink="">
      <xdr:nvSpPr>
        <xdr:cNvPr id="247112" name="フリーフォーム: 図形 247111">
          <a:extLst>
            <a:ext uri="{FF2B5EF4-FFF2-40B4-BE49-F238E27FC236}">
              <a16:creationId xmlns:a16="http://schemas.microsoft.com/office/drawing/2014/main" id="{BD4647C8-E7F0-4051-BC04-F944CC948FB4}"/>
            </a:ext>
          </a:extLst>
        </xdr:cNvPr>
        <xdr:cNvSpPr>
          <a:spLocks noChangeAspect="1"/>
        </xdr:cNvSpPr>
      </xdr:nvSpPr>
      <xdr:spPr>
        <a:xfrm>
          <a:off x="51350401" y="132012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69</xdr:row>
      <xdr:rowOff>114450</xdr:rowOff>
    </xdr:from>
    <xdr:to>
      <xdr:col>75</xdr:col>
      <xdr:colOff>347400</xdr:colOff>
      <xdr:row>75</xdr:row>
      <xdr:rowOff>21752</xdr:rowOff>
    </xdr:to>
    <xdr:sp macro="" textlink="">
      <xdr:nvSpPr>
        <xdr:cNvPr id="247113" name="フリーフォーム: 図形 247112">
          <a:extLst>
            <a:ext uri="{FF2B5EF4-FFF2-40B4-BE49-F238E27FC236}">
              <a16:creationId xmlns:a16="http://schemas.microsoft.com/office/drawing/2014/main" id="{12457507-4BAA-482B-84A0-C84ACEDC22AE}"/>
            </a:ext>
          </a:extLst>
        </xdr:cNvPr>
        <xdr:cNvSpPr>
          <a:spLocks noChangeAspect="1"/>
        </xdr:cNvSpPr>
      </xdr:nvSpPr>
      <xdr:spPr>
        <a:xfrm>
          <a:off x="51530399" y="12211200"/>
          <a:ext cx="252001" cy="936002"/>
        </a:xfrm>
        <a:custGeom>
          <a:avLst/>
          <a:gdLst/>
          <a:ahLst/>
          <a:cxnLst/>
          <a:rect l="0" t="0" r="0" b="0"/>
          <a:pathLst>
            <a:path w="252001" h="936002">
              <a:moveTo>
                <a:pt x="126001" y="72000"/>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74</xdr:row>
      <xdr:rowOff>139199</xdr:rowOff>
    </xdr:from>
    <xdr:to>
      <xdr:col>75</xdr:col>
      <xdr:colOff>617402</xdr:colOff>
      <xdr:row>75</xdr:row>
      <xdr:rowOff>111751</xdr:rowOff>
    </xdr:to>
    <xdr:sp macro="" textlink="">
      <xdr:nvSpPr>
        <xdr:cNvPr id="247114" name="フリーフォーム: 図形 247113">
          <a:extLst>
            <a:ext uri="{FF2B5EF4-FFF2-40B4-BE49-F238E27FC236}">
              <a16:creationId xmlns:a16="http://schemas.microsoft.com/office/drawing/2014/main" id="{EB2581F4-541A-415C-A4E1-3365DD7EFF95}"/>
            </a:ext>
          </a:extLst>
        </xdr:cNvPr>
        <xdr:cNvSpPr>
          <a:spLocks noChangeAspect="1"/>
        </xdr:cNvSpPr>
      </xdr:nvSpPr>
      <xdr:spPr>
        <a:xfrm>
          <a:off x="51602401" y="130931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74</xdr:row>
      <xdr:rowOff>139199</xdr:rowOff>
    </xdr:from>
    <xdr:to>
      <xdr:col>76</xdr:col>
      <xdr:colOff>435602</xdr:colOff>
      <xdr:row>75</xdr:row>
      <xdr:rowOff>111751</xdr:rowOff>
    </xdr:to>
    <xdr:sp macro="" textlink="">
      <xdr:nvSpPr>
        <xdr:cNvPr id="247115" name="フリーフォーム: 図形 247114">
          <a:extLst>
            <a:ext uri="{FF2B5EF4-FFF2-40B4-BE49-F238E27FC236}">
              <a16:creationId xmlns:a16="http://schemas.microsoft.com/office/drawing/2014/main" id="{A8A6AE4F-CF9B-4DC4-AEA0-140799492E7E}"/>
            </a:ext>
          </a:extLst>
        </xdr:cNvPr>
        <xdr:cNvSpPr>
          <a:spLocks noChangeAspect="1"/>
        </xdr:cNvSpPr>
      </xdr:nvSpPr>
      <xdr:spPr>
        <a:xfrm>
          <a:off x="52106401" y="130931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70</xdr:row>
      <xdr:rowOff>51000</xdr:rowOff>
    </xdr:from>
    <xdr:to>
      <xdr:col>75</xdr:col>
      <xdr:colOff>635404</xdr:colOff>
      <xdr:row>75</xdr:row>
      <xdr:rowOff>3751</xdr:rowOff>
    </xdr:to>
    <xdr:sp macro="" textlink="">
      <xdr:nvSpPr>
        <xdr:cNvPr id="247116" name="フリーフォーム: 図形 247115">
          <a:extLst>
            <a:ext uri="{FF2B5EF4-FFF2-40B4-BE49-F238E27FC236}">
              <a16:creationId xmlns:a16="http://schemas.microsoft.com/office/drawing/2014/main" id="{04A84715-2A20-45DB-9B89-BAD306CD069B}"/>
            </a:ext>
          </a:extLst>
        </xdr:cNvPr>
        <xdr:cNvSpPr>
          <a:spLocks noChangeAspect="1"/>
        </xdr:cNvSpPr>
      </xdr:nvSpPr>
      <xdr:spPr>
        <a:xfrm>
          <a:off x="51800401" y="12319200"/>
          <a:ext cx="270003" cy="810001"/>
        </a:xfrm>
        <a:custGeom>
          <a:avLst/>
          <a:gdLst/>
          <a:ahLst/>
          <a:cxnLst/>
          <a:rect l="0" t="0" r="0" b="0"/>
          <a:pathLst>
            <a:path w="270003" h="810001">
              <a:moveTo>
                <a:pt x="0" y="180000"/>
              </a:moveTo>
              <a:lnTo>
                <a:pt x="17999" y="0"/>
              </a:lnTo>
              <a:lnTo>
                <a:pt x="108000" y="108000"/>
              </a:lnTo>
              <a:lnTo>
                <a:pt x="215999" y="468000"/>
              </a:lnTo>
              <a:lnTo>
                <a:pt x="270002"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69</xdr:row>
      <xdr:rowOff>114450</xdr:rowOff>
    </xdr:from>
    <xdr:to>
      <xdr:col>76</xdr:col>
      <xdr:colOff>201601</xdr:colOff>
      <xdr:row>74</xdr:row>
      <xdr:rowOff>157201</xdr:rowOff>
    </xdr:to>
    <xdr:sp macro="" textlink="">
      <xdr:nvSpPr>
        <xdr:cNvPr id="247117" name="フリーフォーム: 図形 247116">
          <a:extLst>
            <a:ext uri="{FF2B5EF4-FFF2-40B4-BE49-F238E27FC236}">
              <a16:creationId xmlns:a16="http://schemas.microsoft.com/office/drawing/2014/main" id="{2ABCCD59-544E-40BF-B59E-79EC44DD3A06}"/>
            </a:ext>
          </a:extLst>
        </xdr:cNvPr>
        <xdr:cNvSpPr>
          <a:spLocks noChangeAspect="1"/>
        </xdr:cNvSpPr>
      </xdr:nvSpPr>
      <xdr:spPr>
        <a:xfrm>
          <a:off x="52070403" y="122112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70</xdr:row>
      <xdr:rowOff>69000</xdr:rowOff>
    </xdr:from>
    <xdr:to>
      <xdr:col>76</xdr:col>
      <xdr:colOff>525600</xdr:colOff>
      <xdr:row>75</xdr:row>
      <xdr:rowOff>3751</xdr:rowOff>
    </xdr:to>
    <xdr:sp macro="" textlink="">
      <xdr:nvSpPr>
        <xdr:cNvPr id="247118" name="フリーフォーム: 図形 247117">
          <a:extLst>
            <a:ext uri="{FF2B5EF4-FFF2-40B4-BE49-F238E27FC236}">
              <a16:creationId xmlns:a16="http://schemas.microsoft.com/office/drawing/2014/main" id="{CD29E0CE-205B-43AB-AF7A-E860CE8BAE51}"/>
            </a:ext>
          </a:extLst>
        </xdr:cNvPr>
        <xdr:cNvSpPr>
          <a:spLocks noChangeAspect="1"/>
        </xdr:cNvSpPr>
      </xdr:nvSpPr>
      <xdr:spPr>
        <a:xfrm>
          <a:off x="52124403" y="123372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75</xdr:row>
      <xdr:rowOff>75750</xdr:rowOff>
    </xdr:from>
    <xdr:to>
      <xdr:col>76</xdr:col>
      <xdr:colOff>237599</xdr:colOff>
      <xdr:row>79</xdr:row>
      <xdr:rowOff>163951</xdr:rowOff>
    </xdr:to>
    <xdr:sp macro="" textlink="">
      <xdr:nvSpPr>
        <xdr:cNvPr id="247119" name="フリーフォーム: 図形 247118">
          <a:extLst>
            <a:ext uri="{FF2B5EF4-FFF2-40B4-BE49-F238E27FC236}">
              <a16:creationId xmlns:a16="http://schemas.microsoft.com/office/drawing/2014/main" id="{4A6F987B-755F-4F22-94F8-62CCB188503A}"/>
            </a:ext>
          </a:extLst>
        </xdr:cNvPr>
        <xdr:cNvSpPr>
          <a:spLocks noChangeAspect="1"/>
        </xdr:cNvSpPr>
      </xdr:nvSpPr>
      <xdr:spPr>
        <a:xfrm>
          <a:off x="52088399" y="132012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75</xdr:row>
      <xdr:rowOff>93749</xdr:rowOff>
    </xdr:from>
    <xdr:to>
      <xdr:col>75</xdr:col>
      <xdr:colOff>653400</xdr:colOff>
      <xdr:row>80</xdr:row>
      <xdr:rowOff>118501</xdr:rowOff>
    </xdr:to>
    <xdr:sp macro="" textlink="">
      <xdr:nvSpPr>
        <xdr:cNvPr id="247120" name="フリーフォーム: 図形 247119">
          <a:extLst>
            <a:ext uri="{FF2B5EF4-FFF2-40B4-BE49-F238E27FC236}">
              <a16:creationId xmlns:a16="http://schemas.microsoft.com/office/drawing/2014/main" id="{46705784-CC98-4E32-A69E-F3587B23DCB3}"/>
            </a:ext>
          </a:extLst>
        </xdr:cNvPr>
        <xdr:cNvSpPr>
          <a:spLocks noChangeAspect="1"/>
        </xdr:cNvSpPr>
      </xdr:nvSpPr>
      <xdr:spPr>
        <a:xfrm>
          <a:off x="51854401" y="13219199"/>
          <a:ext cx="233999" cy="882002"/>
        </a:xfrm>
        <a:custGeom>
          <a:avLst/>
          <a:gdLst/>
          <a:ahLst/>
          <a:cxnLst/>
          <a:rect l="0" t="0" r="0" b="0"/>
          <a:pathLst>
            <a:path w="233999" h="882002">
              <a:moveTo>
                <a:pt x="107999" y="216001"/>
              </a:moveTo>
              <a:lnTo>
                <a:pt x="216002"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75</xdr:row>
      <xdr:rowOff>75750</xdr:rowOff>
    </xdr:from>
    <xdr:to>
      <xdr:col>75</xdr:col>
      <xdr:colOff>617402</xdr:colOff>
      <xdr:row>80</xdr:row>
      <xdr:rowOff>10501</xdr:rowOff>
    </xdr:to>
    <xdr:sp macro="" textlink="">
      <xdr:nvSpPr>
        <xdr:cNvPr id="247121" name="フリーフォーム: 図形 247120">
          <a:extLst>
            <a:ext uri="{FF2B5EF4-FFF2-40B4-BE49-F238E27FC236}">
              <a16:creationId xmlns:a16="http://schemas.microsoft.com/office/drawing/2014/main" id="{A4F24D63-17D4-4E32-B04B-97D836E9AA90}"/>
            </a:ext>
          </a:extLst>
        </xdr:cNvPr>
        <xdr:cNvSpPr>
          <a:spLocks noChangeAspect="1"/>
        </xdr:cNvSpPr>
      </xdr:nvSpPr>
      <xdr:spPr>
        <a:xfrm>
          <a:off x="51530399" y="132012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69</xdr:row>
      <xdr:rowOff>42450</xdr:rowOff>
    </xdr:from>
    <xdr:to>
      <xdr:col>78</xdr:col>
      <xdr:colOff>550801</xdr:colOff>
      <xdr:row>70</xdr:row>
      <xdr:rowOff>15001</xdr:rowOff>
    </xdr:to>
    <xdr:sp macro="" textlink="">
      <xdr:nvSpPr>
        <xdr:cNvPr id="247122" name="フリーフォーム: 図形 247121">
          <a:extLst>
            <a:ext uri="{FF2B5EF4-FFF2-40B4-BE49-F238E27FC236}">
              <a16:creationId xmlns:a16="http://schemas.microsoft.com/office/drawing/2014/main" id="{796E9ED8-5FA5-4D80-A5D0-DA4C03A7B6C8}"/>
            </a:ext>
          </a:extLst>
        </xdr:cNvPr>
        <xdr:cNvSpPr>
          <a:spLocks noChangeAspect="1"/>
        </xdr:cNvSpPr>
      </xdr:nvSpPr>
      <xdr:spPr>
        <a:xfrm>
          <a:off x="53575198" y="121392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69</xdr:row>
      <xdr:rowOff>42450</xdr:rowOff>
    </xdr:from>
    <xdr:to>
      <xdr:col>79</xdr:col>
      <xdr:colOff>405000</xdr:colOff>
      <xdr:row>70</xdr:row>
      <xdr:rowOff>15001</xdr:rowOff>
    </xdr:to>
    <xdr:sp macro="" textlink="">
      <xdr:nvSpPr>
        <xdr:cNvPr id="247123" name="フリーフォーム: 図形 247122">
          <a:extLst>
            <a:ext uri="{FF2B5EF4-FFF2-40B4-BE49-F238E27FC236}">
              <a16:creationId xmlns:a16="http://schemas.microsoft.com/office/drawing/2014/main" id="{9DAC4EFA-693C-40E7-A607-F667B49FB81B}"/>
            </a:ext>
          </a:extLst>
        </xdr:cNvPr>
        <xdr:cNvSpPr>
          <a:spLocks noChangeAspect="1"/>
        </xdr:cNvSpPr>
      </xdr:nvSpPr>
      <xdr:spPr>
        <a:xfrm>
          <a:off x="54115202" y="121392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69</xdr:row>
      <xdr:rowOff>114450</xdr:rowOff>
    </xdr:from>
    <xdr:to>
      <xdr:col>79</xdr:col>
      <xdr:colOff>477001</xdr:colOff>
      <xdr:row>75</xdr:row>
      <xdr:rowOff>21752</xdr:rowOff>
    </xdr:to>
    <xdr:sp macro="" textlink="">
      <xdr:nvSpPr>
        <xdr:cNvPr id="247124" name="フリーフォーム: 図形 247123">
          <a:extLst>
            <a:ext uri="{FF2B5EF4-FFF2-40B4-BE49-F238E27FC236}">
              <a16:creationId xmlns:a16="http://schemas.microsoft.com/office/drawing/2014/main" id="{A1F11D86-D4D5-461E-9A61-E376D8B6E739}"/>
            </a:ext>
          </a:extLst>
        </xdr:cNvPr>
        <xdr:cNvSpPr>
          <a:spLocks noChangeAspect="1"/>
        </xdr:cNvSpPr>
      </xdr:nvSpPr>
      <xdr:spPr>
        <a:xfrm>
          <a:off x="54367199" y="12211200"/>
          <a:ext cx="288002" cy="936002"/>
        </a:xfrm>
        <a:custGeom>
          <a:avLst/>
          <a:gdLst/>
          <a:ahLst/>
          <a:cxnLst/>
          <a:rect l="0" t="0" r="0" b="0"/>
          <a:pathLst>
            <a:path w="288002" h="936002">
              <a:moveTo>
                <a:pt x="144004" y="108000"/>
              </a:moveTo>
              <a:lnTo>
                <a:pt x="252004" y="0"/>
              </a:lnTo>
              <a:lnTo>
                <a:pt x="288001" y="72000"/>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75</xdr:row>
      <xdr:rowOff>75750</xdr:rowOff>
    </xdr:from>
    <xdr:to>
      <xdr:col>79</xdr:col>
      <xdr:colOff>297000</xdr:colOff>
      <xdr:row>80</xdr:row>
      <xdr:rowOff>136501</xdr:rowOff>
    </xdr:to>
    <xdr:sp macro="" textlink="">
      <xdr:nvSpPr>
        <xdr:cNvPr id="247125" name="フリーフォーム: 図形 247124">
          <a:extLst>
            <a:ext uri="{FF2B5EF4-FFF2-40B4-BE49-F238E27FC236}">
              <a16:creationId xmlns:a16="http://schemas.microsoft.com/office/drawing/2014/main" id="{FF4661A7-B324-4829-8EA2-6DD486F1A449}"/>
            </a:ext>
          </a:extLst>
        </xdr:cNvPr>
        <xdr:cNvSpPr>
          <a:spLocks noChangeAspect="1"/>
        </xdr:cNvSpPr>
      </xdr:nvSpPr>
      <xdr:spPr>
        <a:xfrm>
          <a:off x="54187198" y="132012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80</xdr:row>
      <xdr:rowOff>64500</xdr:rowOff>
    </xdr:from>
    <xdr:to>
      <xdr:col>78</xdr:col>
      <xdr:colOff>226803</xdr:colOff>
      <xdr:row>81</xdr:row>
      <xdr:rowOff>37051</xdr:rowOff>
    </xdr:to>
    <xdr:sp macro="" textlink="">
      <xdr:nvSpPr>
        <xdr:cNvPr id="247126" name="フリーフォーム: 図形 247125">
          <a:extLst>
            <a:ext uri="{FF2B5EF4-FFF2-40B4-BE49-F238E27FC236}">
              <a16:creationId xmlns:a16="http://schemas.microsoft.com/office/drawing/2014/main" id="{F7C3E69C-FF7A-4D8E-8EEC-FEC0188E3EF9}"/>
            </a:ext>
          </a:extLst>
        </xdr:cNvPr>
        <xdr:cNvSpPr>
          <a:spLocks noChangeAspect="1"/>
        </xdr:cNvSpPr>
      </xdr:nvSpPr>
      <xdr:spPr>
        <a:xfrm>
          <a:off x="53233197" y="140472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80</xdr:row>
      <xdr:rowOff>64500</xdr:rowOff>
    </xdr:from>
    <xdr:to>
      <xdr:col>79</xdr:col>
      <xdr:colOff>45003</xdr:colOff>
      <xdr:row>81</xdr:row>
      <xdr:rowOff>37051</xdr:rowOff>
    </xdr:to>
    <xdr:sp macro="" textlink="">
      <xdr:nvSpPr>
        <xdr:cNvPr id="247127" name="フリーフォーム: 図形 247126">
          <a:extLst>
            <a:ext uri="{FF2B5EF4-FFF2-40B4-BE49-F238E27FC236}">
              <a16:creationId xmlns:a16="http://schemas.microsoft.com/office/drawing/2014/main" id="{AC82C106-5267-4322-A23A-3DC30DEF264F}"/>
            </a:ext>
          </a:extLst>
        </xdr:cNvPr>
        <xdr:cNvSpPr>
          <a:spLocks noChangeAspect="1"/>
        </xdr:cNvSpPr>
      </xdr:nvSpPr>
      <xdr:spPr>
        <a:xfrm>
          <a:off x="53755199" y="140472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75</xdr:row>
      <xdr:rowOff>75750</xdr:rowOff>
    </xdr:from>
    <xdr:to>
      <xdr:col>77</xdr:col>
      <xdr:colOff>660599</xdr:colOff>
      <xdr:row>80</xdr:row>
      <xdr:rowOff>136501</xdr:rowOff>
    </xdr:to>
    <xdr:sp macro="" textlink="">
      <xdr:nvSpPr>
        <xdr:cNvPr id="247128" name="フリーフォーム: 図形 247127">
          <a:extLst>
            <a:ext uri="{FF2B5EF4-FFF2-40B4-BE49-F238E27FC236}">
              <a16:creationId xmlns:a16="http://schemas.microsoft.com/office/drawing/2014/main" id="{C3D282A0-A594-419F-A736-28709CF2B571}"/>
            </a:ext>
          </a:extLst>
        </xdr:cNvPr>
        <xdr:cNvSpPr>
          <a:spLocks noChangeAspect="1"/>
        </xdr:cNvSpPr>
      </xdr:nvSpPr>
      <xdr:spPr>
        <a:xfrm>
          <a:off x="53179197" y="132012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69</xdr:row>
      <xdr:rowOff>114450</xdr:rowOff>
    </xdr:from>
    <xdr:to>
      <xdr:col>78</xdr:col>
      <xdr:colOff>118803</xdr:colOff>
      <xdr:row>75</xdr:row>
      <xdr:rowOff>21752</xdr:rowOff>
    </xdr:to>
    <xdr:sp macro="" textlink="">
      <xdr:nvSpPr>
        <xdr:cNvPr id="247129" name="フリーフォーム: 図形 247128">
          <a:extLst>
            <a:ext uri="{FF2B5EF4-FFF2-40B4-BE49-F238E27FC236}">
              <a16:creationId xmlns:a16="http://schemas.microsoft.com/office/drawing/2014/main" id="{A32CBC21-90DA-4723-9FF0-DE49686C7BEF}"/>
            </a:ext>
          </a:extLst>
        </xdr:cNvPr>
        <xdr:cNvSpPr>
          <a:spLocks noChangeAspect="1"/>
        </xdr:cNvSpPr>
      </xdr:nvSpPr>
      <xdr:spPr>
        <a:xfrm>
          <a:off x="53359199" y="12211200"/>
          <a:ext cx="252004" cy="936002"/>
        </a:xfrm>
        <a:custGeom>
          <a:avLst/>
          <a:gdLst/>
          <a:ahLst/>
          <a:cxnLst/>
          <a:rect l="0" t="0" r="0" b="0"/>
          <a:pathLst>
            <a:path w="252004" h="936002">
              <a:moveTo>
                <a:pt x="126001" y="72000"/>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74</xdr:row>
      <xdr:rowOff>139199</xdr:rowOff>
    </xdr:from>
    <xdr:to>
      <xdr:col>78</xdr:col>
      <xdr:colOff>388802</xdr:colOff>
      <xdr:row>75</xdr:row>
      <xdr:rowOff>111751</xdr:rowOff>
    </xdr:to>
    <xdr:sp macro="" textlink="">
      <xdr:nvSpPr>
        <xdr:cNvPr id="247130" name="フリーフォーム: 図形 247129">
          <a:extLst>
            <a:ext uri="{FF2B5EF4-FFF2-40B4-BE49-F238E27FC236}">
              <a16:creationId xmlns:a16="http://schemas.microsoft.com/office/drawing/2014/main" id="{23A97692-0F76-43D5-9F74-2EE3E9EB30C8}"/>
            </a:ext>
          </a:extLst>
        </xdr:cNvPr>
        <xdr:cNvSpPr>
          <a:spLocks noChangeAspect="1"/>
        </xdr:cNvSpPr>
      </xdr:nvSpPr>
      <xdr:spPr>
        <a:xfrm>
          <a:off x="53431201" y="130931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74</xdr:row>
      <xdr:rowOff>139199</xdr:rowOff>
    </xdr:from>
    <xdr:to>
      <xdr:col>79</xdr:col>
      <xdr:colOff>207002</xdr:colOff>
      <xdr:row>75</xdr:row>
      <xdr:rowOff>111751</xdr:rowOff>
    </xdr:to>
    <xdr:sp macro="" textlink="">
      <xdr:nvSpPr>
        <xdr:cNvPr id="247131" name="フリーフォーム: 図形 247130">
          <a:extLst>
            <a:ext uri="{FF2B5EF4-FFF2-40B4-BE49-F238E27FC236}">
              <a16:creationId xmlns:a16="http://schemas.microsoft.com/office/drawing/2014/main" id="{B113EBA0-EC61-45A6-B0A7-1422C8707947}"/>
            </a:ext>
          </a:extLst>
        </xdr:cNvPr>
        <xdr:cNvSpPr>
          <a:spLocks noChangeAspect="1"/>
        </xdr:cNvSpPr>
      </xdr:nvSpPr>
      <xdr:spPr>
        <a:xfrm>
          <a:off x="53935201" y="130931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70</xdr:row>
      <xdr:rowOff>51000</xdr:rowOff>
    </xdr:from>
    <xdr:to>
      <xdr:col>78</xdr:col>
      <xdr:colOff>406804</xdr:colOff>
      <xdr:row>75</xdr:row>
      <xdr:rowOff>3751</xdr:rowOff>
    </xdr:to>
    <xdr:sp macro="" textlink="">
      <xdr:nvSpPr>
        <xdr:cNvPr id="247132" name="フリーフォーム: 図形 247131">
          <a:extLst>
            <a:ext uri="{FF2B5EF4-FFF2-40B4-BE49-F238E27FC236}">
              <a16:creationId xmlns:a16="http://schemas.microsoft.com/office/drawing/2014/main" id="{8B9EFCBC-AA02-4F6F-B441-48E20EE377A5}"/>
            </a:ext>
          </a:extLst>
        </xdr:cNvPr>
        <xdr:cNvSpPr>
          <a:spLocks noChangeAspect="1"/>
        </xdr:cNvSpPr>
      </xdr:nvSpPr>
      <xdr:spPr>
        <a:xfrm>
          <a:off x="53629198" y="123192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69</xdr:row>
      <xdr:rowOff>114450</xdr:rowOff>
    </xdr:from>
    <xdr:to>
      <xdr:col>78</xdr:col>
      <xdr:colOff>658801</xdr:colOff>
      <xdr:row>74</xdr:row>
      <xdr:rowOff>157201</xdr:rowOff>
    </xdr:to>
    <xdr:sp macro="" textlink="">
      <xdr:nvSpPr>
        <xdr:cNvPr id="247133" name="フリーフォーム: 図形 247132">
          <a:extLst>
            <a:ext uri="{FF2B5EF4-FFF2-40B4-BE49-F238E27FC236}">
              <a16:creationId xmlns:a16="http://schemas.microsoft.com/office/drawing/2014/main" id="{6F765085-1695-43FB-A17A-15CECEFE5467}"/>
            </a:ext>
          </a:extLst>
        </xdr:cNvPr>
        <xdr:cNvSpPr>
          <a:spLocks noChangeAspect="1"/>
        </xdr:cNvSpPr>
      </xdr:nvSpPr>
      <xdr:spPr>
        <a:xfrm>
          <a:off x="53899203" y="122112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70</xdr:row>
      <xdr:rowOff>69000</xdr:rowOff>
    </xdr:from>
    <xdr:to>
      <xdr:col>79</xdr:col>
      <xdr:colOff>297000</xdr:colOff>
      <xdr:row>75</xdr:row>
      <xdr:rowOff>3751</xdr:rowOff>
    </xdr:to>
    <xdr:sp macro="" textlink="">
      <xdr:nvSpPr>
        <xdr:cNvPr id="247134" name="フリーフォーム: 図形 247133">
          <a:extLst>
            <a:ext uri="{FF2B5EF4-FFF2-40B4-BE49-F238E27FC236}">
              <a16:creationId xmlns:a16="http://schemas.microsoft.com/office/drawing/2014/main" id="{F2330DE0-E4E4-4AA8-B54F-C4C7BB9ACC22}"/>
            </a:ext>
          </a:extLst>
        </xdr:cNvPr>
        <xdr:cNvSpPr>
          <a:spLocks noChangeAspect="1"/>
        </xdr:cNvSpPr>
      </xdr:nvSpPr>
      <xdr:spPr>
        <a:xfrm>
          <a:off x="53953203" y="123372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75</xdr:row>
      <xdr:rowOff>75750</xdr:rowOff>
    </xdr:from>
    <xdr:to>
      <xdr:col>79</xdr:col>
      <xdr:colOff>8999</xdr:colOff>
      <xdr:row>79</xdr:row>
      <xdr:rowOff>163951</xdr:rowOff>
    </xdr:to>
    <xdr:sp macro="" textlink="">
      <xdr:nvSpPr>
        <xdr:cNvPr id="247135" name="フリーフォーム: 図形 247134">
          <a:extLst>
            <a:ext uri="{FF2B5EF4-FFF2-40B4-BE49-F238E27FC236}">
              <a16:creationId xmlns:a16="http://schemas.microsoft.com/office/drawing/2014/main" id="{022D543E-575F-4C1A-B75B-38ED35648155}"/>
            </a:ext>
          </a:extLst>
        </xdr:cNvPr>
        <xdr:cNvSpPr>
          <a:spLocks noChangeAspect="1"/>
        </xdr:cNvSpPr>
      </xdr:nvSpPr>
      <xdr:spPr>
        <a:xfrm>
          <a:off x="53917199" y="132012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75</xdr:row>
      <xdr:rowOff>93749</xdr:rowOff>
    </xdr:from>
    <xdr:to>
      <xdr:col>78</xdr:col>
      <xdr:colOff>424800</xdr:colOff>
      <xdr:row>80</xdr:row>
      <xdr:rowOff>118501</xdr:rowOff>
    </xdr:to>
    <xdr:sp macro="" textlink="">
      <xdr:nvSpPr>
        <xdr:cNvPr id="247136" name="フリーフォーム: 図形 247135">
          <a:extLst>
            <a:ext uri="{FF2B5EF4-FFF2-40B4-BE49-F238E27FC236}">
              <a16:creationId xmlns:a16="http://schemas.microsoft.com/office/drawing/2014/main" id="{276C397C-A81A-4E9E-A231-C0DD8B918014}"/>
            </a:ext>
          </a:extLst>
        </xdr:cNvPr>
        <xdr:cNvSpPr>
          <a:spLocks noChangeAspect="1"/>
        </xdr:cNvSpPr>
      </xdr:nvSpPr>
      <xdr:spPr>
        <a:xfrm>
          <a:off x="53683198" y="132191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75</xdr:row>
      <xdr:rowOff>75750</xdr:rowOff>
    </xdr:from>
    <xdr:to>
      <xdr:col>78</xdr:col>
      <xdr:colOff>388802</xdr:colOff>
      <xdr:row>80</xdr:row>
      <xdr:rowOff>10501</xdr:rowOff>
    </xdr:to>
    <xdr:sp macro="" textlink="">
      <xdr:nvSpPr>
        <xdr:cNvPr id="247137" name="フリーフォーム: 図形 247136">
          <a:extLst>
            <a:ext uri="{FF2B5EF4-FFF2-40B4-BE49-F238E27FC236}">
              <a16:creationId xmlns:a16="http://schemas.microsoft.com/office/drawing/2014/main" id="{D9854979-9187-4F5A-8719-497D4692BC39}"/>
            </a:ext>
          </a:extLst>
        </xdr:cNvPr>
        <xdr:cNvSpPr>
          <a:spLocks noChangeAspect="1"/>
        </xdr:cNvSpPr>
      </xdr:nvSpPr>
      <xdr:spPr>
        <a:xfrm>
          <a:off x="53359199" y="132012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69</xdr:row>
      <xdr:rowOff>42450</xdr:rowOff>
    </xdr:from>
    <xdr:to>
      <xdr:col>81</xdr:col>
      <xdr:colOff>322201</xdr:colOff>
      <xdr:row>70</xdr:row>
      <xdr:rowOff>15001</xdr:rowOff>
    </xdr:to>
    <xdr:sp macro="" textlink="">
      <xdr:nvSpPr>
        <xdr:cNvPr id="247138" name="フリーフォーム: 図形 247137">
          <a:extLst>
            <a:ext uri="{FF2B5EF4-FFF2-40B4-BE49-F238E27FC236}">
              <a16:creationId xmlns:a16="http://schemas.microsoft.com/office/drawing/2014/main" id="{E4331485-1FC4-441A-A2AB-C332F67A9BC3}"/>
            </a:ext>
          </a:extLst>
        </xdr:cNvPr>
        <xdr:cNvSpPr>
          <a:spLocks noChangeAspect="1"/>
        </xdr:cNvSpPr>
      </xdr:nvSpPr>
      <xdr:spPr>
        <a:xfrm>
          <a:off x="55403998" y="121392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69</xdr:row>
      <xdr:rowOff>42450</xdr:rowOff>
    </xdr:from>
    <xdr:to>
      <xdr:col>82</xdr:col>
      <xdr:colOff>176400</xdr:colOff>
      <xdr:row>70</xdr:row>
      <xdr:rowOff>15001</xdr:rowOff>
    </xdr:to>
    <xdr:sp macro="" textlink="">
      <xdr:nvSpPr>
        <xdr:cNvPr id="247139" name="フリーフォーム: 図形 247138">
          <a:extLst>
            <a:ext uri="{FF2B5EF4-FFF2-40B4-BE49-F238E27FC236}">
              <a16:creationId xmlns:a16="http://schemas.microsoft.com/office/drawing/2014/main" id="{2D26A846-DBE1-4F87-BE7B-194A5AAD6CE2}"/>
            </a:ext>
          </a:extLst>
        </xdr:cNvPr>
        <xdr:cNvSpPr>
          <a:spLocks noChangeAspect="1"/>
        </xdr:cNvSpPr>
      </xdr:nvSpPr>
      <xdr:spPr>
        <a:xfrm>
          <a:off x="55944002" y="121392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69</xdr:row>
      <xdr:rowOff>114450</xdr:rowOff>
    </xdr:from>
    <xdr:to>
      <xdr:col>82</xdr:col>
      <xdr:colOff>248401</xdr:colOff>
      <xdr:row>75</xdr:row>
      <xdr:rowOff>21752</xdr:rowOff>
    </xdr:to>
    <xdr:sp macro="" textlink="">
      <xdr:nvSpPr>
        <xdr:cNvPr id="247140" name="フリーフォーム: 図形 247139">
          <a:extLst>
            <a:ext uri="{FF2B5EF4-FFF2-40B4-BE49-F238E27FC236}">
              <a16:creationId xmlns:a16="http://schemas.microsoft.com/office/drawing/2014/main" id="{2741A8BC-DEA2-414D-80D7-2701D33EA886}"/>
            </a:ext>
          </a:extLst>
        </xdr:cNvPr>
        <xdr:cNvSpPr>
          <a:spLocks noChangeAspect="1"/>
        </xdr:cNvSpPr>
      </xdr:nvSpPr>
      <xdr:spPr>
        <a:xfrm>
          <a:off x="56195999" y="12211200"/>
          <a:ext cx="288002" cy="936002"/>
        </a:xfrm>
        <a:custGeom>
          <a:avLst/>
          <a:gdLst/>
          <a:ahLst/>
          <a:cxnLst/>
          <a:rect l="0" t="0" r="0" b="0"/>
          <a:pathLst>
            <a:path w="288002" h="936002">
              <a:moveTo>
                <a:pt x="144004" y="108000"/>
              </a:moveTo>
              <a:lnTo>
                <a:pt x="252004" y="0"/>
              </a:lnTo>
              <a:lnTo>
                <a:pt x="288001" y="72000"/>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75</xdr:row>
      <xdr:rowOff>75750</xdr:rowOff>
    </xdr:from>
    <xdr:to>
      <xdr:col>82</xdr:col>
      <xdr:colOff>68400</xdr:colOff>
      <xdr:row>80</xdr:row>
      <xdr:rowOff>136501</xdr:rowOff>
    </xdr:to>
    <xdr:sp macro="" textlink="">
      <xdr:nvSpPr>
        <xdr:cNvPr id="247141" name="フリーフォーム: 図形 247140">
          <a:extLst>
            <a:ext uri="{FF2B5EF4-FFF2-40B4-BE49-F238E27FC236}">
              <a16:creationId xmlns:a16="http://schemas.microsoft.com/office/drawing/2014/main" id="{E89F4A6B-6450-4FE1-9354-3F7CF09F0498}"/>
            </a:ext>
          </a:extLst>
        </xdr:cNvPr>
        <xdr:cNvSpPr>
          <a:spLocks noChangeAspect="1"/>
        </xdr:cNvSpPr>
      </xdr:nvSpPr>
      <xdr:spPr>
        <a:xfrm>
          <a:off x="56015998" y="132012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80</xdr:row>
      <xdr:rowOff>64500</xdr:rowOff>
    </xdr:from>
    <xdr:to>
      <xdr:col>80</xdr:col>
      <xdr:colOff>684003</xdr:colOff>
      <xdr:row>81</xdr:row>
      <xdr:rowOff>37051</xdr:rowOff>
    </xdr:to>
    <xdr:sp macro="" textlink="">
      <xdr:nvSpPr>
        <xdr:cNvPr id="247142" name="フリーフォーム: 図形 247141">
          <a:extLst>
            <a:ext uri="{FF2B5EF4-FFF2-40B4-BE49-F238E27FC236}">
              <a16:creationId xmlns:a16="http://schemas.microsoft.com/office/drawing/2014/main" id="{85837035-BF07-4B3B-9365-173E8D915E70}"/>
            </a:ext>
          </a:extLst>
        </xdr:cNvPr>
        <xdr:cNvSpPr>
          <a:spLocks noChangeAspect="1"/>
        </xdr:cNvSpPr>
      </xdr:nvSpPr>
      <xdr:spPr>
        <a:xfrm>
          <a:off x="55061997" y="140472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80</xdr:row>
      <xdr:rowOff>64500</xdr:rowOff>
    </xdr:from>
    <xdr:to>
      <xdr:col>81</xdr:col>
      <xdr:colOff>502203</xdr:colOff>
      <xdr:row>81</xdr:row>
      <xdr:rowOff>37051</xdr:rowOff>
    </xdr:to>
    <xdr:sp macro="" textlink="">
      <xdr:nvSpPr>
        <xdr:cNvPr id="247143" name="フリーフォーム: 図形 247142">
          <a:extLst>
            <a:ext uri="{FF2B5EF4-FFF2-40B4-BE49-F238E27FC236}">
              <a16:creationId xmlns:a16="http://schemas.microsoft.com/office/drawing/2014/main" id="{AD133FBB-5044-4099-9B61-6286F4E9FB68}"/>
            </a:ext>
          </a:extLst>
        </xdr:cNvPr>
        <xdr:cNvSpPr>
          <a:spLocks noChangeAspect="1"/>
        </xdr:cNvSpPr>
      </xdr:nvSpPr>
      <xdr:spPr>
        <a:xfrm>
          <a:off x="55583999" y="140472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75</xdr:row>
      <xdr:rowOff>75750</xdr:rowOff>
    </xdr:from>
    <xdr:to>
      <xdr:col>80</xdr:col>
      <xdr:colOff>431999</xdr:colOff>
      <xdr:row>80</xdr:row>
      <xdr:rowOff>136501</xdr:rowOff>
    </xdr:to>
    <xdr:sp macro="" textlink="">
      <xdr:nvSpPr>
        <xdr:cNvPr id="247144" name="フリーフォーム: 図形 247143">
          <a:extLst>
            <a:ext uri="{FF2B5EF4-FFF2-40B4-BE49-F238E27FC236}">
              <a16:creationId xmlns:a16="http://schemas.microsoft.com/office/drawing/2014/main" id="{F8421625-61AD-40E3-8D12-B0F4A2371898}"/>
            </a:ext>
          </a:extLst>
        </xdr:cNvPr>
        <xdr:cNvSpPr>
          <a:spLocks noChangeAspect="1"/>
        </xdr:cNvSpPr>
      </xdr:nvSpPr>
      <xdr:spPr>
        <a:xfrm>
          <a:off x="55007997" y="132012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69</xdr:row>
      <xdr:rowOff>114450</xdr:rowOff>
    </xdr:from>
    <xdr:to>
      <xdr:col>80</xdr:col>
      <xdr:colOff>576003</xdr:colOff>
      <xdr:row>75</xdr:row>
      <xdr:rowOff>21752</xdr:rowOff>
    </xdr:to>
    <xdr:sp macro="" textlink="">
      <xdr:nvSpPr>
        <xdr:cNvPr id="247145" name="フリーフォーム: 図形 247144">
          <a:extLst>
            <a:ext uri="{FF2B5EF4-FFF2-40B4-BE49-F238E27FC236}">
              <a16:creationId xmlns:a16="http://schemas.microsoft.com/office/drawing/2014/main" id="{7779F61F-99DB-41CC-BF8A-A24D5EB463DF}"/>
            </a:ext>
          </a:extLst>
        </xdr:cNvPr>
        <xdr:cNvSpPr>
          <a:spLocks noChangeAspect="1"/>
        </xdr:cNvSpPr>
      </xdr:nvSpPr>
      <xdr:spPr>
        <a:xfrm>
          <a:off x="55187999" y="12211200"/>
          <a:ext cx="252004" cy="936002"/>
        </a:xfrm>
        <a:custGeom>
          <a:avLst/>
          <a:gdLst/>
          <a:ahLst/>
          <a:cxnLst/>
          <a:rect l="0" t="0" r="0" b="0"/>
          <a:pathLst>
            <a:path w="252004" h="936002">
              <a:moveTo>
                <a:pt x="126001" y="72000"/>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74</xdr:row>
      <xdr:rowOff>139199</xdr:rowOff>
    </xdr:from>
    <xdr:to>
      <xdr:col>81</xdr:col>
      <xdr:colOff>160202</xdr:colOff>
      <xdr:row>75</xdr:row>
      <xdr:rowOff>111751</xdr:rowOff>
    </xdr:to>
    <xdr:sp macro="" textlink="">
      <xdr:nvSpPr>
        <xdr:cNvPr id="247146" name="フリーフォーム: 図形 247145">
          <a:extLst>
            <a:ext uri="{FF2B5EF4-FFF2-40B4-BE49-F238E27FC236}">
              <a16:creationId xmlns:a16="http://schemas.microsoft.com/office/drawing/2014/main" id="{DAF3D62B-C3EC-4AC7-A320-88636DAF2712}"/>
            </a:ext>
          </a:extLst>
        </xdr:cNvPr>
        <xdr:cNvSpPr>
          <a:spLocks noChangeAspect="1"/>
        </xdr:cNvSpPr>
      </xdr:nvSpPr>
      <xdr:spPr>
        <a:xfrm>
          <a:off x="55260001" y="130931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74</xdr:row>
      <xdr:rowOff>139199</xdr:rowOff>
    </xdr:from>
    <xdr:to>
      <xdr:col>81</xdr:col>
      <xdr:colOff>664202</xdr:colOff>
      <xdr:row>75</xdr:row>
      <xdr:rowOff>111751</xdr:rowOff>
    </xdr:to>
    <xdr:sp macro="" textlink="">
      <xdr:nvSpPr>
        <xdr:cNvPr id="247147" name="フリーフォーム: 図形 247146">
          <a:extLst>
            <a:ext uri="{FF2B5EF4-FFF2-40B4-BE49-F238E27FC236}">
              <a16:creationId xmlns:a16="http://schemas.microsoft.com/office/drawing/2014/main" id="{3FAE0017-38F8-4A40-8AFE-BA89D623BA31}"/>
            </a:ext>
          </a:extLst>
        </xdr:cNvPr>
        <xdr:cNvSpPr>
          <a:spLocks noChangeAspect="1"/>
        </xdr:cNvSpPr>
      </xdr:nvSpPr>
      <xdr:spPr>
        <a:xfrm>
          <a:off x="55764001" y="130931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70</xdr:row>
      <xdr:rowOff>51000</xdr:rowOff>
    </xdr:from>
    <xdr:to>
      <xdr:col>81</xdr:col>
      <xdr:colOff>178204</xdr:colOff>
      <xdr:row>75</xdr:row>
      <xdr:rowOff>3751</xdr:rowOff>
    </xdr:to>
    <xdr:sp macro="" textlink="">
      <xdr:nvSpPr>
        <xdr:cNvPr id="247148" name="フリーフォーム: 図形 247147">
          <a:extLst>
            <a:ext uri="{FF2B5EF4-FFF2-40B4-BE49-F238E27FC236}">
              <a16:creationId xmlns:a16="http://schemas.microsoft.com/office/drawing/2014/main" id="{FF7D5A63-E749-4216-94A5-22067F5EE1E3}"/>
            </a:ext>
          </a:extLst>
        </xdr:cNvPr>
        <xdr:cNvSpPr>
          <a:spLocks noChangeAspect="1"/>
        </xdr:cNvSpPr>
      </xdr:nvSpPr>
      <xdr:spPr>
        <a:xfrm>
          <a:off x="55457998" y="123192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69</xdr:row>
      <xdr:rowOff>114450</xdr:rowOff>
    </xdr:from>
    <xdr:to>
      <xdr:col>81</xdr:col>
      <xdr:colOff>430201</xdr:colOff>
      <xdr:row>74</xdr:row>
      <xdr:rowOff>157201</xdr:rowOff>
    </xdr:to>
    <xdr:sp macro="" textlink="">
      <xdr:nvSpPr>
        <xdr:cNvPr id="247149" name="フリーフォーム: 図形 247148">
          <a:extLst>
            <a:ext uri="{FF2B5EF4-FFF2-40B4-BE49-F238E27FC236}">
              <a16:creationId xmlns:a16="http://schemas.microsoft.com/office/drawing/2014/main" id="{49BE3BF6-AD75-4862-B1EF-DFA477DD31D5}"/>
            </a:ext>
          </a:extLst>
        </xdr:cNvPr>
        <xdr:cNvSpPr>
          <a:spLocks noChangeAspect="1"/>
        </xdr:cNvSpPr>
      </xdr:nvSpPr>
      <xdr:spPr>
        <a:xfrm>
          <a:off x="55728003" y="122112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70</xdr:row>
      <xdr:rowOff>69000</xdr:rowOff>
    </xdr:from>
    <xdr:to>
      <xdr:col>82</xdr:col>
      <xdr:colOff>68400</xdr:colOff>
      <xdr:row>75</xdr:row>
      <xdr:rowOff>3751</xdr:rowOff>
    </xdr:to>
    <xdr:sp macro="" textlink="">
      <xdr:nvSpPr>
        <xdr:cNvPr id="247150" name="フリーフォーム: 図形 247149">
          <a:extLst>
            <a:ext uri="{FF2B5EF4-FFF2-40B4-BE49-F238E27FC236}">
              <a16:creationId xmlns:a16="http://schemas.microsoft.com/office/drawing/2014/main" id="{68976BE9-35AD-4CAE-95EA-E5C8DA34B3EB}"/>
            </a:ext>
          </a:extLst>
        </xdr:cNvPr>
        <xdr:cNvSpPr>
          <a:spLocks noChangeAspect="1"/>
        </xdr:cNvSpPr>
      </xdr:nvSpPr>
      <xdr:spPr>
        <a:xfrm>
          <a:off x="55782003" y="123372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75</xdr:row>
      <xdr:rowOff>75750</xdr:rowOff>
    </xdr:from>
    <xdr:to>
      <xdr:col>81</xdr:col>
      <xdr:colOff>466199</xdr:colOff>
      <xdr:row>79</xdr:row>
      <xdr:rowOff>163951</xdr:rowOff>
    </xdr:to>
    <xdr:sp macro="" textlink="">
      <xdr:nvSpPr>
        <xdr:cNvPr id="247151" name="フリーフォーム: 図形 247150">
          <a:extLst>
            <a:ext uri="{FF2B5EF4-FFF2-40B4-BE49-F238E27FC236}">
              <a16:creationId xmlns:a16="http://schemas.microsoft.com/office/drawing/2014/main" id="{C1EB6115-F67F-40D5-85F3-90ED12025C56}"/>
            </a:ext>
          </a:extLst>
        </xdr:cNvPr>
        <xdr:cNvSpPr>
          <a:spLocks noChangeAspect="1"/>
        </xdr:cNvSpPr>
      </xdr:nvSpPr>
      <xdr:spPr>
        <a:xfrm>
          <a:off x="55745999" y="132012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75</xdr:row>
      <xdr:rowOff>93749</xdr:rowOff>
    </xdr:from>
    <xdr:to>
      <xdr:col>81</xdr:col>
      <xdr:colOff>196200</xdr:colOff>
      <xdr:row>80</xdr:row>
      <xdr:rowOff>118501</xdr:rowOff>
    </xdr:to>
    <xdr:sp macro="" textlink="">
      <xdr:nvSpPr>
        <xdr:cNvPr id="247152" name="フリーフォーム: 図形 247151">
          <a:extLst>
            <a:ext uri="{FF2B5EF4-FFF2-40B4-BE49-F238E27FC236}">
              <a16:creationId xmlns:a16="http://schemas.microsoft.com/office/drawing/2014/main" id="{D6AC76E1-C4BD-489B-AF28-F347B9E9FA97}"/>
            </a:ext>
          </a:extLst>
        </xdr:cNvPr>
        <xdr:cNvSpPr>
          <a:spLocks noChangeAspect="1"/>
        </xdr:cNvSpPr>
      </xdr:nvSpPr>
      <xdr:spPr>
        <a:xfrm>
          <a:off x="55511998" y="132191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75</xdr:row>
      <xdr:rowOff>75750</xdr:rowOff>
    </xdr:from>
    <xdr:to>
      <xdr:col>81</xdr:col>
      <xdr:colOff>160202</xdr:colOff>
      <xdr:row>80</xdr:row>
      <xdr:rowOff>10501</xdr:rowOff>
    </xdr:to>
    <xdr:sp macro="" textlink="">
      <xdr:nvSpPr>
        <xdr:cNvPr id="247153" name="フリーフォーム: 図形 247152">
          <a:extLst>
            <a:ext uri="{FF2B5EF4-FFF2-40B4-BE49-F238E27FC236}">
              <a16:creationId xmlns:a16="http://schemas.microsoft.com/office/drawing/2014/main" id="{E75737C5-FC53-46CA-B94D-94D27C74DCCD}"/>
            </a:ext>
          </a:extLst>
        </xdr:cNvPr>
        <xdr:cNvSpPr>
          <a:spLocks noChangeAspect="1"/>
        </xdr:cNvSpPr>
      </xdr:nvSpPr>
      <xdr:spPr>
        <a:xfrm>
          <a:off x="55187999" y="132012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69</xdr:row>
      <xdr:rowOff>42450</xdr:rowOff>
    </xdr:from>
    <xdr:to>
      <xdr:col>84</xdr:col>
      <xdr:colOff>93601</xdr:colOff>
      <xdr:row>70</xdr:row>
      <xdr:rowOff>15001</xdr:rowOff>
    </xdr:to>
    <xdr:sp macro="" textlink="">
      <xdr:nvSpPr>
        <xdr:cNvPr id="247154" name="フリーフォーム: 図形 247153">
          <a:extLst>
            <a:ext uri="{FF2B5EF4-FFF2-40B4-BE49-F238E27FC236}">
              <a16:creationId xmlns:a16="http://schemas.microsoft.com/office/drawing/2014/main" id="{C17ECB2C-DFC4-434E-A86F-DE53E1534A2F}"/>
            </a:ext>
          </a:extLst>
        </xdr:cNvPr>
        <xdr:cNvSpPr>
          <a:spLocks noChangeAspect="1"/>
        </xdr:cNvSpPr>
      </xdr:nvSpPr>
      <xdr:spPr>
        <a:xfrm>
          <a:off x="57232798" y="12139200"/>
          <a:ext cx="468003" cy="144001"/>
        </a:xfrm>
        <a:custGeom>
          <a:avLst/>
          <a:gdLst/>
          <a:ahLst/>
          <a:cxnLst/>
          <a:rect l="0" t="0" r="0" b="0"/>
          <a:pathLst>
            <a:path w="468003" h="144001">
              <a:moveTo>
                <a:pt x="72002" y="0"/>
              </a:moveTo>
              <a:lnTo>
                <a:pt x="432005" y="0"/>
              </a:lnTo>
              <a:lnTo>
                <a:pt x="468002" y="36000"/>
              </a:lnTo>
              <a:lnTo>
                <a:pt x="360003" y="144000"/>
              </a:lnTo>
              <a:lnTo>
                <a:pt x="72002" y="144000"/>
              </a:lnTo>
              <a:lnTo>
                <a:pt x="0" y="3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69</xdr:row>
      <xdr:rowOff>42450</xdr:rowOff>
    </xdr:from>
    <xdr:to>
      <xdr:col>84</xdr:col>
      <xdr:colOff>633600</xdr:colOff>
      <xdr:row>70</xdr:row>
      <xdr:rowOff>15001</xdr:rowOff>
    </xdr:to>
    <xdr:sp macro="" textlink="">
      <xdr:nvSpPr>
        <xdr:cNvPr id="247155" name="フリーフォーム: 図形 247154">
          <a:extLst>
            <a:ext uri="{FF2B5EF4-FFF2-40B4-BE49-F238E27FC236}">
              <a16:creationId xmlns:a16="http://schemas.microsoft.com/office/drawing/2014/main" id="{4935E46A-FEEB-4298-8420-F7DC49E58E5E}"/>
            </a:ext>
          </a:extLst>
        </xdr:cNvPr>
        <xdr:cNvSpPr>
          <a:spLocks noChangeAspect="1"/>
        </xdr:cNvSpPr>
      </xdr:nvSpPr>
      <xdr:spPr>
        <a:xfrm>
          <a:off x="57772802" y="12139200"/>
          <a:ext cx="467998" cy="144001"/>
        </a:xfrm>
        <a:custGeom>
          <a:avLst/>
          <a:gdLst/>
          <a:ahLst/>
          <a:cxnLst/>
          <a:rect l="0" t="0" r="0" b="0"/>
          <a:pathLst>
            <a:path w="467998" h="144001">
              <a:moveTo>
                <a:pt x="71996" y="0"/>
              </a:moveTo>
              <a:lnTo>
                <a:pt x="431999" y="0"/>
              </a:lnTo>
              <a:lnTo>
                <a:pt x="467997" y="36000"/>
              </a:lnTo>
              <a:lnTo>
                <a:pt x="359997" y="144000"/>
              </a:lnTo>
              <a:lnTo>
                <a:pt x="89998" y="144000"/>
              </a:lnTo>
              <a:lnTo>
                <a:pt x="0" y="3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69</xdr:row>
      <xdr:rowOff>114450</xdr:rowOff>
    </xdr:from>
    <xdr:to>
      <xdr:col>85</xdr:col>
      <xdr:colOff>19801</xdr:colOff>
      <xdr:row>75</xdr:row>
      <xdr:rowOff>21752</xdr:rowOff>
    </xdr:to>
    <xdr:sp macro="" textlink="">
      <xdr:nvSpPr>
        <xdr:cNvPr id="247156" name="フリーフォーム: 図形 247155">
          <a:extLst>
            <a:ext uri="{FF2B5EF4-FFF2-40B4-BE49-F238E27FC236}">
              <a16:creationId xmlns:a16="http://schemas.microsoft.com/office/drawing/2014/main" id="{8F34C29E-3164-4EC3-99E4-1D807704B039}"/>
            </a:ext>
          </a:extLst>
        </xdr:cNvPr>
        <xdr:cNvSpPr>
          <a:spLocks noChangeAspect="1"/>
        </xdr:cNvSpPr>
      </xdr:nvSpPr>
      <xdr:spPr>
        <a:xfrm>
          <a:off x="58024799" y="12211200"/>
          <a:ext cx="288002" cy="936002"/>
        </a:xfrm>
        <a:custGeom>
          <a:avLst/>
          <a:gdLst/>
          <a:ahLst/>
          <a:cxnLst/>
          <a:rect l="0" t="0" r="0" b="0"/>
          <a:pathLst>
            <a:path w="288002" h="936002">
              <a:moveTo>
                <a:pt x="144004" y="108000"/>
              </a:moveTo>
              <a:lnTo>
                <a:pt x="252004" y="0"/>
              </a:lnTo>
              <a:lnTo>
                <a:pt x="288001" y="72000"/>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75</xdr:row>
      <xdr:rowOff>75750</xdr:rowOff>
    </xdr:from>
    <xdr:to>
      <xdr:col>84</xdr:col>
      <xdr:colOff>525600</xdr:colOff>
      <xdr:row>80</xdr:row>
      <xdr:rowOff>136501</xdr:rowOff>
    </xdr:to>
    <xdr:sp macro="" textlink="">
      <xdr:nvSpPr>
        <xdr:cNvPr id="247157" name="フリーフォーム: 図形 247156">
          <a:extLst>
            <a:ext uri="{FF2B5EF4-FFF2-40B4-BE49-F238E27FC236}">
              <a16:creationId xmlns:a16="http://schemas.microsoft.com/office/drawing/2014/main" id="{6777BC5A-DFA7-4551-BEF1-C3E37AA9A053}"/>
            </a:ext>
          </a:extLst>
        </xdr:cNvPr>
        <xdr:cNvSpPr>
          <a:spLocks noChangeAspect="1"/>
        </xdr:cNvSpPr>
      </xdr:nvSpPr>
      <xdr:spPr>
        <a:xfrm>
          <a:off x="57844798" y="132012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80</xdr:row>
      <xdr:rowOff>64500</xdr:rowOff>
    </xdr:from>
    <xdr:to>
      <xdr:col>83</xdr:col>
      <xdr:colOff>455403</xdr:colOff>
      <xdr:row>81</xdr:row>
      <xdr:rowOff>37051</xdr:rowOff>
    </xdr:to>
    <xdr:sp macro="" textlink="">
      <xdr:nvSpPr>
        <xdr:cNvPr id="247158" name="フリーフォーム: 図形 247157">
          <a:extLst>
            <a:ext uri="{FF2B5EF4-FFF2-40B4-BE49-F238E27FC236}">
              <a16:creationId xmlns:a16="http://schemas.microsoft.com/office/drawing/2014/main" id="{B0946674-9ECA-4ACA-B43B-BDCE0462CD5E}"/>
            </a:ext>
          </a:extLst>
        </xdr:cNvPr>
        <xdr:cNvSpPr>
          <a:spLocks noChangeAspect="1"/>
        </xdr:cNvSpPr>
      </xdr:nvSpPr>
      <xdr:spPr>
        <a:xfrm>
          <a:off x="56890797" y="140472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80</xdr:row>
      <xdr:rowOff>64500</xdr:rowOff>
    </xdr:from>
    <xdr:to>
      <xdr:col>84</xdr:col>
      <xdr:colOff>273603</xdr:colOff>
      <xdr:row>81</xdr:row>
      <xdr:rowOff>37051</xdr:rowOff>
    </xdr:to>
    <xdr:sp macro="" textlink="">
      <xdr:nvSpPr>
        <xdr:cNvPr id="247159" name="フリーフォーム: 図形 247158">
          <a:extLst>
            <a:ext uri="{FF2B5EF4-FFF2-40B4-BE49-F238E27FC236}">
              <a16:creationId xmlns:a16="http://schemas.microsoft.com/office/drawing/2014/main" id="{F324333C-092C-4362-B534-0D847AFF3243}"/>
            </a:ext>
          </a:extLst>
        </xdr:cNvPr>
        <xdr:cNvSpPr>
          <a:spLocks noChangeAspect="1"/>
        </xdr:cNvSpPr>
      </xdr:nvSpPr>
      <xdr:spPr>
        <a:xfrm>
          <a:off x="57412799" y="140472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75</xdr:row>
      <xdr:rowOff>75750</xdr:rowOff>
    </xdr:from>
    <xdr:to>
      <xdr:col>83</xdr:col>
      <xdr:colOff>203399</xdr:colOff>
      <xdr:row>80</xdr:row>
      <xdr:rowOff>136501</xdr:rowOff>
    </xdr:to>
    <xdr:sp macro="" textlink="">
      <xdr:nvSpPr>
        <xdr:cNvPr id="247160" name="フリーフォーム: 図形 247159">
          <a:extLst>
            <a:ext uri="{FF2B5EF4-FFF2-40B4-BE49-F238E27FC236}">
              <a16:creationId xmlns:a16="http://schemas.microsoft.com/office/drawing/2014/main" id="{839DE8AF-2DCE-4521-B51A-69741ACBAD77}"/>
            </a:ext>
          </a:extLst>
        </xdr:cNvPr>
        <xdr:cNvSpPr>
          <a:spLocks noChangeAspect="1"/>
        </xdr:cNvSpPr>
      </xdr:nvSpPr>
      <xdr:spPr>
        <a:xfrm>
          <a:off x="56836797" y="132012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69</xdr:row>
      <xdr:rowOff>114450</xdr:rowOff>
    </xdr:from>
    <xdr:to>
      <xdr:col>83</xdr:col>
      <xdr:colOff>347403</xdr:colOff>
      <xdr:row>75</xdr:row>
      <xdr:rowOff>21752</xdr:rowOff>
    </xdr:to>
    <xdr:sp macro="" textlink="">
      <xdr:nvSpPr>
        <xdr:cNvPr id="247161" name="フリーフォーム: 図形 247160">
          <a:extLst>
            <a:ext uri="{FF2B5EF4-FFF2-40B4-BE49-F238E27FC236}">
              <a16:creationId xmlns:a16="http://schemas.microsoft.com/office/drawing/2014/main" id="{324535C3-7E0F-445A-9FFD-CE9DD1E194B4}"/>
            </a:ext>
          </a:extLst>
        </xdr:cNvPr>
        <xdr:cNvSpPr>
          <a:spLocks noChangeAspect="1"/>
        </xdr:cNvSpPr>
      </xdr:nvSpPr>
      <xdr:spPr>
        <a:xfrm>
          <a:off x="57016799" y="12211200"/>
          <a:ext cx="252004" cy="936002"/>
        </a:xfrm>
        <a:custGeom>
          <a:avLst/>
          <a:gdLst/>
          <a:ahLst/>
          <a:cxnLst/>
          <a:rect l="0" t="0" r="0" b="0"/>
          <a:pathLst>
            <a:path w="252004" h="936002">
              <a:moveTo>
                <a:pt x="126001" y="72000"/>
              </a:moveTo>
              <a:lnTo>
                <a:pt x="180001" y="0"/>
              </a:lnTo>
              <a:lnTo>
                <a:pt x="252003" y="108000"/>
              </a:lnTo>
              <a:lnTo>
                <a:pt x="144003" y="846000"/>
              </a:lnTo>
              <a:lnTo>
                <a:pt x="36004"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74</xdr:row>
      <xdr:rowOff>139199</xdr:rowOff>
    </xdr:from>
    <xdr:to>
      <xdr:col>83</xdr:col>
      <xdr:colOff>617402</xdr:colOff>
      <xdr:row>75</xdr:row>
      <xdr:rowOff>111751</xdr:rowOff>
    </xdr:to>
    <xdr:sp macro="" textlink="">
      <xdr:nvSpPr>
        <xdr:cNvPr id="247162" name="フリーフォーム: 図形 247161">
          <a:extLst>
            <a:ext uri="{FF2B5EF4-FFF2-40B4-BE49-F238E27FC236}">
              <a16:creationId xmlns:a16="http://schemas.microsoft.com/office/drawing/2014/main" id="{3B3C8752-DF70-4F82-B58E-A0B0C6CF37BE}"/>
            </a:ext>
          </a:extLst>
        </xdr:cNvPr>
        <xdr:cNvSpPr>
          <a:spLocks noChangeAspect="1"/>
        </xdr:cNvSpPr>
      </xdr:nvSpPr>
      <xdr:spPr>
        <a:xfrm>
          <a:off x="57088801" y="130931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74</xdr:row>
      <xdr:rowOff>139199</xdr:rowOff>
    </xdr:from>
    <xdr:to>
      <xdr:col>84</xdr:col>
      <xdr:colOff>435602</xdr:colOff>
      <xdr:row>75</xdr:row>
      <xdr:rowOff>111751</xdr:rowOff>
    </xdr:to>
    <xdr:sp macro="" textlink="">
      <xdr:nvSpPr>
        <xdr:cNvPr id="247163" name="フリーフォーム: 図形 247162">
          <a:extLst>
            <a:ext uri="{FF2B5EF4-FFF2-40B4-BE49-F238E27FC236}">
              <a16:creationId xmlns:a16="http://schemas.microsoft.com/office/drawing/2014/main" id="{51B58CAE-6C0A-462E-89C6-04B47B217440}"/>
            </a:ext>
          </a:extLst>
        </xdr:cNvPr>
        <xdr:cNvSpPr>
          <a:spLocks noChangeAspect="1"/>
        </xdr:cNvSpPr>
      </xdr:nvSpPr>
      <xdr:spPr>
        <a:xfrm>
          <a:off x="57592801" y="130931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70</xdr:row>
      <xdr:rowOff>51000</xdr:rowOff>
    </xdr:from>
    <xdr:to>
      <xdr:col>83</xdr:col>
      <xdr:colOff>635404</xdr:colOff>
      <xdr:row>75</xdr:row>
      <xdr:rowOff>3751</xdr:rowOff>
    </xdr:to>
    <xdr:sp macro="" textlink="">
      <xdr:nvSpPr>
        <xdr:cNvPr id="247164" name="フリーフォーム: 図形 247163">
          <a:extLst>
            <a:ext uri="{FF2B5EF4-FFF2-40B4-BE49-F238E27FC236}">
              <a16:creationId xmlns:a16="http://schemas.microsoft.com/office/drawing/2014/main" id="{8BE8CE1A-B805-4A41-8EF3-57103BC511C9}"/>
            </a:ext>
          </a:extLst>
        </xdr:cNvPr>
        <xdr:cNvSpPr>
          <a:spLocks noChangeAspect="1"/>
        </xdr:cNvSpPr>
      </xdr:nvSpPr>
      <xdr:spPr>
        <a:xfrm>
          <a:off x="57286798" y="12319200"/>
          <a:ext cx="270006" cy="810001"/>
        </a:xfrm>
        <a:custGeom>
          <a:avLst/>
          <a:gdLst/>
          <a:ahLst/>
          <a:cxnLst/>
          <a:rect l="0" t="0" r="0" b="0"/>
          <a:pathLst>
            <a:path w="270006" h="810001">
              <a:moveTo>
                <a:pt x="0" y="180000"/>
              </a:moveTo>
              <a:lnTo>
                <a:pt x="18002" y="0"/>
              </a:lnTo>
              <a:lnTo>
                <a:pt x="107999" y="108000"/>
              </a:lnTo>
              <a:lnTo>
                <a:pt x="215999" y="468000"/>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69</xdr:row>
      <xdr:rowOff>114450</xdr:rowOff>
    </xdr:from>
    <xdr:to>
      <xdr:col>84</xdr:col>
      <xdr:colOff>201601</xdr:colOff>
      <xdr:row>74</xdr:row>
      <xdr:rowOff>157201</xdr:rowOff>
    </xdr:to>
    <xdr:sp macro="" textlink="">
      <xdr:nvSpPr>
        <xdr:cNvPr id="247165" name="フリーフォーム: 図形 247164">
          <a:extLst>
            <a:ext uri="{FF2B5EF4-FFF2-40B4-BE49-F238E27FC236}">
              <a16:creationId xmlns:a16="http://schemas.microsoft.com/office/drawing/2014/main" id="{D0962B11-4812-4C0F-B4B5-1BE31C3D5B54}"/>
            </a:ext>
          </a:extLst>
        </xdr:cNvPr>
        <xdr:cNvSpPr>
          <a:spLocks noChangeAspect="1"/>
        </xdr:cNvSpPr>
      </xdr:nvSpPr>
      <xdr:spPr>
        <a:xfrm>
          <a:off x="57556803" y="12211200"/>
          <a:ext cx="251998" cy="900001"/>
        </a:xfrm>
        <a:custGeom>
          <a:avLst/>
          <a:gdLst/>
          <a:ahLst/>
          <a:cxnLst/>
          <a:rect l="0" t="0" r="0" b="0"/>
          <a:pathLst>
            <a:path w="251998" h="900001">
              <a:moveTo>
                <a:pt x="108000" y="72000"/>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70</xdr:row>
      <xdr:rowOff>69000</xdr:rowOff>
    </xdr:from>
    <xdr:to>
      <xdr:col>84</xdr:col>
      <xdr:colOff>525600</xdr:colOff>
      <xdr:row>75</xdr:row>
      <xdr:rowOff>3751</xdr:rowOff>
    </xdr:to>
    <xdr:sp macro="" textlink="">
      <xdr:nvSpPr>
        <xdr:cNvPr id="247166" name="フリーフォーム: 図形 247165">
          <a:extLst>
            <a:ext uri="{FF2B5EF4-FFF2-40B4-BE49-F238E27FC236}">
              <a16:creationId xmlns:a16="http://schemas.microsoft.com/office/drawing/2014/main" id="{9F3C6039-D7E5-4275-9905-DA2A6D58B748}"/>
            </a:ext>
          </a:extLst>
        </xdr:cNvPr>
        <xdr:cNvSpPr>
          <a:spLocks noChangeAspect="1"/>
        </xdr:cNvSpPr>
      </xdr:nvSpPr>
      <xdr:spPr>
        <a:xfrm>
          <a:off x="57610803" y="12337200"/>
          <a:ext cx="521997" cy="792001"/>
        </a:xfrm>
        <a:custGeom>
          <a:avLst/>
          <a:gdLst/>
          <a:ahLst/>
          <a:cxnLst/>
          <a:rect l="0" t="0" r="0" b="0"/>
          <a:pathLst>
            <a:path w="521997" h="792001">
              <a:moveTo>
                <a:pt x="377999" y="126000"/>
              </a:moveTo>
              <a:lnTo>
                <a:pt x="521996" y="0"/>
              </a:lnTo>
              <a:lnTo>
                <a:pt x="485998" y="198000"/>
              </a:lnTo>
              <a:lnTo>
                <a:pt x="89997" y="738000"/>
              </a:lnTo>
              <a:lnTo>
                <a:pt x="0" y="792000"/>
              </a:lnTo>
              <a:lnTo>
                <a:pt x="197997" y="37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75</xdr:row>
      <xdr:rowOff>75750</xdr:rowOff>
    </xdr:from>
    <xdr:to>
      <xdr:col>84</xdr:col>
      <xdr:colOff>237599</xdr:colOff>
      <xdr:row>79</xdr:row>
      <xdr:rowOff>163951</xdr:rowOff>
    </xdr:to>
    <xdr:sp macro="" textlink="">
      <xdr:nvSpPr>
        <xdr:cNvPr id="247167" name="フリーフォーム: 図形 247166">
          <a:extLst>
            <a:ext uri="{FF2B5EF4-FFF2-40B4-BE49-F238E27FC236}">
              <a16:creationId xmlns:a16="http://schemas.microsoft.com/office/drawing/2014/main" id="{B8CC4B35-441F-4F96-AE88-F56CCAE8E758}"/>
            </a:ext>
          </a:extLst>
        </xdr:cNvPr>
        <xdr:cNvSpPr>
          <a:spLocks noChangeAspect="1"/>
        </xdr:cNvSpPr>
      </xdr:nvSpPr>
      <xdr:spPr>
        <a:xfrm>
          <a:off x="57574799" y="132012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75</xdr:row>
      <xdr:rowOff>93749</xdr:rowOff>
    </xdr:from>
    <xdr:to>
      <xdr:col>83</xdr:col>
      <xdr:colOff>653400</xdr:colOff>
      <xdr:row>80</xdr:row>
      <xdr:rowOff>118501</xdr:rowOff>
    </xdr:to>
    <xdr:sp macro="" textlink="">
      <xdr:nvSpPr>
        <xdr:cNvPr id="247168" name="フリーフォーム: 図形 247167">
          <a:extLst>
            <a:ext uri="{FF2B5EF4-FFF2-40B4-BE49-F238E27FC236}">
              <a16:creationId xmlns:a16="http://schemas.microsoft.com/office/drawing/2014/main" id="{77F74D22-65F5-4F7C-8C0F-8AB8247D1B80}"/>
            </a:ext>
          </a:extLst>
        </xdr:cNvPr>
        <xdr:cNvSpPr>
          <a:spLocks noChangeAspect="1"/>
        </xdr:cNvSpPr>
      </xdr:nvSpPr>
      <xdr:spPr>
        <a:xfrm>
          <a:off x="57340798" y="132191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75</xdr:row>
      <xdr:rowOff>75750</xdr:rowOff>
    </xdr:from>
    <xdr:to>
      <xdr:col>83</xdr:col>
      <xdr:colOff>617402</xdr:colOff>
      <xdr:row>80</xdr:row>
      <xdr:rowOff>10501</xdr:rowOff>
    </xdr:to>
    <xdr:sp macro="" textlink="">
      <xdr:nvSpPr>
        <xdr:cNvPr id="247169" name="フリーフォーム: 図形 247168">
          <a:extLst>
            <a:ext uri="{FF2B5EF4-FFF2-40B4-BE49-F238E27FC236}">
              <a16:creationId xmlns:a16="http://schemas.microsoft.com/office/drawing/2014/main" id="{4B6E5022-F4AA-4794-9F46-7D61B9AB4C78}"/>
            </a:ext>
          </a:extLst>
        </xdr:cNvPr>
        <xdr:cNvSpPr>
          <a:spLocks noChangeAspect="1"/>
        </xdr:cNvSpPr>
      </xdr:nvSpPr>
      <xdr:spPr>
        <a:xfrm>
          <a:off x="57016799" y="132012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85</xdr:row>
      <xdr:rowOff>42450</xdr:rowOff>
    </xdr:from>
    <xdr:to>
      <xdr:col>1</xdr:col>
      <xdr:colOff>322201</xdr:colOff>
      <xdr:row>86</xdr:row>
      <xdr:rowOff>15002</xdr:rowOff>
    </xdr:to>
    <xdr:sp macro="" textlink="">
      <xdr:nvSpPr>
        <xdr:cNvPr id="247170" name="フリーフォーム: 図形 247169">
          <a:extLst>
            <a:ext uri="{FF2B5EF4-FFF2-40B4-BE49-F238E27FC236}">
              <a16:creationId xmlns:a16="http://schemas.microsoft.com/office/drawing/2014/main" id="{616086CF-2242-4792-8422-E0B027DF92F4}"/>
            </a:ext>
          </a:extLst>
        </xdr:cNvPr>
        <xdr:cNvSpPr>
          <a:spLocks noChangeAspect="1"/>
        </xdr:cNvSpPr>
      </xdr:nvSpPr>
      <xdr:spPr>
        <a:xfrm>
          <a:off x="5400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85</xdr:row>
      <xdr:rowOff>42450</xdr:rowOff>
    </xdr:from>
    <xdr:to>
      <xdr:col>2</xdr:col>
      <xdr:colOff>176401</xdr:colOff>
      <xdr:row>86</xdr:row>
      <xdr:rowOff>15002</xdr:rowOff>
    </xdr:to>
    <xdr:sp macro="" textlink="">
      <xdr:nvSpPr>
        <xdr:cNvPr id="247171" name="フリーフォーム: 図形 247170">
          <a:extLst>
            <a:ext uri="{FF2B5EF4-FFF2-40B4-BE49-F238E27FC236}">
              <a16:creationId xmlns:a16="http://schemas.microsoft.com/office/drawing/2014/main" id="{8310E7B9-0E9F-4AFD-B0EB-DB7237A3F7B0}"/>
            </a:ext>
          </a:extLst>
        </xdr:cNvPr>
        <xdr:cNvSpPr>
          <a:spLocks noChangeAspect="1"/>
        </xdr:cNvSpPr>
      </xdr:nvSpPr>
      <xdr:spPr>
        <a:xfrm>
          <a:off x="10800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85</xdr:row>
      <xdr:rowOff>114450</xdr:rowOff>
    </xdr:from>
    <xdr:to>
      <xdr:col>2</xdr:col>
      <xdr:colOff>248401</xdr:colOff>
      <xdr:row>91</xdr:row>
      <xdr:rowOff>21752</xdr:rowOff>
    </xdr:to>
    <xdr:sp macro="" textlink="">
      <xdr:nvSpPr>
        <xdr:cNvPr id="247172" name="フリーフォーム: 図形 247171">
          <a:extLst>
            <a:ext uri="{FF2B5EF4-FFF2-40B4-BE49-F238E27FC236}">
              <a16:creationId xmlns:a16="http://schemas.microsoft.com/office/drawing/2014/main" id="{71E54FD4-080B-4B1D-A53F-A3C10A9A408E}"/>
            </a:ext>
          </a:extLst>
        </xdr:cNvPr>
        <xdr:cNvSpPr>
          <a:spLocks noChangeAspect="1"/>
        </xdr:cNvSpPr>
      </xdr:nvSpPr>
      <xdr:spPr>
        <a:xfrm>
          <a:off x="13320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91</xdr:row>
      <xdr:rowOff>75750</xdr:rowOff>
    </xdr:from>
    <xdr:to>
      <xdr:col>2</xdr:col>
      <xdr:colOff>68401</xdr:colOff>
      <xdr:row>96</xdr:row>
      <xdr:rowOff>136501</xdr:rowOff>
    </xdr:to>
    <xdr:sp macro="" textlink="">
      <xdr:nvSpPr>
        <xdr:cNvPr id="247173" name="フリーフォーム: 図形 247172">
          <a:extLst>
            <a:ext uri="{FF2B5EF4-FFF2-40B4-BE49-F238E27FC236}">
              <a16:creationId xmlns:a16="http://schemas.microsoft.com/office/drawing/2014/main" id="{0C7D0788-CC77-47B0-B347-77EC508A025F}"/>
            </a:ext>
          </a:extLst>
        </xdr:cNvPr>
        <xdr:cNvSpPr>
          <a:spLocks noChangeAspect="1"/>
        </xdr:cNvSpPr>
      </xdr:nvSpPr>
      <xdr:spPr>
        <a:xfrm>
          <a:off x="11520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96</xdr:row>
      <xdr:rowOff>64500</xdr:rowOff>
    </xdr:from>
    <xdr:to>
      <xdr:col>0</xdr:col>
      <xdr:colOff>684001</xdr:colOff>
      <xdr:row>97</xdr:row>
      <xdr:rowOff>37051</xdr:rowOff>
    </xdr:to>
    <xdr:sp macro="" textlink="">
      <xdr:nvSpPr>
        <xdr:cNvPr id="247174" name="フリーフォーム: 図形 247173">
          <a:extLst>
            <a:ext uri="{FF2B5EF4-FFF2-40B4-BE49-F238E27FC236}">
              <a16:creationId xmlns:a16="http://schemas.microsoft.com/office/drawing/2014/main" id="{AA2190AC-3DED-43AE-86C2-845EC9002EC1}"/>
            </a:ext>
          </a:extLst>
        </xdr:cNvPr>
        <xdr:cNvSpPr>
          <a:spLocks noChangeAspect="1"/>
        </xdr:cNvSpPr>
      </xdr:nvSpPr>
      <xdr:spPr>
        <a:xfrm>
          <a:off x="1980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96</xdr:row>
      <xdr:rowOff>64500</xdr:rowOff>
    </xdr:from>
    <xdr:to>
      <xdr:col>1</xdr:col>
      <xdr:colOff>502201</xdr:colOff>
      <xdr:row>97</xdr:row>
      <xdr:rowOff>37051</xdr:rowOff>
    </xdr:to>
    <xdr:sp macro="" textlink="">
      <xdr:nvSpPr>
        <xdr:cNvPr id="247175" name="フリーフォーム: 図形 247174">
          <a:extLst>
            <a:ext uri="{FF2B5EF4-FFF2-40B4-BE49-F238E27FC236}">
              <a16:creationId xmlns:a16="http://schemas.microsoft.com/office/drawing/2014/main" id="{E3A297B7-5960-45D2-8F28-B5C65EF1C5EB}"/>
            </a:ext>
          </a:extLst>
        </xdr:cNvPr>
        <xdr:cNvSpPr>
          <a:spLocks noChangeAspect="1"/>
        </xdr:cNvSpPr>
      </xdr:nvSpPr>
      <xdr:spPr>
        <a:xfrm>
          <a:off x="7200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91</xdr:row>
      <xdr:rowOff>75750</xdr:rowOff>
    </xdr:from>
    <xdr:to>
      <xdr:col>0</xdr:col>
      <xdr:colOff>432001</xdr:colOff>
      <xdr:row>96</xdr:row>
      <xdr:rowOff>136501</xdr:rowOff>
    </xdr:to>
    <xdr:sp macro="" textlink="">
      <xdr:nvSpPr>
        <xdr:cNvPr id="247176" name="フリーフォーム: 図形 247175">
          <a:extLst>
            <a:ext uri="{FF2B5EF4-FFF2-40B4-BE49-F238E27FC236}">
              <a16:creationId xmlns:a16="http://schemas.microsoft.com/office/drawing/2014/main" id="{6ED61566-6B6D-480E-9291-EA1450F072D6}"/>
            </a:ext>
          </a:extLst>
        </xdr:cNvPr>
        <xdr:cNvSpPr>
          <a:spLocks noChangeAspect="1"/>
        </xdr:cNvSpPr>
      </xdr:nvSpPr>
      <xdr:spPr>
        <a:xfrm>
          <a:off x="1440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85</xdr:row>
      <xdr:rowOff>114450</xdr:rowOff>
    </xdr:from>
    <xdr:to>
      <xdr:col>0</xdr:col>
      <xdr:colOff>576001</xdr:colOff>
      <xdr:row>91</xdr:row>
      <xdr:rowOff>21752</xdr:rowOff>
    </xdr:to>
    <xdr:sp macro="" textlink="">
      <xdr:nvSpPr>
        <xdr:cNvPr id="247177" name="フリーフォーム: 図形 247176">
          <a:extLst>
            <a:ext uri="{FF2B5EF4-FFF2-40B4-BE49-F238E27FC236}">
              <a16:creationId xmlns:a16="http://schemas.microsoft.com/office/drawing/2014/main" id="{61094040-56A5-4C3A-9A1D-523A86F00398}"/>
            </a:ext>
          </a:extLst>
        </xdr:cNvPr>
        <xdr:cNvSpPr>
          <a:spLocks noChangeAspect="1"/>
        </xdr:cNvSpPr>
      </xdr:nvSpPr>
      <xdr:spPr>
        <a:xfrm>
          <a:off x="3240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90</xdr:row>
      <xdr:rowOff>139199</xdr:rowOff>
    </xdr:from>
    <xdr:to>
      <xdr:col>1</xdr:col>
      <xdr:colOff>160201</xdr:colOff>
      <xdr:row>91</xdr:row>
      <xdr:rowOff>111751</xdr:rowOff>
    </xdr:to>
    <xdr:sp macro="" textlink="">
      <xdr:nvSpPr>
        <xdr:cNvPr id="247178" name="フリーフォーム: 図形 247177">
          <a:extLst>
            <a:ext uri="{FF2B5EF4-FFF2-40B4-BE49-F238E27FC236}">
              <a16:creationId xmlns:a16="http://schemas.microsoft.com/office/drawing/2014/main" id="{5E9F282F-4F9E-426F-A91F-A94257ED8291}"/>
            </a:ext>
          </a:extLst>
        </xdr:cNvPr>
        <xdr:cNvSpPr>
          <a:spLocks noChangeAspect="1"/>
        </xdr:cNvSpPr>
      </xdr:nvSpPr>
      <xdr:spPr>
        <a:xfrm>
          <a:off x="3960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90</xdr:row>
      <xdr:rowOff>139199</xdr:rowOff>
    </xdr:from>
    <xdr:to>
      <xdr:col>1</xdr:col>
      <xdr:colOff>664201</xdr:colOff>
      <xdr:row>91</xdr:row>
      <xdr:rowOff>111751</xdr:rowOff>
    </xdr:to>
    <xdr:sp macro="" textlink="">
      <xdr:nvSpPr>
        <xdr:cNvPr id="247179" name="フリーフォーム: 図形 247178">
          <a:extLst>
            <a:ext uri="{FF2B5EF4-FFF2-40B4-BE49-F238E27FC236}">
              <a16:creationId xmlns:a16="http://schemas.microsoft.com/office/drawing/2014/main" id="{90C659EB-BE27-49CE-9D8B-732ABAA4A213}"/>
            </a:ext>
          </a:extLst>
        </xdr:cNvPr>
        <xdr:cNvSpPr>
          <a:spLocks noChangeAspect="1"/>
        </xdr:cNvSpPr>
      </xdr:nvSpPr>
      <xdr:spPr>
        <a:xfrm>
          <a:off x="9000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86</xdr:row>
      <xdr:rowOff>51000</xdr:rowOff>
    </xdr:from>
    <xdr:to>
      <xdr:col>1</xdr:col>
      <xdr:colOff>178201</xdr:colOff>
      <xdr:row>91</xdr:row>
      <xdr:rowOff>3751</xdr:rowOff>
    </xdr:to>
    <xdr:sp macro="" textlink="">
      <xdr:nvSpPr>
        <xdr:cNvPr id="247180" name="フリーフォーム: 図形 247179">
          <a:extLst>
            <a:ext uri="{FF2B5EF4-FFF2-40B4-BE49-F238E27FC236}">
              <a16:creationId xmlns:a16="http://schemas.microsoft.com/office/drawing/2014/main" id="{05C0A93B-F8DC-4061-97BC-DF8D5013D27B}"/>
            </a:ext>
          </a:extLst>
        </xdr:cNvPr>
        <xdr:cNvSpPr>
          <a:spLocks noChangeAspect="1"/>
        </xdr:cNvSpPr>
      </xdr:nvSpPr>
      <xdr:spPr>
        <a:xfrm>
          <a:off x="5940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85</xdr:row>
      <xdr:rowOff>114450</xdr:rowOff>
    </xdr:from>
    <xdr:to>
      <xdr:col>1</xdr:col>
      <xdr:colOff>430201</xdr:colOff>
      <xdr:row>90</xdr:row>
      <xdr:rowOff>157201</xdr:rowOff>
    </xdr:to>
    <xdr:sp macro="" textlink="">
      <xdr:nvSpPr>
        <xdr:cNvPr id="247181" name="フリーフォーム: 図形 247180">
          <a:extLst>
            <a:ext uri="{FF2B5EF4-FFF2-40B4-BE49-F238E27FC236}">
              <a16:creationId xmlns:a16="http://schemas.microsoft.com/office/drawing/2014/main" id="{66534991-85DC-4626-B7AF-BC706DE4F67E}"/>
            </a:ext>
          </a:extLst>
        </xdr:cNvPr>
        <xdr:cNvSpPr>
          <a:spLocks noChangeAspect="1"/>
        </xdr:cNvSpPr>
      </xdr:nvSpPr>
      <xdr:spPr>
        <a:xfrm>
          <a:off x="8640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86</xdr:row>
      <xdr:rowOff>69000</xdr:rowOff>
    </xdr:from>
    <xdr:to>
      <xdr:col>2</xdr:col>
      <xdr:colOff>68401</xdr:colOff>
      <xdr:row>91</xdr:row>
      <xdr:rowOff>3751</xdr:rowOff>
    </xdr:to>
    <xdr:sp macro="" textlink="">
      <xdr:nvSpPr>
        <xdr:cNvPr id="247182" name="フリーフォーム: 図形 247181">
          <a:extLst>
            <a:ext uri="{FF2B5EF4-FFF2-40B4-BE49-F238E27FC236}">
              <a16:creationId xmlns:a16="http://schemas.microsoft.com/office/drawing/2014/main" id="{70E283CC-BD05-48F0-B1D0-553A98B2103B}"/>
            </a:ext>
          </a:extLst>
        </xdr:cNvPr>
        <xdr:cNvSpPr>
          <a:spLocks noChangeAspect="1"/>
        </xdr:cNvSpPr>
      </xdr:nvSpPr>
      <xdr:spPr>
        <a:xfrm>
          <a:off x="9180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91</xdr:row>
      <xdr:rowOff>75750</xdr:rowOff>
    </xdr:from>
    <xdr:to>
      <xdr:col>1</xdr:col>
      <xdr:colOff>466201</xdr:colOff>
      <xdr:row>95</xdr:row>
      <xdr:rowOff>163951</xdr:rowOff>
    </xdr:to>
    <xdr:sp macro="" textlink="">
      <xdr:nvSpPr>
        <xdr:cNvPr id="247183" name="フリーフォーム: 図形 247182">
          <a:extLst>
            <a:ext uri="{FF2B5EF4-FFF2-40B4-BE49-F238E27FC236}">
              <a16:creationId xmlns:a16="http://schemas.microsoft.com/office/drawing/2014/main" id="{662B9E65-E34E-43C8-BFC9-A3D265AB60B5}"/>
            </a:ext>
          </a:extLst>
        </xdr:cNvPr>
        <xdr:cNvSpPr>
          <a:spLocks noChangeAspect="1"/>
        </xdr:cNvSpPr>
      </xdr:nvSpPr>
      <xdr:spPr>
        <a:xfrm>
          <a:off x="8820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91</xdr:row>
      <xdr:rowOff>93749</xdr:rowOff>
    </xdr:from>
    <xdr:to>
      <xdr:col>1</xdr:col>
      <xdr:colOff>196201</xdr:colOff>
      <xdr:row>96</xdr:row>
      <xdr:rowOff>118501</xdr:rowOff>
    </xdr:to>
    <xdr:sp macro="" textlink="">
      <xdr:nvSpPr>
        <xdr:cNvPr id="247184" name="フリーフォーム: 図形 247183">
          <a:extLst>
            <a:ext uri="{FF2B5EF4-FFF2-40B4-BE49-F238E27FC236}">
              <a16:creationId xmlns:a16="http://schemas.microsoft.com/office/drawing/2014/main" id="{735D8867-2C28-4630-A491-F5D5F03325EE}"/>
            </a:ext>
          </a:extLst>
        </xdr:cNvPr>
        <xdr:cNvSpPr>
          <a:spLocks noChangeAspect="1"/>
        </xdr:cNvSpPr>
      </xdr:nvSpPr>
      <xdr:spPr>
        <a:xfrm>
          <a:off x="6480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91</xdr:row>
      <xdr:rowOff>75750</xdr:rowOff>
    </xdr:from>
    <xdr:to>
      <xdr:col>1</xdr:col>
      <xdr:colOff>160201</xdr:colOff>
      <xdr:row>96</xdr:row>
      <xdr:rowOff>10501</xdr:rowOff>
    </xdr:to>
    <xdr:sp macro="" textlink="">
      <xdr:nvSpPr>
        <xdr:cNvPr id="247185" name="フリーフォーム: 図形 247184">
          <a:extLst>
            <a:ext uri="{FF2B5EF4-FFF2-40B4-BE49-F238E27FC236}">
              <a16:creationId xmlns:a16="http://schemas.microsoft.com/office/drawing/2014/main" id="{4F518840-90DA-472D-8AE8-8484C8C935CF}"/>
            </a:ext>
          </a:extLst>
        </xdr:cNvPr>
        <xdr:cNvSpPr>
          <a:spLocks noChangeAspect="1"/>
        </xdr:cNvSpPr>
      </xdr:nvSpPr>
      <xdr:spPr>
        <a:xfrm>
          <a:off x="3240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85</xdr:row>
      <xdr:rowOff>42450</xdr:rowOff>
    </xdr:from>
    <xdr:to>
      <xdr:col>4</xdr:col>
      <xdr:colOff>93601</xdr:colOff>
      <xdr:row>86</xdr:row>
      <xdr:rowOff>15002</xdr:rowOff>
    </xdr:to>
    <xdr:sp macro="" textlink="">
      <xdr:nvSpPr>
        <xdr:cNvPr id="247186" name="フリーフォーム: 図形 247185">
          <a:extLst>
            <a:ext uri="{FF2B5EF4-FFF2-40B4-BE49-F238E27FC236}">
              <a16:creationId xmlns:a16="http://schemas.microsoft.com/office/drawing/2014/main" id="{58BC6D6D-72A1-4EE2-A17C-2866990D3E3B}"/>
            </a:ext>
          </a:extLst>
        </xdr:cNvPr>
        <xdr:cNvSpPr>
          <a:spLocks noChangeAspect="1"/>
        </xdr:cNvSpPr>
      </xdr:nvSpPr>
      <xdr:spPr>
        <a:xfrm>
          <a:off x="23688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85</xdr:row>
      <xdr:rowOff>42450</xdr:rowOff>
    </xdr:from>
    <xdr:to>
      <xdr:col>4</xdr:col>
      <xdr:colOff>633601</xdr:colOff>
      <xdr:row>86</xdr:row>
      <xdr:rowOff>15002</xdr:rowOff>
    </xdr:to>
    <xdr:sp macro="" textlink="">
      <xdr:nvSpPr>
        <xdr:cNvPr id="247187" name="フリーフォーム: 図形 247186">
          <a:extLst>
            <a:ext uri="{FF2B5EF4-FFF2-40B4-BE49-F238E27FC236}">
              <a16:creationId xmlns:a16="http://schemas.microsoft.com/office/drawing/2014/main" id="{C22A11E9-BDBE-401C-A116-00D3F02F6B59}"/>
            </a:ext>
          </a:extLst>
        </xdr:cNvPr>
        <xdr:cNvSpPr>
          <a:spLocks noChangeAspect="1"/>
        </xdr:cNvSpPr>
      </xdr:nvSpPr>
      <xdr:spPr>
        <a:xfrm>
          <a:off x="29088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85</xdr:row>
      <xdr:rowOff>114450</xdr:rowOff>
    </xdr:from>
    <xdr:to>
      <xdr:col>5</xdr:col>
      <xdr:colOff>19801</xdr:colOff>
      <xdr:row>91</xdr:row>
      <xdr:rowOff>21752</xdr:rowOff>
    </xdr:to>
    <xdr:sp macro="" textlink="">
      <xdr:nvSpPr>
        <xdr:cNvPr id="247188" name="フリーフォーム: 図形 247187">
          <a:extLst>
            <a:ext uri="{FF2B5EF4-FFF2-40B4-BE49-F238E27FC236}">
              <a16:creationId xmlns:a16="http://schemas.microsoft.com/office/drawing/2014/main" id="{F811645F-C8F8-443B-AA4B-473E7ECBDFA9}"/>
            </a:ext>
          </a:extLst>
        </xdr:cNvPr>
        <xdr:cNvSpPr>
          <a:spLocks noChangeAspect="1"/>
        </xdr:cNvSpPr>
      </xdr:nvSpPr>
      <xdr:spPr>
        <a:xfrm>
          <a:off x="31608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91</xdr:row>
      <xdr:rowOff>75750</xdr:rowOff>
    </xdr:from>
    <xdr:to>
      <xdr:col>4</xdr:col>
      <xdr:colOff>525601</xdr:colOff>
      <xdr:row>96</xdr:row>
      <xdr:rowOff>136501</xdr:rowOff>
    </xdr:to>
    <xdr:sp macro="" textlink="">
      <xdr:nvSpPr>
        <xdr:cNvPr id="247189" name="フリーフォーム: 図形 247188">
          <a:extLst>
            <a:ext uri="{FF2B5EF4-FFF2-40B4-BE49-F238E27FC236}">
              <a16:creationId xmlns:a16="http://schemas.microsoft.com/office/drawing/2014/main" id="{A25F0260-F5AF-4E43-9886-E61ED6C59278}"/>
            </a:ext>
          </a:extLst>
        </xdr:cNvPr>
        <xdr:cNvSpPr>
          <a:spLocks noChangeAspect="1"/>
        </xdr:cNvSpPr>
      </xdr:nvSpPr>
      <xdr:spPr>
        <a:xfrm>
          <a:off x="29808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96</xdr:row>
      <xdr:rowOff>64500</xdr:rowOff>
    </xdr:from>
    <xdr:to>
      <xdr:col>3</xdr:col>
      <xdr:colOff>455401</xdr:colOff>
      <xdr:row>97</xdr:row>
      <xdr:rowOff>37051</xdr:rowOff>
    </xdr:to>
    <xdr:sp macro="" textlink="">
      <xdr:nvSpPr>
        <xdr:cNvPr id="247190" name="フリーフォーム: 図形 247189">
          <a:extLst>
            <a:ext uri="{FF2B5EF4-FFF2-40B4-BE49-F238E27FC236}">
              <a16:creationId xmlns:a16="http://schemas.microsoft.com/office/drawing/2014/main" id="{92112D35-F7A2-4025-A4ED-FBF8033812A9}"/>
            </a:ext>
          </a:extLst>
        </xdr:cNvPr>
        <xdr:cNvSpPr>
          <a:spLocks noChangeAspect="1"/>
        </xdr:cNvSpPr>
      </xdr:nvSpPr>
      <xdr:spPr>
        <a:xfrm>
          <a:off x="20268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96</xdr:row>
      <xdr:rowOff>64500</xdr:rowOff>
    </xdr:from>
    <xdr:to>
      <xdr:col>4</xdr:col>
      <xdr:colOff>273601</xdr:colOff>
      <xdr:row>97</xdr:row>
      <xdr:rowOff>37051</xdr:rowOff>
    </xdr:to>
    <xdr:sp macro="" textlink="">
      <xdr:nvSpPr>
        <xdr:cNvPr id="247191" name="フリーフォーム: 図形 247190">
          <a:extLst>
            <a:ext uri="{FF2B5EF4-FFF2-40B4-BE49-F238E27FC236}">
              <a16:creationId xmlns:a16="http://schemas.microsoft.com/office/drawing/2014/main" id="{028FD676-C162-41B1-85EA-F365A95FD495}"/>
            </a:ext>
          </a:extLst>
        </xdr:cNvPr>
        <xdr:cNvSpPr>
          <a:spLocks noChangeAspect="1"/>
        </xdr:cNvSpPr>
      </xdr:nvSpPr>
      <xdr:spPr>
        <a:xfrm>
          <a:off x="25488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91</xdr:row>
      <xdr:rowOff>75750</xdr:rowOff>
    </xdr:from>
    <xdr:to>
      <xdr:col>3</xdr:col>
      <xdr:colOff>203401</xdr:colOff>
      <xdr:row>96</xdr:row>
      <xdr:rowOff>136501</xdr:rowOff>
    </xdr:to>
    <xdr:sp macro="" textlink="">
      <xdr:nvSpPr>
        <xdr:cNvPr id="247192" name="フリーフォーム: 図形 247191">
          <a:extLst>
            <a:ext uri="{FF2B5EF4-FFF2-40B4-BE49-F238E27FC236}">
              <a16:creationId xmlns:a16="http://schemas.microsoft.com/office/drawing/2014/main" id="{E1B11AB4-1365-4008-944F-FEE04BF827CF}"/>
            </a:ext>
          </a:extLst>
        </xdr:cNvPr>
        <xdr:cNvSpPr>
          <a:spLocks noChangeAspect="1"/>
        </xdr:cNvSpPr>
      </xdr:nvSpPr>
      <xdr:spPr>
        <a:xfrm>
          <a:off x="19728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85</xdr:row>
      <xdr:rowOff>114450</xdr:rowOff>
    </xdr:from>
    <xdr:to>
      <xdr:col>3</xdr:col>
      <xdr:colOff>347401</xdr:colOff>
      <xdr:row>91</xdr:row>
      <xdr:rowOff>21752</xdr:rowOff>
    </xdr:to>
    <xdr:sp macro="" textlink="">
      <xdr:nvSpPr>
        <xdr:cNvPr id="247193" name="フリーフォーム: 図形 247192">
          <a:extLst>
            <a:ext uri="{FF2B5EF4-FFF2-40B4-BE49-F238E27FC236}">
              <a16:creationId xmlns:a16="http://schemas.microsoft.com/office/drawing/2014/main" id="{2B826AE1-A71E-412A-865E-467BB43E1BB8}"/>
            </a:ext>
          </a:extLst>
        </xdr:cNvPr>
        <xdr:cNvSpPr>
          <a:spLocks noChangeAspect="1"/>
        </xdr:cNvSpPr>
      </xdr:nvSpPr>
      <xdr:spPr>
        <a:xfrm>
          <a:off x="21528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90</xdr:row>
      <xdr:rowOff>139199</xdr:rowOff>
    </xdr:from>
    <xdr:to>
      <xdr:col>3</xdr:col>
      <xdr:colOff>617401</xdr:colOff>
      <xdr:row>91</xdr:row>
      <xdr:rowOff>111751</xdr:rowOff>
    </xdr:to>
    <xdr:sp macro="" textlink="">
      <xdr:nvSpPr>
        <xdr:cNvPr id="247194" name="フリーフォーム: 図形 247193">
          <a:extLst>
            <a:ext uri="{FF2B5EF4-FFF2-40B4-BE49-F238E27FC236}">
              <a16:creationId xmlns:a16="http://schemas.microsoft.com/office/drawing/2014/main" id="{59147765-04B1-4699-8E28-DF78EC526179}"/>
            </a:ext>
          </a:extLst>
        </xdr:cNvPr>
        <xdr:cNvSpPr>
          <a:spLocks noChangeAspect="1"/>
        </xdr:cNvSpPr>
      </xdr:nvSpPr>
      <xdr:spPr>
        <a:xfrm>
          <a:off x="22248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90</xdr:row>
      <xdr:rowOff>139199</xdr:rowOff>
    </xdr:from>
    <xdr:to>
      <xdr:col>4</xdr:col>
      <xdr:colOff>435601</xdr:colOff>
      <xdr:row>91</xdr:row>
      <xdr:rowOff>111751</xdr:rowOff>
    </xdr:to>
    <xdr:sp macro="" textlink="">
      <xdr:nvSpPr>
        <xdr:cNvPr id="247195" name="フリーフォーム: 図形 247194">
          <a:extLst>
            <a:ext uri="{FF2B5EF4-FFF2-40B4-BE49-F238E27FC236}">
              <a16:creationId xmlns:a16="http://schemas.microsoft.com/office/drawing/2014/main" id="{9E96FD6A-DFFB-46BF-A2EA-91754BC78363}"/>
            </a:ext>
          </a:extLst>
        </xdr:cNvPr>
        <xdr:cNvSpPr>
          <a:spLocks noChangeAspect="1"/>
        </xdr:cNvSpPr>
      </xdr:nvSpPr>
      <xdr:spPr>
        <a:xfrm>
          <a:off x="27288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86</xdr:row>
      <xdr:rowOff>51000</xdr:rowOff>
    </xdr:from>
    <xdr:to>
      <xdr:col>3</xdr:col>
      <xdr:colOff>635401</xdr:colOff>
      <xdr:row>91</xdr:row>
      <xdr:rowOff>3751</xdr:rowOff>
    </xdr:to>
    <xdr:sp macro="" textlink="">
      <xdr:nvSpPr>
        <xdr:cNvPr id="247196" name="フリーフォーム: 図形 247195">
          <a:extLst>
            <a:ext uri="{FF2B5EF4-FFF2-40B4-BE49-F238E27FC236}">
              <a16:creationId xmlns:a16="http://schemas.microsoft.com/office/drawing/2014/main" id="{9E74CEA6-A886-4D89-B483-54C1B05BA4E0}"/>
            </a:ext>
          </a:extLst>
        </xdr:cNvPr>
        <xdr:cNvSpPr>
          <a:spLocks noChangeAspect="1"/>
        </xdr:cNvSpPr>
      </xdr:nvSpPr>
      <xdr:spPr>
        <a:xfrm>
          <a:off x="24228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85</xdr:row>
      <xdr:rowOff>114450</xdr:rowOff>
    </xdr:from>
    <xdr:to>
      <xdr:col>4</xdr:col>
      <xdr:colOff>201601</xdr:colOff>
      <xdr:row>90</xdr:row>
      <xdr:rowOff>157201</xdr:rowOff>
    </xdr:to>
    <xdr:sp macro="" textlink="">
      <xdr:nvSpPr>
        <xdr:cNvPr id="247197" name="フリーフォーム: 図形 247196">
          <a:extLst>
            <a:ext uri="{FF2B5EF4-FFF2-40B4-BE49-F238E27FC236}">
              <a16:creationId xmlns:a16="http://schemas.microsoft.com/office/drawing/2014/main" id="{0BF91211-93EB-40EB-BE37-028A9AA51A00}"/>
            </a:ext>
          </a:extLst>
        </xdr:cNvPr>
        <xdr:cNvSpPr>
          <a:spLocks noChangeAspect="1"/>
        </xdr:cNvSpPr>
      </xdr:nvSpPr>
      <xdr:spPr>
        <a:xfrm>
          <a:off x="26928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86</xdr:row>
      <xdr:rowOff>69000</xdr:rowOff>
    </xdr:from>
    <xdr:to>
      <xdr:col>4</xdr:col>
      <xdr:colOff>525601</xdr:colOff>
      <xdr:row>91</xdr:row>
      <xdr:rowOff>3751</xdr:rowOff>
    </xdr:to>
    <xdr:sp macro="" textlink="">
      <xdr:nvSpPr>
        <xdr:cNvPr id="247198" name="フリーフォーム: 図形 247197">
          <a:extLst>
            <a:ext uri="{FF2B5EF4-FFF2-40B4-BE49-F238E27FC236}">
              <a16:creationId xmlns:a16="http://schemas.microsoft.com/office/drawing/2014/main" id="{77DD27B3-833C-4361-9807-E95F13AFADF7}"/>
            </a:ext>
          </a:extLst>
        </xdr:cNvPr>
        <xdr:cNvSpPr>
          <a:spLocks noChangeAspect="1"/>
        </xdr:cNvSpPr>
      </xdr:nvSpPr>
      <xdr:spPr>
        <a:xfrm>
          <a:off x="27468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91</xdr:row>
      <xdr:rowOff>75750</xdr:rowOff>
    </xdr:from>
    <xdr:to>
      <xdr:col>4</xdr:col>
      <xdr:colOff>237601</xdr:colOff>
      <xdr:row>95</xdr:row>
      <xdr:rowOff>163951</xdr:rowOff>
    </xdr:to>
    <xdr:sp macro="" textlink="">
      <xdr:nvSpPr>
        <xdr:cNvPr id="247199" name="フリーフォーム: 図形 247198">
          <a:extLst>
            <a:ext uri="{FF2B5EF4-FFF2-40B4-BE49-F238E27FC236}">
              <a16:creationId xmlns:a16="http://schemas.microsoft.com/office/drawing/2014/main" id="{1892E38E-7076-476A-9477-E20FD3561886}"/>
            </a:ext>
          </a:extLst>
        </xdr:cNvPr>
        <xdr:cNvSpPr>
          <a:spLocks noChangeAspect="1"/>
        </xdr:cNvSpPr>
      </xdr:nvSpPr>
      <xdr:spPr>
        <a:xfrm>
          <a:off x="27108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91</xdr:row>
      <xdr:rowOff>93749</xdr:rowOff>
    </xdr:from>
    <xdr:to>
      <xdr:col>3</xdr:col>
      <xdr:colOff>653401</xdr:colOff>
      <xdr:row>96</xdr:row>
      <xdr:rowOff>118501</xdr:rowOff>
    </xdr:to>
    <xdr:sp macro="" textlink="">
      <xdr:nvSpPr>
        <xdr:cNvPr id="247200" name="フリーフォーム: 図形 247199">
          <a:extLst>
            <a:ext uri="{FF2B5EF4-FFF2-40B4-BE49-F238E27FC236}">
              <a16:creationId xmlns:a16="http://schemas.microsoft.com/office/drawing/2014/main" id="{35F7A728-3674-45F7-8D64-A97B09CA5748}"/>
            </a:ext>
          </a:extLst>
        </xdr:cNvPr>
        <xdr:cNvSpPr>
          <a:spLocks noChangeAspect="1"/>
        </xdr:cNvSpPr>
      </xdr:nvSpPr>
      <xdr:spPr>
        <a:xfrm>
          <a:off x="24768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91</xdr:row>
      <xdr:rowOff>75750</xdr:rowOff>
    </xdr:from>
    <xdr:to>
      <xdr:col>3</xdr:col>
      <xdr:colOff>617401</xdr:colOff>
      <xdr:row>96</xdr:row>
      <xdr:rowOff>10501</xdr:rowOff>
    </xdr:to>
    <xdr:sp macro="" textlink="">
      <xdr:nvSpPr>
        <xdr:cNvPr id="247201" name="フリーフォーム: 図形 247200">
          <a:extLst>
            <a:ext uri="{FF2B5EF4-FFF2-40B4-BE49-F238E27FC236}">
              <a16:creationId xmlns:a16="http://schemas.microsoft.com/office/drawing/2014/main" id="{281B9D86-6A68-4494-BF79-1889A1C1155C}"/>
            </a:ext>
          </a:extLst>
        </xdr:cNvPr>
        <xdr:cNvSpPr>
          <a:spLocks noChangeAspect="1"/>
        </xdr:cNvSpPr>
      </xdr:nvSpPr>
      <xdr:spPr>
        <a:xfrm>
          <a:off x="21528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85</xdr:row>
      <xdr:rowOff>42450</xdr:rowOff>
    </xdr:from>
    <xdr:to>
      <xdr:col>6</xdr:col>
      <xdr:colOff>550801</xdr:colOff>
      <xdr:row>86</xdr:row>
      <xdr:rowOff>15002</xdr:rowOff>
    </xdr:to>
    <xdr:sp macro="" textlink="">
      <xdr:nvSpPr>
        <xdr:cNvPr id="247202" name="フリーフォーム: 図形 247201">
          <a:extLst>
            <a:ext uri="{FF2B5EF4-FFF2-40B4-BE49-F238E27FC236}">
              <a16:creationId xmlns:a16="http://schemas.microsoft.com/office/drawing/2014/main" id="{0460FCCA-4572-457C-A89D-B957CD57536B}"/>
            </a:ext>
          </a:extLst>
        </xdr:cNvPr>
        <xdr:cNvSpPr>
          <a:spLocks noChangeAspect="1"/>
        </xdr:cNvSpPr>
      </xdr:nvSpPr>
      <xdr:spPr>
        <a:xfrm>
          <a:off x="41976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85</xdr:row>
      <xdr:rowOff>42450</xdr:rowOff>
    </xdr:from>
    <xdr:to>
      <xdr:col>7</xdr:col>
      <xdr:colOff>405001</xdr:colOff>
      <xdr:row>86</xdr:row>
      <xdr:rowOff>15002</xdr:rowOff>
    </xdr:to>
    <xdr:sp macro="" textlink="">
      <xdr:nvSpPr>
        <xdr:cNvPr id="247203" name="フリーフォーム: 図形 247202">
          <a:extLst>
            <a:ext uri="{FF2B5EF4-FFF2-40B4-BE49-F238E27FC236}">
              <a16:creationId xmlns:a16="http://schemas.microsoft.com/office/drawing/2014/main" id="{340AB95C-7DB4-4E3F-A517-812F87105F46}"/>
            </a:ext>
          </a:extLst>
        </xdr:cNvPr>
        <xdr:cNvSpPr>
          <a:spLocks noChangeAspect="1"/>
        </xdr:cNvSpPr>
      </xdr:nvSpPr>
      <xdr:spPr>
        <a:xfrm>
          <a:off x="47376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85</xdr:row>
      <xdr:rowOff>114450</xdr:rowOff>
    </xdr:from>
    <xdr:to>
      <xdr:col>7</xdr:col>
      <xdr:colOff>477001</xdr:colOff>
      <xdr:row>91</xdr:row>
      <xdr:rowOff>21752</xdr:rowOff>
    </xdr:to>
    <xdr:sp macro="" textlink="">
      <xdr:nvSpPr>
        <xdr:cNvPr id="247204" name="フリーフォーム: 図形 247203">
          <a:extLst>
            <a:ext uri="{FF2B5EF4-FFF2-40B4-BE49-F238E27FC236}">
              <a16:creationId xmlns:a16="http://schemas.microsoft.com/office/drawing/2014/main" id="{9FA67FA1-44F4-4105-AAEA-5AFB7A8DBD1B}"/>
            </a:ext>
          </a:extLst>
        </xdr:cNvPr>
        <xdr:cNvSpPr>
          <a:spLocks noChangeAspect="1"/>
        </xdr:cNvSpPr>
      </xdr:nvSpPr>
      <xdr:spPr>
        <a:xfrm>
          <a:off x="49896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91</xdr:row>
      <xdr:rowOff>75750</xdr:rowOff>
    </xdr:from>
    <xdr:to>
      <xdr:col>7</xdr:col>
      <xdr:colOff>297001</xdr:colOff>
      <xdr:row>96</xdr:row>
      <xdr:rowOff>136501</xdr:rowOff>
    </xdr:to>
    <xdr:sp macro="" textlink="">
      <xdr:nvSpPr>
        <xdr:cNvPr id="247205" name="フリーフォーム: 図形 247204">
          <a:extLst>
            <a:ext uri="{FF2B5EF4-FFF2-40B4-BE49-F238E27FC236}">
              <a16:creationId xmlns:a16="http://schemas.microsoft.com/office/drawing/2014/main" id="{A73F2D21-3B6F-4610-A352-A623A5283C68}"/>
            </a:ext>
          </a:extLst>
        </xdr:cNvPr>
        <xdr:cNvSpPr>
          <a:spLocks noChangeAspect="1"/>
        </xdr:cNvSpPr>
      </xdr:nvSpPr>
      <xdr:spPr>
        <a:xfrm>
          <a:off x="48096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96</xdr:row>
      <xdr:rowOff>64500</xdr:rowOff>
    </xdr:from>
    <xdr:to>
      <xdr:col>6</xdr:col>
      <xdr:colOff>226801</xdr:colOff>
      <xdr:row>97</xdr:row>
      <xdr:rowOff>37051</xdr:rowOff>
    </xdr:to>
    <xdr:sp macro="" textlink="">
      <xdr:nvSpPr>
        <xdr:cNvPr id="247206" name="フリーフォーム: 図形 247205">
          <a:extLst>
            <a:ext uri="{FF2B5EF4-FFF2-40B4-BE49-F238E27FC236}">
              <a16:creationId xmlns:a16="http://schemas.microsoft.com/office/drawing/2014/main" id="{EA5EE1E1-F861-4664-A0E3-0A6A857DFBEA}"/>
            </a:ext>
          </a:extLst>
        </xdr:cNvPr>
        <xdr:cNvSpPr>
          <a:spLocks noChangeAspect="1"/>
        </xdr:cNvSpPr>
      </xdr:nvSpPr>
      <xdr:spPr>
        <a:xfrm>
          <a:off x="38556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96</xdr:row>
      <xdr:rowOff>64500</xdr:rowOff>
    </xdr:from>
    <xdr:to>
      <xdr:col>7</xdr:col>
      <xdr:colOff>45001</xdr:colOff>
      <xdr:row>97</xdr:row>
      <xdr:rowOff>37051</xdr:rowOff>
    </xdr:to>
    <xdr:sp macro="" textlink="">
      <xdr:nvSpPr>
        <xdr:cNvPr id="247207" name="フリーフォーム: 図形 247206">
          <a:extLst>
            <a:ext uri="{FF2B5EF4-FFF2-40B4-BE49-F238E27FC236}">
              <a16:creationId xmlns:a16="http://schemas.microsoft.com/office/drawing/2014/main" id="{68961444-C820-4566-BB5A-E06F13669939}"/>
            </a:ext>
          </a:extLst>
        </xdr:cNvPr>
        <xdr:cNvSpPr>
          <a:spLocks noChangeAspect="1"/>
        </xdr:cNvSpPr>
      </xdr:nvSpPr>
      <xdr:spPr>
        <a:xfrm>
          <a:off x="43776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91</xdr:row>
      <xdr:rowOff>75750</xdr:rowOff>
    </xdr:from>
    <xdr:to>
      <xdr:col>5</xdr:col>
      <xdr:colOff>660601</xdr:colOff>
      <xdr:row>96</xdr:row>
      <xdr:rowOff>136501</xdr:rowOff>
    </xdr:to>
    <xdr:sp macro="" textlink="">
      <xdr:nvSpPr>
        <xdr:cNvPr id="247208" name="フリーフォーム: 図形 247207">
          <a:extLst>
            <a:ext uri="{FF2B5EF4-FFF2-40B4-BE49-F238E27FC236}">
              <a16:creationId xmlns:a16="http://schemas.microsoft.com/office/drawing/2014/main" id="{F19C2594-E489-4851-B5BA-3672D4E66DA1}"/>
            </a:ext>
          </a:extLst>
        </xdr:cNvPr>
        <xdr:cNvSpPr>
          <a:spLocks noChangeAspect="1"/>
        </xdr:cNvSpPr>
      </xdr:nvSpPr>
      <xdr:spPr>
        <a:xfrm>
          <a:off x="38016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85</xdr:row>
      <xdr:rowOff>114450</xdr:rowOff>
    </xdr:from>
    <xdr:to>
      <xdr:col>6</xdr:col>
      <xdr:colOff>118801</xdr:colOff>
      <xdr:row>91</xdr:row>
      <xdr:rowOff>21752</xdr:rowOff>
    </xdr:to>
    <xdr:sp macro="" textlink="">
      <xdr:nvSpPr>
        <xdr:cNvPr id="247209" name="フリーフォーム: 図形 247208">
          <a:extLst>
            <a:ext uri="{FF2B5EF4-FFF2-40B4-BE49-F238E27FC236}">
              <a16:creationId xmlns:a16="http://schemas.microsoft.com/office/drawing/2014/main" id="{09897C37-A0BD-4ACC-9248-AE4B45C13AD2}"/>
            </a:ext>
          </a:extLst>
        </xdr:cNvPr>
        <xdr:cNvSpPr>
          <a:spLocks noChangeAspect="1"/>
        </xdr:cNvSpPr>
      </xdr:nvSpPr>
      <xdr:spPr>
        <a:xfrm>
          <a:off x="39816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90</xdr:row>
      <xdr:rowOff>139199</xdr:rowOff>
    </xdr:from>
    <xdr:to>
      <xdr:col>6</xdr:col>
      <xdr:colOff>388801</xdr:colOff>
      <xdr:row>91</xdr:row>
      <xdr:rowOff>111751</xdr:rowOff>
    </xdr:to>
    <xdr:sp macro="" textlink="">
      <xdr:nvSpPr>
        <xdr:cNvPr id="247210" name="フリーフォーム: 図形 247209">
          <a:extLst>
            <a:ext uri="{FF2B5EF4-FFF2-40B4-BE49-F238E27FC236}">
              <a16:creationId xmlns:a16="http://schemas.microsoft.com/office/drawing/2014/main" id="{7B23B17A-737E-4F7B-992C-1A856101650F}"/>
            </a:ext>
          </a:extLst>
        </xdr:cNvPr>
        <xdr:cNvSpPr>
          <a:spLocks noChangeAspect="1"/>
        </xdr:cNvSpPr>
      </xdr:nvSpPr>
      <xdr:spPr>
        <a:xfrm>
          <a:off x="40536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90</xdr:row>
      <xdr:rowOff>139199</xdr:rowOff>
    </xdr:from>
    <xdr:to>
      <xdr:col>7</xdr:col>
      <xdr:colOff>207001</xdr:colOff>
      <xdr:row>91</xdr:row>
      <xdr:rowOff>111751</xdr:rowOff>
    </xdr:to>
    <xdr:sp macro="" textlink="">
      <xdr:nvSpPr>
        <xdr:cNvPr id="247211" name="フリーフォーム: 図形 247210">
          <a:extLst>
            <a:ext uri="{FF2B5EF4-FFF2-40B4-BE49-F238E27FC236}">
              <a16:creationId xmlns:a16="http://schemas.microsoft.com/office/drawing/2014/main" id="{BC5C01C5-ACE8-4BC4-B7D1-198BE2F8B115}"/>
            </a:ext>
          </a:extLst>
        </xdr:cNvPr>
        <xdr:cNvSpPr>
          <a:spLocks noChangeAspect="1"/>
        </xdr:cNvSpPr>
      </xdr:nvSpPr>
      <xdr:spPr>
        <a:xfrm>
          <a:off x="45576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86</xdr:row>
      <xdr:rowOff>51000</xdr:rowOff>
    </xdr:from>
    <xdr:to>
      <xdr:col>6</xdr:col>
      <xdr:colOff>406801</xdr:colOff>
      <xdr:row>91</xdr:row>
      <xdr:rowOff>3751</xdr:rowOff>
    </xdr:to>
    <xdr:sp macro="" textlink="">
      <xdr:nvSpPr>
        <xdr:cNvPr id="247212" name="フリーフォーム: 図形 247211">
          <a:extLst>
            <a:ext uri="{FF2B5EF4-FFF2-40B4-BE49-F238E27FC236}">
              <a16:creationId xmlns:a16="http://schemas.microsoft.com/office/drawing/2014/main" id="{DBD8C8C9-FFB7-4C96-9691-07E88008C38B}"/>
            </a:ext>
          </a:extLst>
        </xdr:cNvPr>
        <xdr:cNvSpPr>
          <a:spLocks noChangeAspect="1"/>
        </xdr:cNvSpPr>
      </xdr:nvSpPr>
      <xdr:spPr>
        <a:xfrm>
          <a:off x="42516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85</xdr:row>
      <xdr:rowOff>114450</xdr:rowOff>
    </xdr:from>
    <xdr:to>
      <xdr:col>6</xdr:col>
      <xdr:colOff>658801</xdr:colOff>
      <xdr:row>90</xdr:row>
      <xdr:rowOff>157201</xdr:rowOff>
    </xdr:to>
    <xdr:sp macro="" textlink="">
      <xdr:nvSpPr>
        <xdr:cNvPr id="247213" name="フリーフォーム: 図形 247212">
          <a:extLst>
            <a:ext uri="{FF2B5EF4-FFF2-40B4-BE49-F238E27FC236}">
              <a16:creationId xmlns:a16="http://schemas.microsoft.com/office/drawing/2014/main" id="{EC47A8A4-E8DA-43BD-9035-4F13A3168C58}"/>
            </a:ext>
          </a:extLst>
        </xdr:cNvPr>
        <xdr:cNvSpPr>
          <a:spLocks noChangeAspect="1"/>
        </xdr:cNvSpPr>
      </xdr:nvSpPr>
      <xdr:spPr>
        <a:xfrm>
          <a:off x="45216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86</xdr:row>
      <xdr:rowOff>69000</xdr:rowOff>
    </xdr:from>
    <xdr:to>
      <xdr:col>7</xdr:col>
      <xdr:colOff>297001</xdr:colOff>
      <xdr:row>91</xdr:row>
      <xdr:rowOff>3751</xdr:rowOff>
    </xdr:to>
    <xdr:sp macro="" textlink="">
      <xdr:nvSpPr>
        <xdr:cNvPr id="247214" name="フリーフォーム: 図形 247213">
          <a:extLst>
            <a:ext uri="{FF2B5EF4-FFF2-40B4-BE49-F238E27FC236}">
              <a16:creationId xmlns:a16="http://schemas.microsoft.com/office/drawing/2014/main" id="{FA02FFF6-6E59-492B-8103-ECD09D1317BF}"/>
            </a:ext>
          </a:extLst>
        </xdr:cNvPr>
        <xdr:cNvSpPr>
          <a:spLocks noChangeAspect="1"/>
        </xdr:cNvSpPr>
      </xdr:nvSpPr>
      <xdr:spPr>
        <a:xfrm>
          <a:off x="45756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91</xdr:row>
      <xdr:rowOff>75750</xdr:rowOff>
    </xdr:from>
    <xdr:to>
      <xdr:col>7</xdr:col>
      <xdr:colOff>9001</xdr:colOff>
      <xdr:row>95</xdr:row>
      <xdr:rowOff>163951</xdr:rowOff>
    </xdr:to>
    <xdr:sp macro="" textlink="">
      <xdr:nvSpPr>
        <xdr:cNvPr id="247215" name="フリーフォーム: 図形 247214">
          <a:extLst>
            <a:ext uri="{FF2B5EF4-FFF2-40B4-BE49-F238E27FC236}">
              <a16:creationId xmlns:a16="http://schemas.microsoft.com/office/drawing/2014/main" id="{0A2942B6-329E-40C9-8B06-F0EF3DED157D}"/>
            </a:ext>
          </a:extLst>
        </xdr:cNvPr>
        <xdr:cNvSpPr>
          <a:spLocks noChangeAspect="1"/>
        </xdr:cNvSpPr>
      </xdr:nvSpPr>
      <xdr:spPr>
        <a:xfrm>
          <a:off x="45396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91</xdr:row>
      <xdr:rowOff>93749</xdr:rowOff>
    </xdr:from>
    <xdr:to>
      <xdr:col>6</xdr:col>
      <xdr:colOff>424801</xdr:colOff>
      <xdr:row>96</xdr:row>
      <xdr:rowOff>118501</xdr:rowOff>
    </xdr:to>
    <xdr:sp macro="" textlink="">
      <xdr:nvSpPr>
        <xdr:cNvPr id="247216" name="フリーフォーム: 図形 247215">
          <a:extLst>
            <a:ext uri="{FF2B5EF4-FFF2-40B4-BE49-F238E27FC236}">
              <a16:creationId xmlns:a16="http://schemas.microsoft.com/office/drawing/2014/main" id="{DF1A7832-172D-437B-98AD-5A229F5226E1}"/>
            </a:ext>
          </a:extLst>
        </xdr:cNvPr>
        <xdr:cNvSpPr>
          <a:spLocks noChangeAspect="1"/>
        </xdr:cNvSpPr>
      </xdr:nvSpPr>
      <xdr:spPr>
        <a:xfrm>
          <a:off x="43056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91</xdr:row>
      <xdr:rowOff>75750</xdr:rowOff>
    </xdr:from>
    <xdr:to>
      <xdr:col>6</xdr:col>
      <xdr:colOff>388801</xdr:colOff>
      <xdr:row>96</xdr:row>
      <xdr:rowOff>10501</xdr:rowOff>
    </xdr:to>
    <xdr:sp macro="" textlink="">
      <xdr:nvSpPr>
        <xdr:cNvPr id="247217" name="フリーフォーム: 図形 247216">
          <a:extLst>
            <a:ext uri="{FF2B5EF4-FFF2-40B4-BE49-F238E27FC236}">
              <a16:creationId xmlns:a16="http://schemas.microsoft.com/office/drawing/2014/main" id="{A95DBCED-9D06-424B-BA52-67004763EF75}"/>
            </a:ext>
          </a:extLst>
        </xdr:cNvPr>
        <xdr:cNvSpPr>
          <a:spLocks noChangeAspect="1"/>
        </xdr:cNvSpPr>
      </xdr:nvSpPr>
      <xdr:spPr>
        <a:xfrm>
          <a:off x="39816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85</xdr:row>
      <xdr:rowOff>42450</xdr:rowOff>
    </xdr:from>
    <xdr:to>
      <xdr:col>9</xdr:col>
      <xdr:colOff>322201</xdr:colOff>
      <xdr:row>86</xdr:row>
      <xdr:rowOff>15002</xdr:rowOff>
    </xdr:to>
    <xdr:sp macro="" textlink="">
      <xdr:nvSpPr>
        <xdr:cNvPr id="247218" name="フリーフォーム: 図形 247217">
          <a:extLst>
            <a:ext uri="{FF2B5EF4-FFF2-40B4-BE49-F238E27FC236}">
              <a16:creationId xmlns:a16="http://schemas.microsoft.com/office/drawing/2014/main" id="{AB411CC2-C827-4F46-9FA6-C5DF69DBEA44}"/>
            </a:ext>
          </a:extLst>
        </xdr:cNvPr>
        <xdr:cNvSpPr>
          <a:spLocks noChangeAspect="1"/>
        </xdr:cNvSpPr>
      </xdr:nvSpPr>
      <xdr:spPr>
        <a:xfrm>
          <a:off x="60264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85</xdr:row>
      <xdr:rowOff>42450</xdr:rowOff>
    </xdr:from>
    <xdr:to>
      <xdr:col>10</xdr:col>
      <xdr:colOff>176401</xdr:colOff>
      <xdr:row>86</xdr:row>
      <xdr:rowOff>15002</xdr:rowOff>
    </xdr:to>
    <xdr:sp macro="" textlink="">
      <xdr:nvSpPr>
        <xdr:cNvPr id="247219" name="フリーフォーム: 図形 247218">
          <a:extLst>
            <a:ext uri="{FF2B5EF4-FFF2-40B4-BE49-F238E27FC236}">
              <a16:creationId xmlns:a16="http://schemas.microsoft.com/office/drawing/2014/main" id="{250CD3B5-4A2B-4CE4-82FB-43F314518FC3}"/>
            </a:ext>
          </a:extLst>
        </xdr:cNvPr>
        <xdr:cNvSpPr>
          <a:spLocks noChangeAspect="1"/>
        </xdr:cNvSpPr>
      </xdr:nvSpPr>
      <xdr:spPr>
        <a:xfrm>
          <a:off x="65664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85</xdr:row>
      <xdr:rowOff>114450</xdr:rowOff>
    </xdr:from>
    <xdr:to>
      <xdr:col>10</xdr:col>
      <xdr:colOff>248401</xdr:colOff>
      <xdr:row>91</xdr:row>
      <xdr:rowOff>21752</xdr:rowOff>
    </xdr:to>
    <xdr:sp macro="" textlink="">
      <xdr:nvSpPr>
        <xdr:cNvPr id="247220" name="フリーフォーム: 図形 247219">
          <a:extLst>
            <a:ext uri="{FF2B5EF4-FFF2-40B4-BE49-F238E27FC236}">
              <a16:creationId xmlns:a16="http://schemas.microsoft.com/office/drawing/2014/main" id="{54CC77AF-12DB-48EE-B7E1-B3798CE20009}"/>
            </a:ext>
          </a:extLst>
        </xdr:cNvPr>
        <xdr:cNvSpPr>
          <a:spLocks noChangeAspect="1"/>
        </xdr:cNvSpPr>
      </xdr:nvSpPr>
      <xdr:spPr>
        <a:xfrm>
          <a:off x="68184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91</xdr:row>
      <xdr:rowOff>75750</xdr:rowOff>
    </xdr:from>
    <xdr:to>
      <xdr:col>10</xdr:col>
      <xdr:colOff>68401</xdr:colOff>
      <xdr:row>96</xdr:row>
      <xdr:rowOff>136501</xdr:rowOff>
    </xdr:to>
    <xdr:sp macro="" textlink="">
      <xdr:nvSpPr>
        <xdr:cNvPr id="247221" name="フリーフォーム: 図形 247220">
          <a:extLst>
            <a:ext uri="{FF2B5EF4-FFF2-40B4-BE49-F238E27FC236}">
              <a16:creationId xmlns:a16="http://schemas.microsoft.com/office/drawing/2014/main" id="{78C8DA81-2EE2-45E6-B06D-31B81607815E}"/>
            </a:ext>
          </a:extLst>
        </xdr:cNvPr>
        <xdr:cNvSpPr>
          <a:spLocks noChangeAspect="1"/>
        </xdr:cNvSpPr>
      </xdr:nvSpPr>
      <xdr:spPr>
        <a:xfrm>
          <a:off x="66384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96</xdr:row>
      <xdr:rowOff>64500</xdr:rowOff>
    </xdr:from>
    <xdr:to>
      <xdr:col>8</xdr:col>
      <xdr:colOff>684001</xdr:colOff>
      <xdr:row>97</xdr:row>
      <xdr:rowOff>37051</xdr:rowOff>
    </xdr:to>
    <xdr:sp macro="" textlink="">
      <xdr:nvSpPr>
        <xdr:cNvPr id="247222" name="フリーフォーム: 図形 247221">
          <a:extLst>
            <a:ext uri="{FF2B5EF4-FFF2-40B4-BE49-F238E27FC236}">
              <a16:creationId xmlns:a16="http://schemas.microsoft.com/office/drawing/2014/main" id="{403B07DD-2D5E-448E-AC75-84391A7B1053}"/>
            </a:ext>
          </a:extLst>
        </xdr:cNvPr>
        <xdr:cNvSpPr>
          <a:spLocks noChangeAspect="1"/>
        </xdr:cNvSpPr>
      </xdr:nvSpPr>
      <xdr:spPr>
        <a:xfrm>
          <a:off x="56844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96</xdr:row>
      <xdr:rowOff>64500</xdr:rowOff>
    </xdr:from>
    <xdr:to>
      <xdr:col>9</xdr:col>
      <xdr:colOff>502201</xdr:colOff>
      <xdr:row>97</xdr:row>
      <xdr:rowOff>37051</xdr:rowOff>
    </xdr:to>
    <xdr:sp macro="" textlink="">
      <xdr:nvSpPr>
        <xdr:cNvPr id="247223" name="フリーフォーム: 図形 247222">
          <a:extLst>
            <a:ext uri="{FF2B5EF4-FFF2-40B4-BE49-F238E27FC236}">
              <a16:creationId xmlns:a16="http://schemas.microsoft.com/office/drawing/2014/main" id="{9FA7D2A9-2160-4EF4-ACC4-035F7569A7C3}"/>
            </a:ext>
          </a:extLst>
        </xdr:cNvPr>
        <xdr:cNvSpPr>
          <a:spLocks noChangeAspect="1"/>
        </xdr:cNvSpPr>
      </xdr:nvSpPr>
      <xdr:spPr>
        <a:xfrm>
          <a:off x="62064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91</xdr:row>
      <xdr:rowOff>75750</xdr:rowOff>
    </xdr:from>
    <xdr:to>
      <xdr:col>8</xdr:col>
      <xdr:colOff>432001</xdr:colOff>
      <xdr:row>96</xdr:row>
      <xdr:rowOff>136501</xdr:rowOff>
    </xdr:to>
    <xdr:sp macro="" textlink="">
      <xdr:nvSpPr>
        <xdr:cNvPr id="247224" name="フリーフォーム: 図形 247223">
          <a:extLst>
            <a:ext uri="{FF2B5EF4-FFF2-40B4-BE49-F238E27FC236}">
              <a16:creationId xmlns:a16="http://schemas.microsoft.com/office/drawing/2014/main" id="{380AB6C0-3E4D-4560-A578-56EE7D988FDD}"/>
            </a:ext>
          </a:extLst>
        </xdr:cNvPr>
        <xdr:cNvSpPr>
          <a:spLocks noChangeAspect="1"/>
        </xdr:cNvSpPr>
      </xdr:nvSpPr>
      <xdr:spPr>
        <a:xfrm>
          <a:off x="56304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85</xdr:row>
      <xdr:rowOff>114450</xdr:rowOff>
    </xdr:from>
    <xdr:to>
      <xdr:col>8</xdr:col>
      <xdr:colOff>576001</xdr:colOff>
      <xdr:row>91</xdr:row>
      <xdr:rowOff>21752</xdr:rowOff>
    </xdr:to>
    <xdr:sp macro="" textlink="">
      <xdr:nvSpPr>
        <xdr:cNvPr id="247225" name="フリーフォーム: 図形 247224">
          <a:extLst>
            <a:ext uri="{FF2B5EF4-FFF2-40B4-BE49-F238E27FC236}">
              <a16:creationId xmlns:a16="http://schemas.microsoft.com/office/drawing/2014/main" id="{0493F772-58F1-40FB-8ACE-2DB82E088620}"/>
            </a:ext>
          </a:extLst>
        </xdr:cNvPr>
        <xdr:cNvSpPr>
          <a:spLocks noChangeAspect="1"/>
        </xdr:cNvSpPr>
      </xdr:nvSpPr>
      <xdr:spPr>
        <a:xfrm>
          <a:off x="58104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90</xdr:row>
      <xdr:rowOff>139199</xdr:rowOff>
    </xdr:from>
    <xdr:to>
      <xdr:col>9</xdr:col>
      <xdr:colOff>160201</xdr:colOff>
      <xdr:row>91</xdr:row>
      <xdr:rowOff>111751</xdr:rowOff>
    </xdr:to>
    <xdr:sp macro="" textlink="">
      <xdr:nvSpPr>
        <xdr:cNvPr id="247226" name="フリーフォーム: 図形 247225">
          <a:extLst>
            <a:ext uri="{FF2B5EF4-FFF2-40B4-BE49-F238E27FC236}">
              <a16:creationId xmlns:a16="http://schemas.microsoft.com/office/drawing/2014/main" id="{D040DD1F-33A4-41EB-860A-7C39B802E051}"/>
            </a:ext>
          </a:extLst>
        </xdr:cNvPr>
        <xdr:cNvSpPr>
          <a:spLocks noChangeAspect="1"/>
        </xdr:cNvSpPr>
      </xdr:nvSpPr>
      <xdr:spPr>
        <a:xfrm>
          <a:off x="58824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90</xdr:row>
      <xdr:rowOff>139199</xdr:rowOff>
    </xdr:from>
    <xdr:to>
      <xdr:col>9</xdr:col>
      <xdr:colOff>664201</xdr:colOff>
      <xdr:row>91</xdr:row>
      <xdr:rowOff>111751</xdr:rowOff>
    </xdr:to>
    <xdr:sp macro="" textlink="">
      <xdr:nvSpPr>
        <xdr:cNvPr id="247227" name="フリーフォーム: 図形 247226">
          <a:extLst>
            <a:ext uri="{FF2B5EF4-FFF2-40B4-BE49-F238E27FC236}">
              <a16:creationId xmlns:a16="http://schemas.microsoft.com/office/drawing/2014/main" id="{1D6A2780-6E9F-4780-B950-1EEB361700FE}"/>
            </a:ext>
          </a:extLst>
        </xdr:cNvPr>
        <xdr:cNvSpPr>
          <a:spLocks noChangeAspect="1"/>
        </xdr:cNvSpPr>
      </xdr:nvSpPr>
      <xdr:spPr>
        <a:xfrm>
          <a:off x="63864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86</xdr:row>
      <xdr:rowOff>51000</xdr:rowOff>
    </xdr:from>
    <xdr:to>
      <xdr:col>9</xdr:col>
      <xdr:colOff>178201</xdr:colOff>
      <xdr:row>91</xdr:row>
      <xdr:rowOff>3751</xdr:rowOff>
    </xdr:to>
    <xdr:sp macro="" textlink="">
      <xdr:nvSpPr>
        <xdr:cNvPr id="247228" name="フリーフォーム: 図形 247227">
          <a:extLst>
            <a:ext uri="{FF2B5EF4-FFF2-40B4-BE49-F238E27FC236}">
              <a16:creationId xmlns:a16="http://schemas.microsoft.com/office/drawing/2014/main" id="{FB56528E-51EE-4C63-B3F3-F0EDD6BD7147}"/>
            </a:ext>
          </a:extLst>
        </xdr:cNvPr>
        <xdr:cNvSpPr>
          <a:spLocks noChangeAspect="1"/>
        </xdr:cNvSpPr>
      </xdr:nvSpPr>
      <xdr:spPr>
        <a:xfrm>
          <a:off x="60804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85</xdr:row>
      <xdr:rowOff>114450</xdr:rowOff>
    </xdr:from>
    <xdr:to>
      <xdr:col>9</xdr:col>
      <xdr:colOff>430201</xdr:colOff>
      <xdr:row>90</xdr:row>
      <xdr:rowOff>157201</xdr:rowOff>
    </xdr:to>
    <xdr:sp macro="" textlink="">
      <xdr:nvSpPr>
        <xdr:cNvPr id="247229" name="フリーフォーム: 図形 247228">
          <a:extLst>
            <a:ext uri="{FF2B5EF4-FFF2-40B4-BE49-F238E27FC236}">
              <a16:creationId xmlns:a16="http://schemas.microsoft.com/office/drawing/2014/main" id="{CEAD1A48-F643-4A8D-842F-1E41161D767B}"/>
            </a:ext>
          </a:extLst>
        </xdr:cNvPr>
        <xdr:cNvSpPr>
          <a:spLocks noChangeAspect="1"/>
        </xdr:cNvSpPr>
      </xdr:nvSpPr>
      <xdr:spPr>
        <a:xfrm>
          <a:off x="63504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86</xdr:row>
      <xdr:rowOff>69000</xdr:rowOff>
    </xdr:from>
    <xdr:to>
      <xdr:col>10</xdr:col>
      <xdr:colOff>68401</xdr:colOff>
      <xdr:row>91</xdr:row>
      <xdr:rowOff>3751</xdr:rowOff>
    </xdr:to>
    <xdr:sp macro="" textlink="">
      <xdr:nvSpPr>
        <xdr:cNvPr id="247230" name="フリーフォーム: 図形 247229">
          <a:extLst>
            <a:ext uri="{FF2B5EF4-FFF2-40B4-BE49-F238E27FC236}">
              <a16:creationId xmlns:a16="http://schemas.microsoft.com/office/drawing/2014/main" id="{9A58C910-3416-4A93-AD94-3791B4BB62A0}"/>
            </a:ext>
          </a:extLst>
        </xdr:cNvPr>
        <xdr:cNvSpPr>
          <a:spLocks noChangeAspect="1"/>
        </xdr:cNvSpPr>
      </xdr:nvSpPr>
      <xdr:spPr>
        <a:xfrm>
          <a:off x="64044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91</xdr:row>
      <xdr:rowOff>75750</xdr:rowOff>
    </xdr:from>
    <xdr:to>
      <xdr:col>9</xdr:col>
      <xdr:colOff>466201</xdr:colOff>
      <xdr:row>95</xdr:row>
      <xdr:rowOff>163951</xdr:rowOff>
    </xdr:to>
    <xdr:sp macro="" textlink="">
      <xdr:nvSpPr>
        <xdr:cNvPr id="247231" name="フリーフォーム: 図形 247230">
          <a:extLst>
            <a:ext uri="{FF2B5EF4-FFF2-40B4-BE49-F238E27FC236}">
              <a16:creationId xmlns:a16="http://schemas.microsoft.com/office/drawing/2014/main" id="{50C5C4D9-59C9-4BEF-BDEF-65256824B06E}"/>
            </a:ext>
          </a:extLst>
        </xdr:cNvPr>
        <xdr:cNvSpPr>
          <a:spLocks noChangeAspect="1"/>
        </xdr:cNvSpPr>
      </xdr:nvSpPr>
      <xdr:spPr>
        <a:xfrm>
          <a:off x="63684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91</xdr:row>
      <xdr:rowOff>93749</xdr:rowOff>
    </xdr:from>
    <xdr:to>
      <xdr:col>9</xdr:col>
      <xdr:colOff>196201</xdr:colOff>
      <xdr:row>96</xdr:row>
      <xdr:rowOff>118501</xdr:rowOff>
    </xdr:to>
    <xdr:sp macro="" textlink="">
      <xdr:nvSpPr>
        <xdr:cNvPr id="247232" name="フリーフォーム: 図形 247231">
          <a:extLst>
            <a:ext uri="{FF2B5EF4-FFF2-40B4-BE49-F238E27FC236}">
              <a16:creationId xmlns:a16="http://schemas.microsoft.com/office/drawing/2014/main" id="{BEACBB68-E97F-4069-8E44-FEC2BCA75003}"/>
            </a:ext>
          </a:extLst>
        </xdr:cNvPr>
        <xdr:cNvSpPr>
          <a:spLocks noChangeAspect="1"/>
        </xdr:cNvSpPr>
      </xdr:nvSpPr>
      <xdr:spPr>
        <a:xfrm>
          <a:off x="61344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91</xdr:row>
      <xdr:rowOff>75750</xdr:rowOff>
    </xdr:from>
    <xdr:to>
      <xdr:col>9</xdr:col>
      <xdr:colOff>160201</xdr:colOff>
      <xdr:row>96</xdr:row>
      <xdr:rowOff>10501</xdr:rowOff>
    </xdr:to>
    <xdr:sp macro="" textlink="">
      <xdr:nvSpPr>
        <xdr:cNvPr id="247233" name="フリーフォーム: 図形 247232">
          <a:extLst>
            <a:ext uri="{FF2B5EF4-FFF2-40B4-BE49-F238E27FC236}">
              <a16:creationId xmlns:a16="http://schemas.microsoft.com/office/drawing/2014/main" id="{1142B5DA-F2EF-4036-BCC7-A5F0D4463A27}"/>
            </a:ext>
          </a:extLst>
        </xdr:cNvPr>
        <xdr:cNvSpPr>
          <a:spLocks noChangeAspect="1"/>
        </xdr:cNvSpPr>
      </xdr:nvSpPr>
      <xdr:spPr>
        <a:xfrm>
          <a:off x="58104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85</xdr:row>
      <xdr:rowOff>42450</xdr:rowOff>
    </xdr:from>
    <xdr:to>
      <xdr:col>12</xdr:col>
      <xdr:colOff>93601</xdr:colOff>
      <xdr:row>86</xdr:row>
      <xdr:rowOff>15002</xdr:rowOff>
    </xdr:to>
    <xdr:sp macro="" textlink="">
      <xdr:nvSpPr>
        <xdr:cNvPr id="247234" name="フリーフォーム: 図形 247233">
          <a:extLst>
            <a:ext uri="{FF2B5EF4-FFF2-40B4-BE49-F238E27FC236}">
              <a16:creationId xmlns:a16="http://schemas.microsoft.com/office/drawing/2014/main" id="{9BC6D7C5-2D79-4CC9-A575-9EC62637FB97}"/>
            </a:ext>
          </a:extLst>
        </xdr:cNvPr>
        <xdr:cNvSpPr>
          <a:spLocks noChangeAspect="1"/>
        </xdr:cNvSpPr>
      </xdr:nvSpPr>
      <xdr:spPr>
        <a:xfrm>
          <a:off x="78552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85</xdr:row>
      <xdr:rowOff>42450</xdr:rowOff>
    </xdr:from>
    <xdr:to>
      <xdr:col>12</xdr:col>
      <xdr:colOff>633601</xdr:colOff>
      <xdr:row>86</xdr:row>
      <xdr:rowOff>15002</xdr:rowOff>
    </xdr:to>
    <xdr:sp macro="" textlink="">
      <xdr:nvSpPr>
        <xdr:cNvPr id="247235" name="フリーフォーム: 図形 247234">
          <a:extLst>
            <a:ext uri="{FF2B5EF4-FFF2-40B4-BE49-F238E27FC236}">
              <a16:creationId xmlns:a16="http://schemas.microsoft.com/office/drawing/2014/main" id="{6602F043-2887-4A8F-A32A-7A4094C6224F}"/>
            </a:ext>
          </a:extLst>
        </xdr:cNvPr>
        <xdr:cNvSpPr>
          <a:spLocks noChangeAspect="1"/>
        </xdr:cNvSpPr>
      </xdr:nvSpPr>
      <xdr:spPr>
        <a:xfrm>
          <a:off x="83952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85</xdr:row>
      <xdr:rowOff>114450</xdr:rowOff>
    </xdr:from>
    <xdr:to>
      <xdr:col>13</xdr:col>
      <xdr:colOff>19801</xdr:colOff>
      <xdr:row>91</xdr:row>
      <xdr:rowOff>21752</xdr:rowOff>
    </xdr:to>
    <xdr:sp macro="" textlink="">
      <xdr:nvSpPr>
        <xdr:cNvPr id="247236" name="フリーフォーム: 図形 247235">
          <a:extLst>
            <a:ext uri="{FF2B5EF4-FFF2-40B4-BE49-F238E27FC236}">
              <a16:creationId xmlns:a16="http://schemas.microsoft.com/office/drawing/2014/main" id="{B8FEAAA6-CF1E-4593-9EA1-8F9131198B68}"/>
            </a:ext>
          </a:extLst>
        </xdr:cNvPr>
        <xdr:cNvSpPr>
          <a:spLocks noChangeAspect="1"/>
        </xdr:cNvSpPr>
      </xdr:nvSpPr>
      <xdr:spPr>
        <a:xfrm>
          <a:off x="86472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91</xdr:row>
      <xdr:rowOff>75750</xdr:rowOff>
    </xdr:from>
    <xdr:to>
      <xdr:col>12</xdr:col>
      <xdr:colOff>525601</xdr:colOff>
      <xdr:row>96</xdr:row>
      <xdr:rowOff>136501</xdr:rowOff>
    </xdr:to>
    <xdr:sp macro="" textlink="">
      <xdr:nvSpPr>
        <xdr:cNvPr id="247237" name="フリーフォーム: 図形 247236">
          <a:extLst>
            <a:ext uri="{FF2B5EF4-FFF2-40B4-BE49-F238E27FC236}">
              <a16:creationId xmlns:a16="http://schemas.microsoft.com/office/drawing/2014/main" id="{73E1780D-779C-4C3D-B2ED-4E7DA76FAD0A}"/>
            </a:ext>
          </a:extLst>
        </xdr:cNvPr>
        <xdr:cNvSpPr>
          <a:spLocks noChangeAspect="1"/>
        </xdr:cNvSpPr>
      </xdr:nvSpPr>
      <xdr:spPr>
        <a:xfrm>
          <a:off x="84672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96</xdr:row>
      <xdr:rowOff>64500</xdr:rowOff>
    </xdr:from>
    <xdr:to>
      <xdr:col>11</xdr:col>
      <xdr:colOff>455401</xdr:colOff>
      <xdr:row>97</xdr:row>
      <xdr:rowOff>37051</xdr:rowOff>
    </xdr:to>
    <xdr:sp macro="" textlink="">
      <xdr:nvSpPr>
        <xdr:cNvPr id="247238" name="フリーフォーム: 図形 247237">
          <a:extLst>
            <a:ext uri="{FF2B5EF4-FFF2-40B4-BE49-F238E27FC236}">
              <a16:creationId xmlns:a16="http://schemas.microsoft.com/office/drawing/2014/main" id="{A9F5388F-FEB0-4800-BB9A-66715BE5CF63}"/>
            </a:ext>
          </a:extLst>
        </xdr:cNvPr>
        <xdr:cNvSpPr>
          <a:spLocks noChangeAspect="1"/>
        </xdr:cNvSpPr>
      </xdr:nvSpPr>
      <xdr:spPr>
        <a:xfrm>
          <a:off x="75132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96</xdr:row>
      <xdr:rowOff>64500</xdr:rowOff>
    </xdr:from>
    <xdr:to>
      <xdr:col>12</xdr:col>
      <xdr:colOff>273601</xdr:colOff>
      <xdr:row>97</xdr:row>
      <xdr:rowOff>37051</xdr:rowOff>
    </xdr:to>
    <xdr:sp macro="" textlink="">
      <xdr:nvSpPr>
        <xdr:cNvPr id="247239" name="フリーフォーム: 図形 247238">
          <a:extLst>
            <a:ext uri="{FF2B5EF4-FFF2-40B4-BE49-F238E27FC236}">
              <a16:creationId xmlns:a16="http://schemas.microsoft.com/office/drawing/2014/main" id="{67239F50-06BB-4958-BEA1-277D3A056762}"/>
            </a:ext>
          </a:extLst>
        </xdr:cNvPr>
        <xdr:cNvSpPr>
          <a:spLocks noChangeAspect="1"/>
        </xdr:cNvSpPr>
      </xdr:nvSpPr>
      <xdr:spPr>
        <a:xfrm>
          <a:off x="80352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91</xdr:row>
      <xdr:rowOff>75750</xdr:rowOff>
    </xdr:from>
    <xdr:to>
      <xdr:col>11</xdr:col>
      <xdr:colOff>203401</xdr:colOff>
      <xdr:row>96</xdr:row>
      <xdr:rowOff>136501</xdr:rowOff>
    </xdr:to>
    <xdr:sp macro="" textlink="">
      <xdr:nvSpPr>
        <xdr:cNvPr id="247240" name="フリーフォーム: 図形 247239">
          <a:extLst>
            <a:ext uri="{FF2B5EF4-FFF2-40B4-BE49-F238E27FC236}">
              <a16:creationId xmlns:a16="http://schemas.microsoft.com/office/drawing/2014/main" id="{2923D608-BCED-4B97-B1C1-FDD90862A377}"/>
            </a:ext>
          </a:extLst>
        </xdr:cNvPr>
        <xdr:cNvSpPr>
          <a:spLocks noChangeAspect="1"/>
        </xdr:cNvSpPr>
      </xdr:nvSpPr>
      <xdr:spPr>
        <a:xfrm>
          <a:off x="74592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85</xdr:row>
      <xdr:rowOff>114450</xdr:rowOff>
    </xdr:from>
    <xdr:to>
      <xdr:col>11</xdr:col>
      <xdr:colOff>347401</xdr:colOff>
      <xdr:row>91</xdr:row>
      <xdr:rowOff>21752</xdr:rowOff>
    </xdr:to>
    <xdr:sp macro="" textlink="">
      <xdr:nvSpPr>
        <xdr:cNvPr id="247241" name="フリーフォーム: 図形 247240">
          <a:extLst>
            <a:ext uri="{FF2B5EF4-FFF2-40B4-BE49-F238E27FC236}">
              <a16:creationId xmlns:a16="http://schemas.microsoft.com/office/drawing/2014/main" id="{3A07140E-E397-44BD-B2EF-B9F3099741FA}"/>
            </a:ext>
          </a:extLst>
        </xdr:cNvPr>
        <xdr:cNvSpPr>
          <a:spLocks noChangeAspect="1"/>
        </xdr:cNvSpPr>
      </xdr:nvSpPr>
      <xdr:spPr>
        <a:xfrm>
          <a:off x="76392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90</xdr:row>
      <xdr:rowOff>139199</xdr:rowOff>
    </xdr:from>
    <xdr:to>
      <xdr:col>11</xdr:col>
      <xdr:colOff>617401</xdr:colOff>
      <xdr:row>91</xdr:row>
      <xdr:rowOff>111751</xdr:rowOff>
    </xdr:to>
    <xdr:sp macro="" textlink="">
      <xdr:nvSpPr>
        <xdr:cNvPr id="247242" name="フリーフォーム: 図形 247241">
          <a:extLst>
            <a:ext uri="{FF2B5EF4-FFF2-40B4-BE49-F238E27FC236}">
              <a16:creationId xmlns:a16="http://schemas.microsoft.com/office/drawing/2014/main" id="{2888E3C5-D7A7-425D-94F3-63E4EEF7EE4A}"/>
            </a:ext>
          </a:extLst>
        </xdr:cNvPr>
        <xdr:cNvSpPr>
          <a:spLocks noChangeAspect="1"/>
        </xdr:cNvSpPr>
      </xdr:nvSpPr>
      <xdr:spPr>
        <a:xfrm>
          <a:off x="77112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90</xdr:row>
      <xdr:rowOff>139199</xdr:rowOff>
    </xdr:from>
    <xdr:to>
      <xdr:col>12</xdr:col>
      <xdr:colOff>435601</xdr:colOff>
      <xdr:row>91</xdr:row>
      <xdr:rowOff>111751</xdr:rowOff>
    </xdr:to>
    <xdr:sp macro="" textlink="">
      <xdr:nvSpPr>
        <xdr:cNvPr id="247243" name="フリーフォーム: 図形 247242">
          <a:extLst>
            <a:ext uri="{FF2B5EF4-FFF2-40B4-BE49-F238E27FC236}">
              <a16:creationId xmlns:a16="http://schemas.microsoft.com/office/drawing/2014/main" id="{7352114A-3CCB-4863-B6CF-53F9B438DE5A}"/>
            </a:ext>
          </a:extLst>
        </xdr:cNvPr>
        <xdr:cNvSpPr>
          <a:spLocks noChangeAspect="1"/>
        </xdr:cNvSpPr>
      </xdr:nvSpPr>
      <xdr:spPr>
        <a:xfrm>
          <a:off x="82152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86</xdr:row>
      <xdr:rowOff>51000</xdr:rowOff>
    </xdr:from>
    <xdr:to>
      <xdr:col>11</xdr:col>
      <xdr:colOff>635401</xdr:colOff>
      <xdr:row>91</xdr:row>
      <xdr:rowOff>3751</xdr:rowOff>
    </xdr:to>
    <xdr:sp macro="" textlink="">
      <xdr:nvSpPr>
        <xdr:cNvPr id="247244" name="フリーフォーム: 図形 247243">
          <a:extLst>
            <a:ext uri="{FF2B5EF4-FFF2-40B4-BE49-F238E27FC236}">
              <a16:creationId xmlns:a16="http://schemas.microsoft.com/office/drawing/2014/main" id="{EBA3C1E6-6307-44F2-9AA9-35F2FA4AE51A}"/>
            </a:ext>
          </a:extLst>
        </xdr:cNvPr>
        <xdr:cNvSpPr>
          <a:spLocks noChangeAspect="1"/>
        </xdr:cNvSpPr>
      </xdr:nvSpPr>
      <xdr:spPr>
        <a:xfrm>
          <a:off x="79092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85</xdr:row>
      <xdr:rowOff>114450</xdr:rowOff>
    </xdr:from>
    <xdr:to>
      <xdr:col>12</xdr:col>
      <xdr:colOff>201601</xdr:colOff>
      <xdr:row>90</xdr:row>
      <xdr:rowOff>157201</xdr:rowOff>
    </xdr:to>
    <xdr:sp macro="" textlink="">
      <xdr:nvSpPr>
        <xdr:cNvPr id="247245" name="フリーフォーム: 図形 247244">
          <a:extLst>
            <a:ext uri="{FF2B5EF4-FFF2-40B4-BE49-F238E27FC236}">
              <a16:creationId xmlns:a16="http://schemas.microsoft.com/office/drawing/2014/main" id="{C168E02F-11F6-4E7B-9D10-0B660B83AC94}"/>
            </a:ext>
          </a:extLst>
        </xdr:cNvPr>
        <xdr:cNvSpPr>
          <a:spLocks noChangeAspect="1"/>
        </xdr:cNvSpPr>
      </xdr:nvSpPr>
      <xdr:spPr>
        <a:xfrm>
          <a:off x="81792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86</xdr:row>
      <xdr:rowOff>69000</xdr:rowOff>
    </xdr:from>
    <xdr:to>
      <xdr:col>12</xdr:col>
      <xdr:colOff>525601</xdr:colOff>
      <xdr:row>91</xdr:row>
      <xdr:rowOff>3751</xdr:rowOff>
    </xdr:to>
    <xdr:sp macro="" textlink="">
      <xdr:nvSpPr>
        <xdr:cNvPr id="247246" name="フリーフォーム: 図形 247245">
          <a:extLst>
            <a:ext uri="{FF2B5EF4-FFF2-40B4-BE49-F238E27FC236}">
              <a16:creationId xmlns:a16="http://schemas.microsoft.com/office/drawing/2014/main" id="{6E0D0D36-CF83-4366-8277-67F934AD916C}"/>
            </a:ext>
          </a:extLst>
        </xdr:cNvPr>
        <xdr:cNvSpPr>
          <a:spLocks noChangeAspect="1"/>
        </xdr:cNvSpPr>
      </xdr:nvSpPr>
      <xdr:spPr>
        <a:xfrm>
          <a:off x="82332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91</xdr:row>
      <xdr:rowOff>75750</xdr:rowOff>
    </xdr:from>
    <xdr:to>
      <xdr:col>12</xdr:col>
      <xdr:colOff>237601</xdr:colOff>
      <xdr:row>95</xdr:row>
      <xdr:rowOff>163951</xdr:rowOff>
    </xdr:to>
    <xdr:sp macro="" textlink="">
      <xdr:nvSpPr>
        <xdr:cNvPr id="247247" name="フリーフォーム: 図形 247246">
          <a:extLst>
            <a:ext uri="{FF2B5EF4-FFF2-40B4-BE49-F238E27FC236}">
              <a16:creationId xmlns:a16="http://schemas.microsoft.com/office/drawing/2014/main" id="{9A253920-CDAB-4F21-A417-B950A3BF4C11}"/>
            </a:ext>
          </a:extLst>
        </xdr:cNvPr>
        <xdr:cNvSpPr>
          <a:spLocks noChangeAspect="1"/>
        </xdr:cNvSpPr>
      </xdr:nvSpPr>
      <xdr:spPr>
        <a:xfrm>
          <a:off x="81972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91</xdr:row>
      <xdr:rowOff>93749</xdr:rowOff>
    </xdr:from>
    <xdr:to>
      <xdr:col>11</xdr:col>
      <xdr:colOff>653401</xdr:colOff>
      <xdr:row>96</xdr:row>
      <xdr:rowOff>118501</xdr:rowOff>
    </xdr:to>
    <xdr:sp macro="" textlink="">
      <xdr:nvSpPr>
        <xdr:cNvPr id="247248" name="フリーフォーム: 図形 247247">
          <a:extLst>
            <a:ext uri="{FF2B5EF4-FFF2-40B4-BE49-F238E27FC236}">
              <a16:creationId xmlns:a16="http://schemas.microsoft.com/office/drawing/2014/main" id="{038A5DE8-23C0-4482-8873-E4F0EA20305E}"/>
            </a:ext>
          </a:extLst>
        </xdr:cNvPr>
        <xdr:cNvSpPr>
          <a:spLocks noChangeAspect="1"/>
        </xdr:cNvSpPr>
      </xdr:nvSpPr>
      <xdr:spPr>
        <a:xfrm>
          <a:off x="79632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91</xdr:row>
      <xdr:rowOff>75750</xdr:rowOff>
    </xdr:from>
    <xdr:to>
      <xdr:col>11</xdr:col>
      <xdr:colOff>617401</xdr:colOff>
      <xdr:row>96</xdr:row>
      <xdr:rowOff>10501</xdr:rowOff>
    </xdr:to>
    <xdr:sp macro="" textlink="">
      <xdr:nvSpPr>
        <xdr:cNvPr id="247249" name="フリーフォーム: 図形 247248">
          <a:extLst>
            <a:ext uri="{FF2B5EF4-FFF2-40B4-BE49-F238E27FC236}">
              <a16:creationId xmlns:a16="http://schemas.microsoft.com/office/drawing/2014/main" id="{390AF08E-F8C2-4EB7-B5C7-501425FF8EC8}"/>
            </a:ext>
          </a:extLst>
        </xdr:cNvPr>
        <xdr:cNvSpPr>
          <a:spLocks noChangeAspect="1"/>
        </xdr:cNvSpPr>
      </xdr:nvSpPr>
      <xdr:spPr>
        <a:xfrm>
          <a:off x="76392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85</xdr:row>
      <xdr:rowOff>42450</xdr:rowOff>
    </xdr:from>
    <xdr:to>
      <xdr:col>14</xdr:col>
      <xdr:colOff>550801</xdr:colOff>
      <xdr:row>86</xdr:row>
      <xdr:rowOff>15002</xdr:rowOff>
    </xdr:to>
    <xdr:sp macro="" textlink="">
      <xdr:nvSpPr>
        <xdr:cNvPr id="247250" name="フリーフォーム: 図形 247249">
          <a:extLst>
            <a:ext uri="{FF2B5EF4-FFF2-40B4-BE49-F238E27FC236}">
              <a16:creationId xmlns:a16="http://schemas.microsoft.com/office/drawing/2014/main" id="{ED03ACF3-8364-4AAA-999F-48EFDF383E91}"/>
            </a:ext>
          </a:extLst>
        </xdr:cNvPr>
        <xdr:cNvSpPr>
          <a:spLocks noChangeAspect="1"/>
        </xdr:cNvSpPr>
      </xdr:nvSpPr>
      <xdr:spPr>
        <a:xfrm>
          <a:off x="96840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85</xdr:row>
      <xdr:rowOff>42450</xdr:rowOff>
    </xdr:from>
    <xdr:to>
      <xdr:col>15</xdr:col>
      <xdr:colOff>405001</xdr:colOff>
      <xdr:row>86</xdr:row>
      <xdr:rowOff>15002</xdr:rowOff>
    </xdr:to>
    <xdr:sp macro="" textlink="">
      <xdr:nvSpPr>
        <xdr:cNvPr id="247251" name="フリーフォーム: 図形 247250">
          <a:extLst>
            <a:ext uri="{FF2B5EF4-FFF2-40B4-BE49-F238E27FC236}">
              <a16:creationId xmlns:a16="http://schemas.microsoft.com/office/drawing/2014/main" id="{97D6E599-AB66-46D7-98BD-BA5ABDA34401}"/>
            </a:ext>
          </a:extLst>
        </xdr:cNvPr>
        <xdr:cNvSpPr>
          <a:spLocks noChangeAspect="1"/>
        </xdr:cNvSpPr>
      </xdr:nvSpPr>
      <xdr:spPr>
        <a:xfrm>
          <a:off x="102240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85</xdr:row>
      <xdr:rowOff>114450</xdr:rowOff>
    </xdr:from>
    <xdr:to>
      <xdr:col>15</xdr:col>
      <xdr:colOff>477001</xdr:colOff>
      <xdr:row>91</xdr:row>
      <xdr:rowOff>21752</xdr:rowOff>
    </xdr:to>
    <xdr:sp macro="" textlink="">
      <xdr:nvSpPr>
        <xdr:cNvPr id="247252" name="フリーフォーム: 図形 247251">
          <a:extLst>
            <a:ext uri="{FF2B5EF4-FFF2-40B4-BE49-F238E27FC236}">
              <a16:creationId xmlns:a16="http://schemas.microsoft.com/office/drawing/2014/main" id="{ABB617BF-C6F8-4D0F-B73B-8BEC896591B0}"/>
            </a:ext>
          </a:extLst>
        </xdr:cNvPr>
        <xdr:cNvSpPr>
          <a:spLocks noChangeAspect="1"/>
        </xdr:cNvSpPr>
      </xdr:nvSpPr>
      <xdr:spPr>
        <a:xfrm>
          <a:off x="104760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91</xdr:row>
      <xdr:rowOff>75750</xdr:rowOff>
    </xdr:from>
    <xdr:to>
      <xdr:col>15</xdr:col>
      <xdr:colOff>297001</xdr:colOff>
      <xdr:row>96</xdr:row>
      <xdr:rowOff>136501</xdr:rowOff>
    </xdr:to>
    <xdr:sp macro="" textlink="">
      <xdr:nvSpPr>
        <xdr:cNvPr id="247253" name="フリーフォーム: 図形 247252">
          <a:extLst>
            <a:ext uri="{FF2B5EF4-FFF2-40B4-BE49-F238E27FC236}">
              <a16:creationId xmlns:a16="http://schemas.microsoft.com/office/drawing/2014/main" id="{F28ACAD0-C62F-49C9-BDF3-597E3147E858}"/>
            </a:ext>
          </a:extLst>
        </xdr:cNvPr>
        <xdr:cNvSpPr>
          <a:spLocks noChangeAspect="1"/>
        </xdr:cNvSpPr>
      </xdr:nvSpPr>
      <xdr:spPr>
        <a:xfrm>
          <a:off x="102960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96</xdr:row>
      <xdr:rowOff>64500</xdr:rowOff>
    </xdr:from>
    <xdr:to>
      <xdr:col>14</xdr:col>
      <xdr:colOff>226801</xdr:colOff>
      <xdr:row>97</xdr:row>
      <xdr:rowOff>37051</xdr:rowOff>
    </xdr:to>
    <xdr:sp macro="" textlink="">
      <xdr:nvSpPr>
        <xdr:cNvPr id="247254" name="フリーフォーム: 図形 247253">
          <a:extLst>
            <a:ext uri="{FF2B5EF4-FFF2-40B4-BE49-F238E27FC236}">
              <a16:creationId xmlns:a16="http://schemas.microsoft.com/office/drawing/2014/main" id="{AAC39CF6-83A1-4643-90B2-ABA53114FE25}"/>
            </a:ext>
          </a:extLst>
        </xdr:cNvPr>
        <xdr:cNvSpPr>
          <a:spLocks noChangeAspect="1"/>
        </xdr:cNvSpPr>
      </xdr:nvSpPr>
      <xdr:spPr>
        <a:xfrm>
          <a:off x="93420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96</xdr:row>
      <xdr:rowOff>64500</xdr:rowOff>
    </xdr:from>
    <xdr:to>
      <xdr:col>15</xdr:col>
      <xdr:colOff>45001</xdr:colOff>
      <xdr:row>97</xdr:row>
      <xdr:rowOff>37051</xdr:rowOff>
    </xdr:to>
    <xdr:sp macro="" textlink="">
      <xdr:nvSpPr>
        <xdr:cNvPr id="247255" name="フリーフォーム: 図形 247254">
          <a:extLst>
            <a:ext uri="{FF2B5EF4-FFF2-40B4-BE49-F238E27FC236}">
              <a16:creationId xmlns:a16="http://schemas.microsoft.com/office/drawing/2014/main" id="{0892127E-65F0-43E1-A253-9144E7D49059}"/>
            </a:ext>
          </a:extLst>
        </xdr:cNvPr>
        <xdr:cNvSpPr>
          <a:spLocks noChangeAspect="1"/>
        </xdr:cNvSpPr>
      </xdr:nvSpPr>
      <xdr:spPr>
        <a:xfrm>
          <a:off x="98640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91</xdr:row>
      <xdr:rowOff>75750</xdr:rowOff>
    </xdr:from>
    <xdr:to>
      <xdr:col>13</xdr:col>
      <xdr:colOff>660601</xdr:colOff>
      <xdr:row>96</xdr:row>
      <xdr:rowOff>136501</xdr:rowOff>
    </xdr:to>
    <xdr:sp macro="" textlink="">
      <xdr:nvSpPr>
        <xdr:cNvPr id="247256" name="フリーフォーム: 図形 247255">
          <a:extLst>
            <a:ext uri="{FF2B5EF4-FFF2-40B4-BE49-F238E27FC236}">
              <a16:creationId xmlns:a16="http://schemas.microsoft.com/office/drawing/2014/main" id="{8E8F2696-89CD-4B29-8AC9-55B4161228D8}"/>
            </a:ext>
          </a:extLst>
        </xdr:cNvPr>
        <xdr:cNvSpPr>
          <a:spLocks noChangeAspect="1"/>
        </xdr:cNvSpPr>
      </xdr:nvSpPr>
      <xdr:spPr>
        <a:xfrm>
          <a:off x="92880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85</xdr:row>
      <xdr:rowOff>114450</xdr:rowOff>
    </xdr:from>
    <xdr:to>
      <xdr:col>14</xdr:col>
      <xdr:colOff>118801</xdr:colOff>
      <xdr:row>91</xdr:row>
      <xdr:rowOff>21752</xdr:rowOff>
    </xdr:to>
    <xdr:sp macro="" textlink="">
      <xdr:nvSpPr>
        <xdr:cNvPr id="247257" name="フリーフォーム: 図形 247256">
          <a:extLst>
            <a:ext uri="{FF2B5EF4-FFF2-40B4-BE49-F238E27FC236}">
              <a16:creationId xmlns:a16="http://schemas.microsoft.com/office/drawing/2014/main" id="{5FAE3751-954D-4836-815E-086EC717836B}"/>
            </a:ext>
          </a:extLst>
        </xdr:cNvPr>
        <xdr:cNvSpPr>
          <a:spLocks noChangeAspect="1"/>
        </xdr:cNvSpPr>
      </xdr:nvSpPr>
      <xdr:spPr>
        <a:xfrm>
          <a:off x="94680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90</xdr:row>
      <xdr:rowOff>139199</xdr:rowOff>
    </xdr:from>
    <xdr:to>
      <xdr:col>14</xdr:col>
      <xdr:colOff>388801</xdr:colOff>
      <xdr:row>91</xdr:row>
      <xdr:rowOff>111751</xdr:rowOff>
    </xdr:to>
    <xdr:sp macro="" textlink="">
      <xdr:nvSpPr>
        <xdr:cNvPr id="247258" name="フリーフォーム: 図形 247257">
          <a:extLst>
            <a:ext uri="{FF2B5EF4-FFF2-40B4-BE49-F238E27FC236}">
              <a16:creationId xmlns:a16="http://schemas.microsoft.com/office/drawing/2014/main" id="{F7C0E59D-AB2E-4DA3-A0AF-733E0414419B}"/>
            </a:ext>
          </a:extLst>
        </xdr:cNvPr>
        <xdr:cNvSpPr>
          <a:spLocks noChangeAspect="1"/>
        </xdr:cNvSpPr>
      </xdr:nvSpPr>
      <xdr:spPr>
        <a:xfrm>
          <a:off x="95400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90</xdr:row>
      <xdr:rowOff>139199</xdr:rowOff>
    </xdr:from>
    <xdr:to>
      <xdr:col>15</xdr:col>
      <xdr:colOff>207001</xdr:colOff>
      <xdr:row>91</xdr:row>
      <xdr:rowOff>111751</xdr:rowOff>
    </xdr:to>
    <xdr:sp macro="" textlink="">
      <xdr:nvSpPr>
        <xdr:cNvPr id="247259" name="フリーフォーム: 図形 247258">
          <a:extLst>
            <a:ext uri="{FF2B5EF4-FFF2-40B4-BE49-F238E27FC236}">
              <a16:creationId xmlns:a16="http://schemas.microsoft.com/office/drawing/2014/main" id="{E76BD236-B692-45A9-93E3-EE43030C511C}"/>
            </a:ext>
          </a:extLst>
        </xdr:cNvPr>
        <xdr:cNvSpPr>
          <a:spLocks noChangeAspect="1"/>
        </xdr:cNvSpPr>
      </xdr:nvSpPr>
      <xdr:spPr>
        <a:xfrm>
          <a:off x="100440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86</xdr:row>
      <xdr:rowOff>51000</xdr:rowOff>
    </xdr:from>
    <xdr:to>
      <xdr:col>14</xdr:col>
      <xdr:colOff>406801</xdr:colOff>
      <xdr:row>91</xdr:row>
      <xdr:rowOff>3751</xdr:rowOff>
    </xdr:to>
    <xdr:sp macro="" textlink="">
      <xdr:nvSpPr>
        <xdr:cNvPr id="247260" name="フリーフォーム: 図形 247259">
          <a:extLst>
            <a:ext uri="{FF2B5EF4-FFF2-40B4-BE49-F238E27FC236}">
              <a16:creationId xmlns:a16="http://schemas.microsoft.com/office/drawing/2014/main" id="{AB5E8DF0-6D2C-4F16-B180-0F4D1757CCAA}"/>
            </a:ext>
          </a:extLst>
        </xdr:cNvPr>
        <xdr:cNvSpPr>
          <a:spLocks noChangeAspect="1"/>
        </xdr:cNvSpPr>
      </xdr:nvSpPr>
      <xdr:spPr>
        <a:xfrm>
          <a:off x="97380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85</xdr:row>
      <xdr:rowOff>114450</xdr:rowOff>
    </xdr:from>
    <xdr:to>
      <xdr:col>14</xdr:col>
      <xdr:colOff>658801</xdr:colOff>
      <xdr:row>90</xdr:row>
      <xdr:rowOff>157201</xdr:rowOff>
    </xdr:to>
    <xdr:sp macro="" textlink="">
      <xdr:nvSpPr>
        <xdr:cNvPr id="247261" name="フリーフォーム: 図形 247260">
          <a:extLst>
            <a:ext uri="{FF2B5EF4-FFF2-40B4-BE49-F238E27FC236}">
              <a16:creationId xmlns:a16="http://schemas.microsoft.com/office/drawing/2014/main" id="{95900840-9D68-4831-A757-EF9F05F0D254}"/>
            </a:ext>
          </a:extLst>
        </xdr:cNvPr>
        <xdr:cNvSpPr>
          <a:spLocks noChangeAspect="1"/>
        </xdr:cNvSpPr>
      </xdr:nvSpPr>
      <xdr:spPr>
        <a:xfrm>
          <a:off x="100080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86</xdr:row>
      <xdr:rowOff>69000</xdr:rowOff>
    </xdr:from>
    <xdr:to>
      <xdr:col>15</xdr:col>
      <xdr:colOff>297001</xdr:colOff>
      <xdr:row>91</xdr:row>
      <xdr:rowOff>3751</xdr:rowOff>
    </xdr:to>
    <xdr:sp macro="" textlink="">
      <xdr:nvSpPr>
        <xdr:cNvPr id="247262" name="フリーフォーム: 図形 247261">
          <a:extLst>
            <a:ext uri="{FF2B5EF4-FFF2-40B4-BE49-F238E27FC236}">
              <a16:creationId xmlns:a16="http://schemas.microsoft.com/office/drawing/2014/main" id="{4BF9E0D5-C3B5-4283-9AC4-B2A058CC0AAD}"/>
            </a:ext>
          </a:extLst>
        </xdr:cNvPr>
        <xdr:cNvSpPr>
          <a:spLocks noChangeAspect="1"/>
        </xdr:cNvSpPr>
      </xdr:nvSpPr>
      <xdr:spPr>
        <a:xfrm>
          <a:off x="100620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91</xdr:row>
      <xdr:rowOff>75750</xdr:rowOff>
    </xdr:from>
    <xdr:to>
      <xdr:col>15</xdr:col>
      <xdr:colOff>9001</xdr:colOff>
      <xdr:row>95</xdr:row>
      <xdr:rowOff>163951</xdr:rowOff>
    </xdr:to>
    <xdr:sp macro="" textlink="">
      <xdr:nvSpPr>
        <xdr:cNvPr id="247263" name="フリーフォーム: 図形 247262">
          <a:extLst>
            <a:ext uri="{FF2B5EF4-FFF2-40B4-BE49-F238E27FC236}">
              <a16:creationId xmlns:a16="http://schemas.microsoft.com/office/drawing/2014/main" id="{597D20AB-8407-42E9-9AAB-55C150E56823}"/>
            </a:ext>
          </a:extLst>
        </xdr:cNvPr>
        <xdr:cNvSpPr>
          <a:spLocks noChangeAspect="1"/>
        </xdr:cNvSpPr>
      </xdr:nvSpPr>
      <xdr:spPr>
        <a:xfrm>
          <a:off x="100260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91</xdr:row>
      <xdr:rowOff>93749</xdr:rowOff>
    </xdr:from>
    <xdr:to>
      <xdr:col>14</xdr:col>
      <xdr:colOff>424801</xdr:colOff>
      <xdr:row>96</xdr:row>
      <xdr:rowOff>118501</xdr:rowOff>
    </xdr:to>
    <xdr:sp macro="" textlink="">
      <xdr:nvSpPr>
        <xdr:cNvPr id="247264" name="フリーフォーム: 図形 247263">
          <a:extLst>
            <a:ext uri="{FF2B5EF4-FFF2-40B4-BE49-F238E27FC236}">
              <a16:creationId xmlns:a16="http://schemas.microsoft.com/office/drawing/2014/main" id="{B8F29769-60C1-425F-A848-0671309C299E}"/>
            </a:ext>
          </a:extLst>
        </xdr:cNvPr>
        <xdr:cNvSpPr>
          <a:spLocks noChangeAspect="1"/>
        </xdr:cNvSpPr>
      </xdr:nvSpPr>
      <xdr:spPr>
        <a:xfrm>
          <a:off x="97920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91</xdr:row>
      <xdr:rowOff>75750</xdr:rowOff>
    </xdr:from>
    <xdr:to>
      <xdr:col>14</xdr:col>
      <xdr:colOff>388801</xdr:colOff>
      <xdr:row>96</xdr:row>
      <xdr:rowOff>10501</xdr:rowOff>
    </xdr:to>
    <xdr:sp macro="" textlink="">
      <xdr:nvSpPr>
        <xdr:cNvPr id="247265" name="フリーフォーム: 図形 247264">
          <a:extLst>
            <a:ext uri="{FF2B5EF4-FFF2-40B4-BE49-F238E27FC236}">
              <a16:creationId xmlns:a16="http://schemas.microsoft.com/office/drawing/2014/main" id="{7640CA6A-995B-4EDF-8365-69FE1EBB32C7}"/>
            </a:ext>
          </a:extLst>
        </xdr:cNvPr>
        <xdr:cNvSpPr>
          <a:spLocks noChangeAspect="1"/>
        </xdr:cNvSpPr>
      </xdr:nvSpPr>
      <xdr:spPr>
        <a:xfrm>
          <a:off x="94680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85</xdr:row>
      <xdr:rowOff>42450</xdr:rowOff>
    </xdr:from>
    <xdr:to>
      <xdr:col>17</xdr:col>
      <xdr:colOff>322201</xdr:colOff>
      <xdr:row>86</xdr:row>
      <xdr:rowOff>15002</xdr:rowOff>
    </xdr:to>
    <xdr:sp macro="" textlink="">
      <xdr:nvSpPr>
        <xdr:cNvPr id="247266" name="フリーフォーム: 図形 247265">
          <a:extLst>
            <a:ext uri="{FF2B5EF4-FFF2-40B4-BE49-F238E27FC236}">
              <a16:creationId xmlns:a16="http://schemas.microsoft.com/office/drawing/2014/main" id="{C1888B3F-24FD-47EF-9D01-DC01C1B28041}"/>
            </a:ext>
          </a:extLst>
        </xdr:cNvPr>
        <xdr:cNvSpPr>
          <a:spLocks noChangeAspect="1"/>
        </xdr:cNvSpPr>
      </xdr:nvSpPr>
      <xdr:spPr>
        <a:xfrm>
          <a:off x="11512800" y="148824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85</xdr:row>
      <xdr:rowOff>42450</xdr:rowOff>
    </xdr:from>
    <xdr:to>
      <xdr:col>18</xdr:col>
      <xdr:colOff>176401</xdr:colOff>
      <xdr:row>86</xdr:row>
      <xdr:rowOff>15002</xdr:rowOff>
    </xdr:to>
    <xdr:sp macro="" textlink="">
      <xdr:nvSpPr>
        <xdr:cNvPr id="247267" name="フリーフォーム: 図形 247266">
          <a:extLst>
            <a:ext uri="{FF2B5EF4-FFF2-40B4-BE49-F238E27FC236}">
              <a16:creationId xmlns:a16="http://schemas.microsoft.com/office/drawing/2014/main" id="{632C1BA8-DBCA-4959-A63B-BBDC26265467}"/>
            </a:ext>
          </a:extLst>
        </xdr:cNvPr>
        <xdr:cNvSpPr>
          <a:spLocks noChangeAspect="1"/>
        </xdr:cNvSpPr>
      </xdr:nvSpPr>
      <xdr:spPr>
        <a:xfrm>
          <a:off x="12052800" y="148824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85</xdr:row>
      <xdr:rowOff>114450</xdr:rowOff>
    </xdr:from>
    <xdr:to>
      <xdr:col>18</xdr:col>
      <xdr:colOff>248401</xdr:colOff>
      <xdr:row>91</xdr:row>
      <xdr:rowOff>21752</xdr:rowOff>
    </xdr:to>
    <xdr:sp macro="" textlink="">
      <xdr:nvSpPr>
        <xdr:cNvPr id="247268" name="フリーフォーム: 図形 247267">
          <a:extLst>
            <a:ext uri="{FF2B5EF4-FFF2-40B4-BE49-F238E27FC236}">
              <a16:creationId xmlns:a16="http://schemas.microsoft.com/office/drawing/2014/main" id="{1BBB14E5-1B9B-41E0-AF6C-CECFE5751292}"/>
            </a:ext>
          </a:extLst>
        </xdr:cNvPr>
        <xdr:cNvSpPr>
          <a:spLocks noChangeAspect="1"/>
        </xdr:cNvSpPr>
      </xdr:nvSpPr>
      <xdr:spPr>
        <a:xfrm>
          <a:off x="12304800" y="149544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91</xdr:row>
      <xdr:rowOff>75750</xdr:rowOff>
    </xdr:from>
    <xdr:to>
      <xdr:col>18</xdr:col>
      <xdr:colOff>68401</xdr:colOff>
      <xdr:row>96</xdr:row>
      <xdr:rowOff>136501</xdr:rowOff>
    </xdr:to>
    <xdr:sp macro="" textlink="">
      <xdr:nvSpPr>
        <xdr:cNvPr id="247269" name="フリーフォーム: 図形 247268">
          <a:extLst>
            <a:ext uri="{FF2B5EF4-FFF2-40B4-BE49-F238E27FC236}">
              <a16:creationId xmlns:a16="http://schemas.microsoft.com/office/drawing/2014/main" id="{1ADF6F45-90B0-4DB2-894A-FDC3280947FA}"/>
            </a:ext>
          </a:extLst>
        </xdr:cNvPr>
        <xdr:cNvSpPr>
          <a:spLocks noChangeAspect="1"/>
        </xdr:cNvSpPr>
      </xdr:nvSpPr>
      <xdr:spPr>
        <a:xfrm>
          <a:off x="12124800" y="159444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96</xdr:row>
      <xdr:rowOff>64500</xdr:rowOff>
    </xdr:from>
    <xdr:to>
      <xdr:col>16</xdr:col>
      <xdr:colOff>684001</xdr:colOff>
      <xdr:row>97</xdr:row>
      <xdr:rowOff>37051</xdr:rowOff>
    </xdr:to>
    <xdr:sp macro="" textlink="">
      <xdr:nvSpPr>
        <xdr:cNvPr id="247270" name="フリーフォーム: 図形 247269">
          <a:extLst>
            <a:ext uri="{FF2B5EF4-FFF2-40B4-BE49-F238E27FC236}">
              <a16:creationId xmlns:a16="http://schemas.microsoft.com/office/drawing/2014/main" id="{E8F300B6-D59C-4351-94C3-A5F97E184E3D}"/>
            </a:ext>
          </a:extLst>
        </xdr:cNvPr>
        <xdr:cNvSpPr>
          <a:spLocks noChangeAspect="1"/>
        </xdr:cNvSpPr>
      </xdr:nvSpPr>
      <xdr:spPr>
        <a:xfrm>
          <a:off x="11170800" y="167904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96</xdr:row>
      <xdr:rowOff>64500</xdr:rowOff>
    </xdr:from>
    <xdr:to>
      <xdr:col>17</xdr:col>
      <xdr:colOff>502201</xdr:colOff>
      <xdr:row>97</xdr:row>
      <xdr:rowOff>37051</xdr:rowOff>
    </xdr:to>
    <xdr:sp macro="" textlink="">
      <xdr:nvSpPr>
        <xdr:cNvPr id="247271" name="フリーフォーム: 図形 247270">
          <a:extLst>
            <a:ext uri="{FF2B5EF4-FFF2-40B4-BE49-F238E27FC236}">
              <a16:creationId xmlns:a16="http://schemas.microsoft.com/office/drawing/2014/main" id="{92EB71D1-51FC-43B3-ADAF-66A435EB1B0A}"/>
            </a:ext>
          </a:extLst>
        </xdr:cNvPr>
        <xdr:cNvSpPr>
          <a:spLocks noChangeAspect="1"/>
        </xdr:cNvSpPr>
      </xdr:nvSpPr>
      <xdr:spPr>
        <a:xfrm>
          <a:off x="11692800" y="167904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91</xdr:row>
      <xdr:rowOff>75750</xdr:rowOff>
    </xdr:from>
    <xdr:to>
      <xdr:col>16</xdr:col>
      <xdr:colOff>432001</xdr:colOff>
      <xdr:row>96</xdr:row>
      <xdr:rowOff>136501</xdr:rowOff>
    </xdr:to>
    <xdr:sp macro="" textlink="">
      <xdr:nvSpPr>
        <xdr:cNvPr id="247272" name="フリーフォーム: 図形 247271">
          <a:extLst>
            <a:ext uri="{FF2B5EF4-FFF2-40B4-BE49-F238E27FC236}">
              <a16:creationId xmlns:a16="http://schemas.microsoft.com/office/drawing/2014/main" id="{E0B50D7D-2623-41C4-81E2-D6A68C09FFE5}"/>
            </a:ext>
          </a:extLst>
        </xdr:cNvPr>
        <xdr:cNvSpPr>
          <a:spLocks noChangeAspect="1"/>
        </xdr:cNvSpPr>
      </xdr:nvSpPr>
      <xdr:spPr>
        <a:xfrm>
          <a:off x="11116800" y="159444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85</xdr:row>
      <xdr:rowOff>114450</xdr:rowOff>
    </xdr:from>
    <xdr:to>
      <xdr:col>16</xdr:col>
      <xdr:colOff>576001</xdr:colOff>
      <xdr:row>91</xdr:row>
      <xdr:rowOff>21752</xdr:rowOff>
    </xdr:to>
    <xdr:sp macro="" textlink="">
      <xdr:nvSpPr>
        <xdr:cNvPr id="247273" name="フリーフォーム: 図形 247272">
          <a:extLst>
            <a:ext uri="{FF2B5EF4-FFF2-40B4-BE49-F238E27FC236}">
              <a16:creationId xmlns:a16="http://schemas.microsoft.com/office/drawing/2014/main" id="{9C0C3092-FA2F-441E-96C5-7C5D28E9FAF8}"/>
            </a:ext>
          </a:extLst>
        </xdr:cNvPr>
        <xdr:cNvSpPr>
          <a:spLocks noChangeAspect="1"/>
        </xdr:cNvSpPr>
      </xdr:nvSpPr>
      <xdr:spPr>
        <a:xfrm>
          <a:off x="11296800" y="149544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90</xdr:row>
      <xdr:rowOff>139199</xdr:rowOff>
    </xdr:from>
    <xdr:to>
      <xdr:col>17</xdr:col>
      <xdr:colOff>160201</xdr:colOff>
      <xdr:row>91</xdr:row>
      <xdr:rowOff>111751</xdr:rowOff>
    </xdr:to>
    <xdr:sp macro="" textlink="">
      <xdr:nvSpPr>
        <xdr:cNvPr id="247274" name="フリーフォーム: 図形 247273">
          <a:extLst>
            <a:ext uri="{FF2B5EF4-FFF2-40B4-BE49-F238E27FC236}">
              <a16:creationId xmlns:a16="http://schemas.microsoft.com/office/drawing/2014/main" id="{7A319026-491D-4F6A-A9BF-83E87C27DAE7}"/>
            </a:ext>
          </a:extLst>
        </xdr:cNvPr>
        <xdr:cNvSpPr>
          <a:spLocks noChangeAspect="1"/>
        </xdr:cNvSpPr>
      </xdr:nvSpPr>
      <xdr:spPr>
        <a:xfrm>
          <a:off x="11368800" y="158363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90</xdr:row>
      <xdr:rowOff>139199</xdr:rowOff>
    </xdr:from>
    <xdr:to>
      <xdr:col>17</xdr:col>
      <xdr:colOff>664201</xdr:colOff>
      <xdr:row>91</xdr:row>
      <xdr:rowOff>111751</xdr:rowOff>
    </xdr:to>
    <xdr:sp macro="" textlink="">
      <xdr:nvSpPr>
        <xdr:cNvPr id="247275" name="フリーフォーム: 図形 247274">
          <a:extLst>
            <a:ext uri="{FF2B5EF4-FFF2-40B4-BE49-F238E27FC236}">
              <a16:creationId xmlns:a16="http://schemas.microsoft.com/office/drawing/2014/main" id="{F5A6D3DB-1912-4DB3-A64A-9108A277FF67}"/>
            </a:ext>
          </a:extLst>
        </xdr:cNvPr>
        <xdr:cNvSpPr>
          <a:spLocks noChangeAspect="1"/>
        </xdr:cNvSpPr>
      </xdr:nvSpPr>
      <xdr:spPr>
        <a:xfrm>
          <a:off x="11872800" y="158363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86</xdr:row>
      <xdr:rowOff>51000</xdr:rowOff>
    </xdr:from>
    <xdr:to>
      <xdr:col>17</xdr:col>
      <xdr:colOff>178201</xdr:colOff>
      <xdr:row>91</xdr:row>
      <xdr:rowOff>3751</xdr:rowOff>
    </xdr:to>
    <xdr:sp macro="" textlink="">
      <xdr:nvSpPr>
        <xdr:cNvPr id="247276" name="フリーフォーム: 図形 247275">
          <a:extLst>
            <a:ext uri="{FF2B5EF4-FFF2-40B4-BE49-F238E27FC236}">
              <a16:creationId xmlns:a16="http://schemas.microsoft.com/office/drawing/2014/main" id="{96A2F347-A133-43D9-AC0E-9043EEED896B}"/>
            </a:ext>
          </a:extLst>
        </xdr:cNvPr>
        <xdr:cNvSpPr>
          <a:spLocks noChangeAspect="1"/>
        </xdr:cNvSpPr>
      </xdr:nvSpPr>
      <xdr:spPr>
        <a:xfrm>
          <a:off x="11566800" y="150624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85</xdr:row>
      <xdr:rowOff>114450</xdr:rowOff>
    </xdr:from>
    <xdr:to>
      <xdr:col>17</xdr:col>
      <xdr:colOff>430201</xdr:colOff>
      <xdr:row>90</xdr:row>
      <xdr:rowOff>157201</xdr:rowOff>
    </xdr:to>
    <xdr:sp macro="" textlink="">
      <xdr:nvSpPr>
        <xdr:cNvPr id="247277" name="フリーフォーム: 図形 247276">
          <a:extLst>
            <a:ext uri="{FF2B5EF4-FFF2-40B4-BE49-F238E27FC236}">
              <a16:creationId xmlns:a16="http://schemas.microsoft.com/office/drawing/2014/main" id="{04805EF4-1F6A-40D5-9232-ECA9D904723F}"/>
            </a:ext>
          </a:extLst>
        </xdr:cNvPr>
        <xdr:cNvSpPr>
          <a:spLocks noChangeAspect="1"/>
        </xdr:cNvSpPr>
      </xdr:nvSpPr>
      <xdr:spPr>
        <a:xfrm>
          <a:off x="118368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86</xdr:row>
      <xdr:rowOff>69000</xdr:rowOff>
    </xdr:from>
    <xdr:to>
      <xdr:col>18</xdr:col>
      <xdr:colOff>68401</xdr:colOff>
      <xdr:row>91</xdr:row>
      <xdr:rowOff>3751</xdr:rowOff>
    </xdr:to>
    <xdr:sp macro="" textlink="">
      <xdr:nvSpPr>
        <xdr:cNvPr id="247278" name="フリーフォーム: 図形 247277">
          <a:extLst>
            <a:ext uri="{FF2B5EF4-FFF2-40B4-BE49-F238E27FC236}">
              <a16:creationId xmlns:a16="http://schemas.microsoft.com/office/drawing/2014/main" id="{A30C0406-B4DD-4E31-BD71-19CC549F574E}"/>
            </a:ext>
          </a:extLst>
        </xdr:cNvPr>
        <xdr:cNvSpPr>
          <a:spLocks noChangeAspect="1"/>
        </xdr:cNvSpPr>
      </xdr:nvSpPr>
      <xdr:spPr>
        <a:xfrm>
          <a:off x="118908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91</xdr:row>
      <xdr:rowOff>75750</xdr:rowOff>
    </xdr:from>
    <xdr:to>
      <xdr:col>17</xdr:col>
      <xdr:colOff>466201</xdr:colOff>
      <xdr:row>95</xdr:row>
      <xdr:rowOff>163951</xdr:rowOff>
    </xdr:to>
    <xdr:sp macro="" textlink="">
      <xdr:nvSpPr>
        <xdr:cNvPr id="247279" name="フリーフォーム: 図形 247278">
          <a:extLst>
            <a:ext uri="{FF2B5EF4-FFF2-40B4-BE49-F238E27FC236}">
              <a16:creationId xmlns:a16="http://schemas.microsoft.com/office/drawing/2014/main" id="{AB863DB4-4805-4992-84DA-556AEFE65FFC}"/>
            </a:ext>
          </a:extLst>
        </xdr:cNvPr>
        <xdr:cNvSpPr>
          <a:spLocks noChangeAspect="1"/>
        </xdr:cNvSpPr>
      </xdr:nvSpPr>
      <xdr:spPr>
        <a:xfrm>
          <a:off x="11854800" y="159444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91</xdr:row>
      <xdr:rowOff>93749</xdr:rowOff>
    </xdr:from>
    <xdr:to>
      <xdr:col>17</xdr:col>
      <xdr:colOff>196201</xdr:colOff>
      <xdr:row>96</xdr:row>
      <xdr:rowOff>118501</xdr:rowOff>
    </xdr:to>
    <xdr:sp macro="" textlink="">
      <xdr:nvSpPr>
        <xdr:cNvPr id="247280" name="フリーフォーム: 図形 247279">
          <a:extLst>
            <a:ext uri="{FF2B5EF4-FFF2-40B4-BE49-F238E27FC236}">
              <a16:creationId xmlns:a16="http://schemas.microsoft.com/office/drawing/2014/main" id="{B22F0493-18E2-4D7E-8472-3BECABB63CA4}"/>
            </a:ext>
          </a:extLst>
        </xdr:cNvPr>
        <xdr:cNvSpPr>
          <a:spLocks noChangeAspect="1"/>
        </xdr:cNvSpPr>
      </xdr:nvSpPr>
      <xdr:spPr>
        <a:xfrm>
          <a:off x="11620800" y="159623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91</xdr:row>
      <xdr:rowOff>75750</xdr:rowOff>
    </xdr:from>
    <xdr:to>
      <xdr:col>17</xdr:col>
      <xdr:colOff>160201</xdr:colOff>
      <xdr:row>96</xdr:row>
      <xdr:rowOff>10501</xdr:rowOff>
    </xdr:to>
    <xdr:sp macro="" textlink="">
      <xdr:nvSpPr>
        <xdr:cNvPr id="247281" name="フリーフォーム: 図形 247280">
          <a:extLst>
            <a:ext uri="{FF2B5EF4-FFF2-40B4-BE49-F238E27FC236}">
              <a16:creationId xmlns:a16="http://schemas.microsoft.com/office/drawing/2014/main" id="{6B229193-8423-4058-9663-064FD8506E9D}"/>
            </a:ext>
          </a:extLst>
        </xdr:cNvPr>
        <xdr:cNvSpPr>
          <a:spLocks noChangeAspect="1"/>
        </xdr:cNvSpPr>
      </xdr:nvSpPr>
      <xdr:spPr>
        <a:xfrm>
          <a:off x="11296800" y="159444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85</xdr:row>
      <xdr:rowOff>42450</xdr:rowOff>
    </xdr:from>
    <xdr:to>
      <xdr:col>20</xdr:col>
      <xdr:colOff>93601</xdr:colOff>
      <xdr:row>86</xdr:row>
      <xdr:rowOff>15002</xdr:rowOff>
    </xdr:to>
    <xdr:sp macro="" textlink="">
      <xdr:nvSpPr>
        <xdr:cNvPr id="247282" name="フリーフォーム: 図形 247281">
          <a:extLst>
            <a:ext uri="{FF2B5EF4-FFF2-40B4-BE49-F238E27FC236}">
              <a16:creationId xmlns:a16="http://schemas.microsoft.com/office/drawing/2014/main" id="{CD05F0B4-2729-4BB8-A13C-99BEEE61876B}"/>
            </a:ext>
          </a:extLst>
        </xdr:cNvPr>
        <xdr:cNvSpPr>
          <a:spLocks noChangeAspect="1"/>
        </xdr:cNvSpPr>
      </xdr:nvSpPr>
      <xdr:spPr>
        <a:xfrm>
          <a:off x="133416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85</xdr:row>
      <xdr:rowOff>42450</xdr:rowOff>
    </xdr:from>
    <xdr:to>
      <xdr:col>20</xdr:col>
      <xdr:colOff>633601</xdr:colOff>
      <xdr:row>86</xdr:row>
      <xdr:rowOff>15002</xdr:rowOff>
    </xdr:to>
    <xdr:sp macro="" textlink="">
      <xdr:nvSpPr>
        <xdr:cNvPr id="247283" name="フリーフォーム: 図形 247282">
          <a:extLst>
            <a:ext uri="{FF2B5EF4-FFF2-40B4-BE49-F238E27FC236}">
              <a16:creationId xmlns:a16="http://schemas.microsoft.com/office/drawing/2014/main" id="{41B673B2-ACB9-4F96-A283-507B0FE1D69E}"/>
            </a:ext>
          </a:extLst>
        </xdr:cNvPr>
        <xdr:cNvSpPr>
          <a:spLocks noChangeAspect="1"/>
        </xdr:cNvSpPr>
      </xdr:nvSpPr>
      <xdr:spPr>
        <a:xfrm>
          <a:off x="138816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85</xdr:row>
      <xdr:rowOff>114450</xdr:rowOff>
    </xdr:from>
    <xdr:to>
      <xdr:col>21</xdr:col>
      <xdr:colOff>19801</xdr:colOff>
      <xdr:row>91</xdr:row>
      <xdr:rowOff>21752</xdr:rowOff>
    </xdr:to>
    <xdr:sp macro="" textlink="">
      <xdr:nvSpPr>
        <xdr:cNvPr id="247284" name="フリーフォーム: 図形 247283">
          <a:extLst>
            <a:ext uri="{FF2B5EF4-FFF2-40B4-BE49-F238E27FC236}">
              <a16:creationId xmlns:a16="http://schemas.microsoft.com/office/drawing/2014/main" id="{CAB5A591-5DF2-4A56-9BA0-5AFB1DB05F9D}"/>
            </a:ext>
          </a:extLst>
        </xdr:cNvPr>
        <xdr:cNvSpPr>
          <a:spLocks noChangeAspect="1"/>
        </xdr:cNvSpPr>
      </xdr:nvSpPr>
      <xdr:spPr>
        <a:xfrm>
          <a:off x="141335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91</xdr:row>
      <xdr:rowOff>75750</xdr:rowOff>
    </xdr:from>
    <xdr:to>
      <xdr:col>20</xdr:col>
      <xdr:colOff>525601</xdr:colOff>
      <xdr:row>96</xdr:row>
      <xdr:rowOff>136501</xdr:rowOff>
    </xdr:to>
    <xdr:sp macro="" textlink="">
      <xdr:nvSpPr>
        <xdr:cNvPr id="247285" name="フリーフォーム: 図形 247284">
          <a:extLst>
            <a:ext uri="{FF2B5EF4-FFF2-40B4-BE49-F238E27FC236}">
              <a16:creationId xmlns:a16="http://schemas.microsoft.com/office/drawing/2014/main" id="{68AC4E9E-9814-4993-9768-78A73B7F89BD}"/>
            </a:ext>
          </a:extLst>
        </xdr:cNvPr>
        <xdr:cNvSpPr>
          <a:spLocks noChangeAspect="1"/>
        </xdr:cNvSpPr>
      </xdr:nvSpPr>
      <xdr:spPr>
        <a:xfrm>
          <a:off x="139535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96</xdr:row>
      <xdr:rowOff>64500</xdr:rowOff>
    </xdr:from>
    <xdr:to>
      <xdr:col>19</xdr:col>
      <xdr:colOff>455401</xdr:colOff>
      <xdr:row>97</xdr:row>
      <xdr:rowOff>37051</xdr:rowOff>
    </xdr:to>
    <xdr:sp macro="" textlink="">
      <xdr:nvSpPr>
        <xdr:cNvPr id="247286" name="フリーフォーム: 図形 247285">
          <a:extLst>
            <a:ext uri="{FF2B5EF4-FFF2-40B4-BE49-F238E27FC236}">
              <a16:creationId xmlns:a16="http://schemas.microsoft.com/office/drawing/2014/main" id="{DA6D1EFB-FE30-49FB-ABC8-A3BC576E6024}"/>
            </a:ext>
          </a:extLst>
        </xdr:cNvPr>
        <xdr:cNvSpPr>
          <a:spLocks noChangeAspect="1"/>
        </xdr:cNvSpPr>
      </xdr:nvSpPr>
      <xdr:spPr>
        <a:xfrm>
          <a:off x="129996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96</xdr:row>
      <xdr:rowOff>64500</xdr:rowOff>
    </xdr:from>
    <xdr:to>
      <xdr:col>20</xdr:col>
      <xdr:colOff>273601</xdr:colOff>
      <xdr:row>97</xdr:row>
      <xdr:rowOff>37051</xdr:rowOff>
    </xdr:to>
    <xdr:sp macro="" textlink="">
      <xdr:nvSpPr>
        <xdr:cNvPr id="247287" name="フリーフォーム: 図形 247286">
          <a:extLst>
            <a:ext uri="{FF2B5EF4-FFF2-40B4-BE49-F238E27FC236}">
              <a16:creationId xmlns:a16="http://schemas.microsoft.com/office/drawing/2014/main" id="{E13AA73A-9602-4F01-AB53-14EE918D9BFA}"/>
            </a:ext>
          </a:extLst>
        </xdr:cNvPr>
        <xdr:cNvSpPr>
          <a:spLocks noChangeAspect="1"/>
        </xdr:cNvSpPr>
      </xdr:nvSpPr>
      <xdr:spPr>
        <a:xfrm>
          <a:off x="135215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91</xdr:row>
      <xdr:rowOff>75750</xdr:rowOff>
    </xdr:from>
    <xdr:to>
      <xdr:col>19</xdr:col>
      <xdr:colOff>203401</xdr:colOff>
      <xdr:row>96</xdr:row>
      <xdr:rowOff>136501</xdr:rowOff>
    </xdr:to>
    <xdr:sp macro="" textlink="">
      <xdr:nvSpPr>
        <xdr:cNvPr id="247288" name="フリーフォーム: 図形 247287">
          <a:extLst>
            <a:ext uri="{FF2B5EF4-FFF2-40B4-BE49-F238E27FC236}">
              <a16:creationId xmlns:a16="http://schemas.microsoft.com/office/drawing/2014/main" id="{3A780778-0D11-40BE-8EA8-578494E19110}"/>
            </a:ext>
          </a:extLst>
        </xdr:cNvPr>
        <xdr:cNvSpPr>
          <a:spLocks noChangeAspect="1"/>
        </xdr:cNvSpPr>
      </xdr:nvSpPr>
      <xdr:spPr>
        <a:xfrm>
          <a:off x="12945600" y="15944400"/>
          <a:ext cx="288001" cy="918001"/>
        </a:xfrm>
        <a:custGeom>
          <a:avLst/>
          <a:gdLst/>
          <a:ahLst/>
          <a:cxnLst/>
          <a:rect l="0" t="0" r="0" b="0"/>
          <a:pathLst>
            <a:path w="288001" h="918001">
              <a:moveTo>
                <a:pt x="143999" y="54000"/>
              </a:moveTo>
              <a:lnTo>
                <a:pt x="216000" y="0"/>
              </a:lnTo>
              <a:lnTo>
                <a:pt x="288000" y="72001"/>
              </a:lnTo>
              <a:lnTo>
                <a:pt x="143999"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85</xdr:row>
      <xdr:rowOff>114450</xdr:rowOff>
    </xdr:from>
    <xdr:to>
      <xdr:col>19</xdr:col>
      <xdr:colOff>347402</xdr:colOff>
      <xdr:row>91</xdr:row>
      <xdr:rowOff>21752</xdr:rowOff>
    </xdr:to>
    <xdr:sp macro="" textlink="">
      <xdr:nvSpPr>
        <xdr:cNvPr id="247289" name="フリーフォーム: 図形 247288">
          <a:extLst>
            <a:ext uri="{FF2B5EF4-FFF2-40B4-BE49-F238E27FC236}">
              <a16:creationId xmlns:a16="http://schemas.microsoft.com/office/drawing/2014/main" id="{C2B94429-63B5-4197-BE81-5ECBAD857D29}"/>
            </a:ext>
          </a:extLst>
        </xdr:cNvPr>
        <xdr:cNvSpPr>
          <a:spLocks noChangeAspect="1"/>
        </xdr:cNvSpPr>
      </xdr:nvSpPr>
      <xdr:spPr>
        <a:xfrm>
          <a:off x="131256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90</xdr:row>
      <xdr:rowOff>139199</xdr:rowOff>
    </xdr:from>
    <xdr:to>
      <xdr:col>19</xdr:col>
      <xdr:colOff>617401</xdr:colOff>
      <xdr:row>91</xdr:row>
      <xdr:rowOff>111751</xdr:rowOff>
    </xdr:to>
    <xdr:sp macro="" textlink="">
      <xdr:nvSpPr>
        <xdr:cNvPr id="247290" name="フリーフォーム: 図形 247289">
          <a:extLst>
            <a:ext uri="{FF2B5EF4-FFF2-40B4-BE49-F238E27FC236}">
              <a16:creationId xmlns:a16="http://schemas.microsoft.com/office/drawing/2014/main" id="{78814015-5E04-4529-84B7-00741042DA72}"/>
            </a:ext>
          </a:extLst>
        </xdr:cNvPr>
        <xdr:cNvSpPr>
          <a:spLocks noChangeAspect="1"/>
        </xdr:cNvSpPr>
      </xdr:nvSpPr>
      <xdr:spPr>
        <a:xfrm>
          <a:off x="131976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90</xdr:row>
      <xdr:rowOff>139199</xdr:rowOff>
    </xdr:from>
    <xdr:to>
      <xdr:col>20</xdr:col>
      <xdr:colOff>435601</xdr:colOff>
      <xdr:row>91</xdr:row>
      <xdr:rowOff>111751</xdr:rowOff>
    </xdr:to>
    <xdr:sp macro="" textlink="">
      <xdr:nvSpPr>
        <xdr:cNvPr id="247291" name="フリーフォーム: 図形 247290">
          <a:extLst>
            <a:ext uri="{FF2B5EF4-FFF2-40B4-BE49-F238E27FC236}">
              <a16:creationId xmlns:a16="http://schemas.microsoft.com/office/drawing/2014/main" id="{B5476554-1B40-440E-B187-B856F9359C0C}"/>
            </a:ext>
          </a:extLst>
        </xdr:cNvPr>
        <xdr:cNvSpPr>
          <a:spLocks noChangeAspect="1"/>
        </xdr:cNvSpPr>
      </xdr:nvSpPr>
      <xdr:spPr>
        <a:xfrm>
          <a:off x="137015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86</xdr:row>
      <xdr:rowOff>51000</xdr:rowOff>
    </xdr:from>
    <xdr:to>
      <xdr:col>19</xdr:col>
      <xdr:colOff>635401</xdr:colOff>
      <xdr:row>91</xdr:row>
      <xdr:rowOff>3751</xdr:rowOff>
    </xdr:to>
    <xdr:sp macro="" textlink="">
      <xdr:nvSpPr>
        <xdr:cNvPr id="247292" name="フリーフォーム: 図形 247291">
          <a:extLst>
            <a:ext uri="{FF2B5EF4-FFF2-40B4-BE49-F238E27FC236}">
              <a16:creationId xmlns:a16="http://schemas.microsoft.com/office/drawing/2014/main" id="{BD0CCA17-8713-451C-8A61-6ABB5865EE95}"/>
            </a:ext>
          </a:extLst>
        </xdr:cNvPr>
        <xdr:cNvSpPr>
          <a:spLocks noChangeAspect="1"/>
        </xdr:cNvSpPr>
      </xdr:nvSpPr>
      <xdr:spPr>
        <a:xfrm>
          <a:off x="133955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85</xdr:row>
      <xdr:rowOff>114450</xdr:rowOff>
    </xdr:from>
    <xdr:to>
      <xdr:col>20</xdr:col>
      <xdr:colOff>201601</xdr:colOff>
      <xdr:row>90</xdr:row>
      <xdr:rowOff>157201</xdr:rowOff>
    </xdr:to>
    <xdr:sp macro="" textlink="">
      <xdr:nvSpPr>
        <xdr:cNvPr id="247293" name="フリーフォーム: 図形 247292">
          <a:extLst>
            <a:ext uri="{FF2B5EF4-FFF2-40B4-BE49-F238E27FC236}">
              <a16:creationId xmlns:a16="http://schemas.microsoft.com/office/drawing/2014/main" id="{D909E610-8F50-40CB-AC1E-073DA588A1B3}"/>
            </a:ext>
          </a:extLst>
        </xdr:cNvPr>
        <xdr:cNvSpPr>
          <a:spLocks noChangeAspect="1"/>
        </xdr:cNvSpPr>
      </xdr:nvSpPr>
      <xdr:spPr>
        <a:xfrm>
          <a:off x="136656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86</xdr:row>
      <xdr:rowOff>69000</xdr:rowOff>
    </xdr:from>
    <xdr:to>
      <xdr:col>20</xdr:col>
      <xdr:colOff>525601</xdr:colOff>
      <xdr:row>91</xdr:row>
      <xdr:rowOff>3751</xdr:rowOff>
    </xdr:to>
    <xdr:sp macro="" textlink="">
      <xdr:nvSpPr>
        <xdr:cNvPr id="247294" name="フリーフォーム: 図形 247293">
          <a:extLst>
            <a:ext uri="{FF2B5EF4-FFF2-40B4-BE49-F238E27FC236}">
              <a16:creationId xmlns:a16="http://schemas.microsoft.com/office/drawing/2014/main" id="{BAF62814-18CC-4CFD-9DEA-9DB2A701BE0C}"/>
            </a:ext>
          </a:extLst>
        </xdr:cNvPr>
        <xdr:cNvSpPr>
          <a:spLocks noChangeAspect="1"/>
        </xdr:cNvSpPr>
      </xdr:nvSpPr>
      <xdr:spPr>
        <a:xfrm>
          <a:off x="137196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91</xdr:row>
      <xdr:rowOff>75750</xdr:rowOff>
    </xdr:from>
    <xdr:to>
      <xdr:col>20</xdr:col>
      <xdr:colOff>237600</xdr:colOff>
      <xdr:row>95</xdr:row>
      <xdr:rowOff>163951</xdr:rowOff>
    </xdr:to>
    <xdr:sp macro="" textlink="">
      <xdr:nvSpPr>
        <xdr:cNvPr id="247295" name="フリーフォーム: 図形 247294">
          <a:extLst>
            <a:ext uri="{FF2B5EF4-FFF2-40B4-BE49-F238E27FC236}">
              <a16:creationId xmlns:a16="http://schemas.microsoft.com/office/drawing/2014/main" id="{A20FFC32-5F4A-494E-BA67-0706A4534938}"/>
            </a:ext>
          </a:extLst>
        </xdr:cNvPr>
        <xdr:cNvSpPr>
          <a:spLocks noChangeAspect="1"/>
        </xdr:cNvSpPr>
      </xdr:nvSpPr>
      <xdr:spPr>
        <a:xfrm>
          <a:off x="136836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91</xdr:row>
      <xdr:rowOff>93749</xdr:rowOff>
    </xdr:from>
    <xdr:to>
      <xdr:col>19</xdr:col>
      <xdr:colOff>653401</xdr:colOff>
      <xdr:row>96</xdr:row>
      <xdr:rowOff>118501</xdr:rowOff>
    </xdr:to>
    <xdr:sp macro="" textlink="">
      <xdr:nvSpPr>
        <xdr:cNvPr id="247296" name="フリーフォーム: 図形 247295">
          <a:extLst>
            <a:ext uri="{FF2B5EF4-FFF2-40B4-BE49-F238E27FC236}">
              <a16:creationId xmlns:a16="http://schemas.microsoft.com/office/drawing/2014/main" id="{DF621E7B-C252-4D59-B0F9-C15CA0AD557E}"/>
            </a:ext>
          </a:extLst>
        </xdr:cNvPr>
        <xdr:cNvSpPr>
          <a:spLocks noChangeAspect="1"/>
        </xdr:cNvSpPr>
      </xdr:nvSpPr>
      <xdr:spPr>
        <a:xfrm>
          <a:off x="134496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91</xdr:row>
      <xdr:rowOff>75750</xdr:rowOff>
    </xdr:from>
    <xdr:to>
      <xdr:col>19</xdr:col>
      <xdr:colOff>617401</xdr:colOff>
      <xdr:row>96</xdr:row>
      <xdr:rowOff>10501</xdr:rowOff>
    </xdr:to>
    <xdr:sp macro="" textlink="">
      <xdr:nvSpPr>
        <xdr:cNvPr id="247297" name="フリーフォーム: 図形 247296">
          <a:extLst>
            <a:ext uri="{FF2B5EF4-FFF2-40B4-BE49-F238E27FC236}">
              <a16:creationId xmlns:a16="http://schemas.microsoft.com/office/drawing/2014/main" id="{51688363-2D21-41C7-BAFB-791916B40FA9}"/>
            </a:ext>
          </a:extLst>
        </xdr:cNvPr>
        <xdr:cNvSpPr>
          <a:spLocks noChangeAspect="1"/>
        </xdr:cNvSpPr>
      </xdr:nvSpPr>
      <xdr:spPr>
        <a:xfrm>
          <a:off x="131256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85</xdr:row>
      <xdr:rowOff>42450</xdr:rowOff>
    </xdr:from>
    <xdr:to>
      <xdr:col>22</xdr:col>
      <xdr:colOff>550801</xdr:colOff>
      <xdr:row>86</xdr:row>
      <xdr:rowOff>15002</xdr:rowOff>
    </xdr:to>
    <xdr:sp macro="" textlink="">
      <xdr:nvSpPr>
        <xdr:cNvPr id="247298" name="フリーフォーム: 図形 247297">
          <a:extLst>
            <a:ext uri="{FF2B5EF4-FFF2-40B4-BE49-F238E27FC236}">
              <a16:creationId xmlns:a16="http://schemas.microsoft.com/office/drawing/2014/main" id="{4FF024F8-1095-4497-BE60-58A34E7797FD}"/>
            </a:ext>
          </a:extLst>
        </xdr:cNvPr>
        <xdr:cNvSpPr>
          <a:spLocks noChangeAspect="1"/>
        </xdr:cNvSpPr>
      </xdr:nvSpPr>
      <xdr:spPr>
        <a:xfrm>
          <a:off x="151704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85</xdr:row>
      <xdr:rowOff>42450</xdr:rowOff>
    </xdr:from>
    <xdr:to>
      <xdr:col>23</xdr:col>
      <xdr:colOff>405001</xdr:colOff>
      <xdr:row>86</xdr:row>
      <xdr:rowOff>15002</xdr:rowOff>
    </xdr:to>
    <xdr:sp macro="" textlink="">
      <xdr:nvSpPr>
        <xdr:cNvPr id="247299" name="フリーフォーム: 図形 247298">
          <a:extLst>
            <a:ext uri="{FF2B5EF4-FFF2-40B4-BE49-F238E27FC236}">
              <a16:creationId xmlns:a16="http://schemas.microsoft.com/office/drawing/2014/main" id="{0FFDE5E1-2A1E-48C2-ACE5-A07410172DBB}"/>
            </a:ext>
          </a:extLst>
        </xdr:cNvPr>
        <xdr:cNvSpPr>
          <a:spLocks noChangeAspect="1"/>
        </xdr:cNvSpPr>
      </xdr:nvSpPr>
      <xdr:spPr>
        <a:xfrm>
          <a:off x="157104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85</xdr:row>
      <xdr:rowOff>114450</xdr:rowOff>
    </xdr:from>
    <xdr:to>
      <xdr:col>23</xdr:col>
      <xdr:colOff>477001</xdr:colOff>
      <xdr:row>91</xdr:row>
      <xdr:rowOff>21752</xdr:rowOff>
    </xdr:to>
    <xdr:sp macro="" textlink="">
      <xdr:nvSpPr>
        <xdr:cNvPr id="247300" name="フリーフォーム: 図形 247299">
          <a:extLst>
            <a:ext uri="{FF2B5EF4-FFF2-40B4-BE49-F238E27FC236}">
              <a16:creationId xmlns:a16="http://schemas.microsoft.com/office/drawing/2014/main" id="{6418DDF3-3200-41A6-8A40-55AB2F2E6760}"/>
            </a:ext>
          </a:extLst>
        </xdr:cNvPr>
        <xdr:cNvSpPr>
          <a:spLocks noChangeAspect="1"/>
        </xdr:cNvSpPr>
      </xdr:nvSpPr>
      <xdr:spPr>
        <a:xfrm>
          <a:off x="159623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91</xdr:row>
      <xdr:rowOff>75750</xdr:rowOff>
    </xdr:from>
    <xdr:to>
      <xdr:col>23</xdr:col>
      <xdr:colOff>297001</xdr:colOff>
      <xdr:row>96</xdr:row>
      <xdr:rowOff>136501</xdr:rowOff>
    </xdr:to>
    <xdr:sp macro="" textlink="">
      <xdr:nvSpPr>
        <xdr:cNvPr id="247301" name="フリーフォーム: 図形 247300">
          <a:extLst>
            <a:ext uri="{FF2B5EF4-FFF2-40B4-BE49-F238E27FC236}">
              <a16:creationId xmlns:a16="http://schemas.microsoft.com/office/drawing/2014/main" id="{1066872A-17BA-4983-BEEB-FCAE2119420D}"/>
            </a:ext>
          </a:extLst>
        </xdr:cNvPr>
        <xdr:cNvSpPr>
          <a:spLocks noChangeAspect="1"/>
        </xdr:cNvSpPr>
      </xdr:nvSpPr>
      <xdr:spPr>
        <a:xfrm>
          <a:off x="157823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96</xdr:row>
      <xdr:rowOff>64500</xdr:rowOff>
    </xdr:from>
    <xdr:to>
      <xdr:col>22</xdr:col>
      <xdr:colOff>226801</xdr:colOff>
      <xdr:row>97</xdr:row>
      <xdr:rowOff>37051</xdr:rowOff>
    </xdr:to>
    <xdr:sp macro="" textlink="">
      <xdr:nvSpPr>
        <xdr:cNvPr id="247302" name="フリーフォーム: 図形 247301">
          <a:extLst>
            <a:ext uri="{FF2B5EF4-FFF2-40B4-BE49-F238E27FC236}">
              <a16:creationId xmlns:a16="http://schemas.microsoft.com/office/drawing/2014/main" id="{0861DB5C-D78B-4669-B33B-15507FB24B52}"/>
            </a:ext>
          </a:extLst>
        </xdr:cNvPr>
        <xdr:cNvSpPr>
          <a:spLocks noChangeAspect="1"/>
        </xdr:cNvSpPr>
      </xdr:nvSpPr>
      <xdr:spPr>
        <a:xfrm>
          <a:off x="148284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96</xdr:row>
      <xdr:rowOff>64500</xdr:rowOff>
    </xdr:from>
    <xdr:to>
      <xdr:col>23</xdr:col>
      <xdr:colOff>45001</xdr:colOff>
      <xdr:row>97</xdr:row>
      <xdr:rowOff>37051</xdr:rowOff>
    </xdr:to>
    <xdr:sp macro="" textlink="">
      <xdr:nvSpPr>
        <xdr:cNvPr id="247303" name="フリーフォーム: 図形 247302">
          <a:extLst>
            <a:ext uri="{FF2B5EF4-FFF2-40B4-BE49-F238E27FC236}">
              <a16:creationId xmlns:a16="http://schemas.microsoft.com/office/drawing/2014/main" id="{C79D2CE3-6AA0-42A5-8B40-12404EA70CA9}"/>
            </a:ext>
          </a:extLst>
        </xdr:cNvPr>
        <xdr:cNvSpPr>
          <a:spLocks noChangeAspect="1"/>
        </xdr:cNvSpPr>
      </xdr:nvSpPr>
      <xdr:spPr>
        <a:xfrm>
          <a:off x="153503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91</xdr:row>
      <xdr:rowOff>75750</xdr:rowOff>
    </xdr:from>
    <xdr:to>
      <xdr:col>21</xdr:col>
      <xdr:colOff>660601</xdr:colOff>
      <xdr:row>96</xdr:row>
      <xdr:rowOff>136501</xdr:rowOff>
    </xdr:to>
    <xdr:sp macro="" textlink="">
      <xdr:nvSpPr>
        <xdr:cNvPr id="247304" name="フリーフォーム: 図形 247303">
          <a:extLst>
            <a:ext uri="{FF2B5EF4-FFF2-40B4-BE49-F238E27FC236}">
              <a16:creationId xmlns:a16="http://schemas.microsoft.com/office/drawing/2014/main" id="{AFECB1AF-0E18-4B54-A3E5-C2CA2D349FEE}"/>
            </a:ext>
          </a:extLst>
        </xdr:cNvPr>
        <xdr:cNvSpPr>
          <a:spLocks noChangeAspect="1"/>
        </xdr:cNvSpPr>
      </xdr:nvSpPr>
      <xdr:spPr>
        <a:xfrm>
          <a:off x="14774401" y="159444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85</xdr:row>
      <xdr:rowOff>114450</xdr:rowOff>
    </xdr:from>
    <xdr:to>
      <xdr:col>22</xdr:col>
      <xdr:colOff>118802</xdr:colOff>
      <xdr:row>91</xdr:row>
      <xdr:rowOff>21752</xdr:rowOff>
    </xdr:to>
    <xdr:sp macro="" textlink="">
      <xdr:nvSpPr>
        <xdr:cNvPr id="247305" name="フリーフォーム: 図形 247304">
          <a:extLst>
            <a:ext uri="{FF2B5EF4-FFF2-40B4-BE49-F238E27FC236}">
              <a16:creationId xmlns:a16="http://schemas.microsoft.com/office/drawing/2014/main" id="{7F38C796-7DA4-49D6-AF66-502609C23AA5}"/>
            </a:ext>
          </a:extLst>
        </xdr:cNvPr>
        <xdr:cNvSpPr>
          <a:spLocks noChangeAspect="1"/>
        </xdr:cNvSpPr>
      </xdr:nvSpPr>
      <xdr:spPr>
        <a:xfrm>
          <a:off x="149544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90</xdr:row>
      <xdr:rowOff>139199</xdr:rowOff>
    </xdr:from>
    <xdr:to>
      <xdr:col>22</xdr:col>
      <xdr:colOff>388801</xdr:colOff>
      <xdr:row>91</xdr:row>
      <xdr:rowOff>111751</xdr:rowOff>
    </xdr:to>
    <xdr:sp macro="" textlink="">
      <xdr:nvSpPr>
        <xdr:cNvPr id="247306" name="フリーフォーム: 図形 247305">
          <a:extLst>
            <a:ext uri="{FF2B5EF4-FFF2-40B4-BE49-F238E27FC236}">
              <a16:creationId xmlns:a16="http://schemas.microsoft.com/office/drawing/2014/main" id="{3D541CDE-BD03-45CC-A315-62E083801779}"/>
            </a:ext>
          </a:extLst>
        </xdr:cNvPr>
        <xdr:cNvSpPr>
          <a:spLocks noChangeAspect="1"/>
        </xdr:cNvSpPr>
      </xdr:nvSpPr>
      <xdr:spPr>
        <a:xfrm>
          <a:off x="150264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90</xdr:row>
      <xdr:rowOff>139199</xdr:rowOff>
    </xdr:from>
    <xdr:to>
      <xdr:col>23</xdr:col>
      <xdr:colOff>207001</xdr:colOff>
      <xdr:row>91</xdr:row>
      <xdr:rowOff>111751</xdr:rowOff>
    </xdr:to>
    <xdr:sp macro="" textlink="">
      <xdr:nvSpPr>
        <xdr:cNvPr id="247307" name="フリーフォーム: 図形 247306">
          <a:extLst>
            <a:ext uri="{FF2B5EF4-FFF2-40B4-BE49-F238E27FC236}">
              <a16:creationId xmlns:a16="http://schemas.microsoft.com/office/drawing/2014/main" id="{D576416A-1F61-4AF7-85AC-4ECFB376018F}"/>
            </a:ext>
          </a:extLst>
        </xdr:cNvPr>
        <xdr:cNvSpPr>
          <a:spLocks noChangeAspect="1"/>
        </xdr:cNvSpPr>
      </xdr:nvSpPr>
      <xdr:spPr>
        <a:xfrm>
          <a:off x="155303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86</xdr:row>
      <xdr:rowOff>51000</xdr:rowOff>
    </xdr:from>
    <xdr:to>
      <xdr:col>22</xdr:col>
      <xdr:colOff>406801</xdr:colOff>
      <xdr:row>91</xdr:row>
      <xdr:rowOff>3751</xdr:rowOff>
    </xdr:to>
    <xdr:sp macro="" textlink="">
      <xdr:nvSpPr>
        <xdr:cNvPr id="247308" name="フリーフォーム: 図形 247307">
          <a:extLst>
            <a:ext uri="{FF2B5EF4-FFF2-40B4-BE49-F238E27FC236}">
              <a16:creationId xmlns:a16="http://schemas.microsoft.com/office/drawing/2014/main" id="{4A253651-7AAE-4E41-8A49-6EEA94570412}"/>
            </a:ext>
          </a:extLst>
        </xdr:cNvPr>
        <xdr:cNvSpPr>
          <a:spLocks noChangeAspect="1"/>
        </xdr:cNvSpPr>
      </xdr:nvSpPr>
      <xdr:spPr>
        <a:xfrm>
          <a:off x="152243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85</xdr:row>
      <xdr:rowOff>114450</xdr:rowOff>
    </xdr:from>
    <xdr:to>
      <xdr:col>22</xdr:col>
      <xdr:colOff>658801</xdr:colOff>
      <xdr:row>90</xdr:row>
      <xdr:rowOff>157201</xdr:rowOff>
    </xdr:to>
    <xdr:sp macro="" textlink="">
      <xdr:nvSpPr>
        <xdr:cNvPr id="247309" name="フリーフォーム: 図形 247308">
          <a:extLst>
            <a:ext uri="{FF2B5EF4-FFF2-40B4-BE49-F238E27FC236}">
              <a16:creationId xmlns:a16="http://schemas.microsoft.com/office/drawing/2014/main" id="{650A50F2-4BE7-48E4-BC1D-91F122AA743E}"/>
            </a:ext>
          </a:extLst>
        </xdr:cNvPr>
        <xdr:cNvSpPr>
          <a:spLocks noChangeAspect="1"/>
        </xdr:cNvSpPr>
      </xdr:nvSpPr>
      <xdr:spPr>
        <a:xfrm>
          <a:off x="154944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86</xdr:row>
      <xdr:rowOff>69000</xdr:rowOff>
    </xdr:from>
    <xdr:to>
      <xdr:col>23</xdr:col>
      <xdr:colOff>297001</xdr:colOff>
      <xdr:row>91</xdr:row>
      <xdr:rowOff>3751</xdr:rowOff>
    </xdr:to>
    <xdr:sp macro="" textlink="">
      <xdr:nvSpPr>
        <xdr:cNvPr id="247310" name="フリーフォーム: 図形 247309">
          <a:extLst>
            <a:ext uri="{FF2B5EF4-FFF2-40B4-BE49-F238E27FC236}">
              <a16:creationId xmlns:a16="http://schemas.microsoft.com/office/drawing/2014/main" id="{266C7CC6-5355-400E-A36E-8D3B6431D6FC}"/>
            </a:ext>
          </a:extLst>
        </xdr:cNvPr>
        <xdr:cNvSpPr>
          <a:spLocks noChangeAspect="1"/>
        </xdr:cNvSpPr>
      </xdr:nvSpPr>
      <xdr:spPr>
        <a:xfrm>
          <a:off x="155484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91</xdr:row>
      <xdr:rowOff>75750</xdr:rowOff>
    </xdr:from>
    <xdr:to>
      <xdr:col>23</xdr:col>
      <xdr:colOff>9000</xdr:colOff>
      <xdr:row>95</xdr:row>
      <xdr:rowOff>163951</xdr:rowOff>
    </xdr:to>
    <xdr:sp macro="" textlink="">
      <xdr:nvSpPr>
        <xdr:cNvPr id="247311" name="フリーフォーム: 図形 247310">
          <a:extLst>
            <a:ext uri="{FF2B5EF4-FFF2-40B4-BE49-F238E27FC236}">
              <a16:creationId xmlns:a16="http://schemas.microsoft.com/office/drawing/2014/main" id="{6B9C2D48-19A1-4754-A396-E3BE8D64EE92}"/>
            </a:ext>
          </a:extLst>
        </xdr:cNvPr>
        <xdr:cNvSpPr>
          <a:spLocks noChangeAspect="1"/>
        </xdr:cNvSpPr>
      </xdr:nvSpPr>
      <xdr:spPr>
        <a:xfrm>
          <a:off x="155124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91</xdr:row>
      <xdr:rowOff>93749</xdr:rowOff>
    </xdr:from>
    <xdr:to>
      <xdr:col>22</xdr:col>
      <xdr:colOff>424801</xdr:colOff>
      <xdr:row>96</xdr:row>
      <xdr:rowOff>118501</xdr:rowOff>
    </xdr:to>
    <xdr:sp macro="" textlink="">
      <xdr:nvSpPr>
        <xdr:cNvPr id="247312" name="フリーフォーム: 図形 247311">
          <a:extLst>
            <a:ext uri="{FF2B5EF4-FFF2-40B4-BE49-F238E27FC236}">
              <a16:creationId xmlns:a16="http://schemas.microsoft.com/office/drawing/2014/main" id="{5B542922-4721-4EB9-8DCA-BD96D9B6C0C1}"/>
            </a:ext>
          </a:extLst>
        </xdr:cNvPr>
        <xdr:cNvSpPr>
          <a:spLocks noChangeAspect="1"/>
        </xdr:cNvSpPr>
      </xdr:nvSpPr>
      <xdr:spPr>
        <a:xfrm>
          <a:off x="152784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91</xdr:row>
      <xdr:rowOff>75750</xdr:rowOff>
    </xdr:from>
    <xdr:to>
      <xdr:col>22</xdr:col>
      <xdr:colOff>388801</xdr:colOff>
      <xdr:row>96</xdr:row>
      <xdr:rowOff>10501</xdr:rowOff>
    </xdr:to>
    <xdr:sp macro="" textlink="">
      <xdr:nvSpPr>
        <xdr:cNvPr id="247313" name="フリーフォーム: 図形 247312">
          <a:extLst>
            <a:ext uri="{FF2B5EF4-FFF2-40B4-BE49-F238E27FC236}">
              <a16:creationId xmlns:a16="http://schemas.microsoft.com/office/drawing/2014/main" id="{3D24E747-A16A-42F7-BEFB-01E707F89B14}"/>
            </a:ext>
          </a:extLst>
        </xdr:cNvPr>
        <xdr:cNvSpPr>
          <a:spLocks noChangeAspect="1"/>
        </xdr:cNvSpPr>
      </xdr:nvSpPr>
      <xdr:spPr>
        <a:xfrm>
          <a:off x="149544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85</xdr:row>
      <xdr:rowOff>42450</xdr:rowOff>
    </xdr:from>
    <xdr:to>
      <xdr:col>25</xdr:col>
      <xdr:colOff>322201</xdr:colOff>
      <xdr:row>86</xdr:row>
      <xdr:rowOff>15002</xdr:rowOff>
    </xdr:to>
    <xdr:sp macro="" textlink="">
      <xdr:nvSpPr>
        <xdr:cNvPr id="247314" name="フリーフォーム: 図形 247313">
          <a:extLst>
            <a:ext uri="{FF2B5EF4-FFF2-40B4-BE49-F238E27FC236}">
              <a16:creationId xmlns:a16="http://schemas.microsoft.com/office/drawing/2014/main" id="{C0E782C0-AB82-4EE2-94EE-6DB4AF5787D2}"/>
            </a:ext>
          </a:extLst>
        </xdr:cNvPr>
        <xdr:cNvSpPr>
          <a:spLocks noChangeAspect="1"/>
        </xdr:cNvSpPr>
      </xdr:nvSpPr>
      <xdr:spPr>
        <a:xfrm>
          <a:off x="169992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85</xdr:row>
      <xdr:rowOff>42450</xdr:rowOff>
    </xdr:from>
    <xdr:to>
      <xdr:col>26</xdr:col>
      <xdr:colOff>176401</xdr:colOff>
      <xdr:row>86</xdr:row>
      <xdr:rowOff>15002</xdr:rowOff>
    </xdr:to>
    <xdr:sp macro="" textlink="">
      <xdr:nvSpPr>
        <xdr:cNvPr id="247315" name="フリーフォーム: 図形 247314">
          <a:extLst>
            <a:ext uri="{FF2B5EF4-FFF2-40B4-BE49-F238E27FC236}">
              <a16:creationId xmlns:a16="http://schemas.microsoft.com/office/drawing/2014/main" id="{7B9F7B49-BD5A-471E-95F6-057F860DE17D}"/>
            </a:ext>
          </a:extLst>
        </xdr:cNvPr>
        <xdr:cNvSpPr>
          <a:spLocks noChangeAspect="1"/>
        </xdr:cNvSpPr>
      </xdr:nvSpPr>
      <xdr:spPr>
        <a:xfrm>
          <a:off x="175392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85</xdr:row>
      <xdr:rowOff>114450</xdr:rowOff>
    </xdr:from>
    <xdr:to>
      <xdr:col>26</xdr:col>
      <xdr:colOff>248401</xdr:colOff>
      <xdr:row>91</xdr:row>
      <xdr:rowOff>21752</xdr:rowOff>
    </xdr:to>
    <xdr:sp macro="" textlink="">
      <xdr:nvSpPr>
        <xdr:cNvPr id="247316" name="フリーフォーム: 図形 247315">
          <a:extLst>
            <a:ext uri="{FF2B5EF4-FFF2-40B4-BE49-F238E27FC236}">
              <a16:creationId xmlns:a16="http://schemas.microsoft.com/office/drawing/2014/main" id="{88C49FE0-FCEB-47AC-BB44-01C030BC33E7}"/>
            </a:ext>
          </a:extLst>
        </xdr:cNvPr>
        <xdr:cNvSpPr>
          <a:spLocks noChangeAspect="1"/>
        </xdr:cNvSpPr>
      </xdr:nvSpPr>
      <xdr:spPr>
        <a:xfrm>
          <a:off x="177911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91</xdr:row>
      <xdr:rowOff>75750</xdr:rowOff>
    </xdr:from>
    <xdr:to>
      <xdr:col>26</xdr:col>
      <xdr:colOff>68401</xdr:colOff>
      <xdr:row>96</xdr:row>
      <xdr:rowOff>136501</xdr:rowOff>
    </xdr:to>
    <xdr:sp macro="" textlink="">
      <xdr:nvSpPr>
        <xdr:cNvPr id="247317" name="フリーフォーム: 図形 247316">
          <a:extLst>
            <a:ext uri="{FF2B5EF4-FFF2-40B4-BE49-F238E27FC236}">
              <a16:creationId xmlns:a16="http://schemas.microsoft.com/office/drawing/2014/main" id="{67ADE728-36F8-446F-8B76-0DA746B03979}"/>
            </a:ext>
          </a:extLst>
        </xdr:cNvPr>
        <xdr:cNvSpPr>
          <a:spLocks noChangeAspect="1"/>
        </xdr:cNvSpPr>
      </xdr:nvSpPr>
      <xdr:spPr>
        <a:xfrm>
          <a:off x="176111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96</xdr:row>
      <xdr:rowOff>64500</xdr:rowOff>
    </xdr:from>
    <xdr:to>
      <xdr:col>24</xdr:col>
      <xdr:colOff>684001</xdr:colOff>
      <xdr:row>97</xdr:row>
      <xdr:rowOff>37051</xdr:rowOff>
    </xdr:to>
    <xdr:sp macro="" textlink="">
      <xdr:nvSpPr>
        <xdr:cNvPr id="247318" name="フリーフォーム: 図形 247317">
          <a:extLst>
            <a:ext uri="{FF2B5EF4-FFF2-40B4-BE49-F238E27FC236}">
              <a16:creationId xmlns:a16="http://schemas.microsoft.com/office/drawing/2014/main" id="{8D2F7AB7-35F6-4381-9821-DF2D10EFD398}"/>
            </a:ext>
          </a:extLst>
        </xdr:cNvPr>
        <xdr:cNvSpPr>
          <a:spLocks noChangeAspect="1"/>
        </xdr:cNvSpPr>
      </xdr:nvSpPr>
      <xdr:spPr>
        <a:xfrm>
          <a:off x="166572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96</xdr:row>
      <xdr:rowOff>64500</xdr:rowOff>
    </xdr:from>
    <xdr:to>
      <xdr:col>25</xdr:col>
      <xdr:colOff>502201</xdr:colOff>
      <xdr:row>97</xdr:row>
      <xdr:rowOff>37051</xdr:rowOff>
    </xdr:to>
    <xdr:sp macro="" textlink="">
      <xdr:nvSpPr>
        <xdr:cNvPr id="247319" name="フリーフォーム: 図形 247318">
          <a:extLst>
            <a:ext uri="{FF2B5EF4-FFF2-40B4-BE49-F238E27FC236}">
              <a16:creationId xmlns:a16="http://schemas.microsoft.com/office/drawing/2014/main" id="{A52B40E0-C715-4DCB-ADD1-45343262B0F0}"/>
            </a:ext>
          </a:extLst>
        </xdr:cNvPr>
        <xdr:cNvSpPr>
          <a:spLocks noChangeAspect="1"/>
        </xdr:cNvSpPr>
      </xdr:nvSpPr>
      <xdr:spPr>
        <a:xfrm>
          <a:off x="171791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91</xdr:row>
      <xdr:rowOff>75750</xdr:rowOff>
    </xdr:from>
    <xdr:to>
      <xdr:col>24</xdr:col>
      <xdr:colOff>432001</xdr:colOff>
      <xdr:row>96</xdr:row>
      <xdr:rowOff>136501</xdr:rowOff>
    </xdr:to>
    <xdr:sp macro="" textlink="">
      <xdr:nvSpPr>
        <xdr:cNvPr id="247320" name="フリーフォーム: 図形 247319">
          <a:extLst>
            <a:ext uri="{FF2B5EF4-FFF2-40B4-BE49-F238E27FC236}">
              <a16:creationId xmlns:a16="http://schemas.microsoft.com/office/drawing/2014/main" id="{FF16670F-4F89-43A2-9782-CCFE065CCDA1}"/>
            </a:ext>
          </a:extLst>
        </xdr:cNvPr>
        <xdr:cNvSpPr>
          <a:spLocks noChangeAspect="1"/>
        </xdr:cNvSpPr>
      </xdr:nvSpPr>
      <xdr:spPr>
        <a:xfrm>
          <a:off x="16603201" y="159444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85</xdr:row>
      <xdr:rowOff>114450</xdr:rowOff>
    </xdr:from>
    <xdr:to>
      <xdr:col>24</xdr:col>
      <xdr:colOff>576002</xdr:colOff>
      <xdr:row>91</xdr:row>
      <xdr:rowOff>21752</xdr:rowOff>
    </xdr:to>
    <xdr:sp macro="" textlink="">
      <xdr:nvSpPr>
        <xdr:cNvPr id="247321" name="フリーフォーム: 図形 247320">
          <a:extLst>
            <a:ext uri="{FF2B5EF4-FFF2-40B4-BE49-F238E27FC236}">
              <a16:creationId xmlns:a16="http://schemas.microsoft.com/office/drawing/2014/main" id="{04AB818B-5E5D-417A-9BB2-3CFC41485349}"/>
            </a:ext>
          </a:extLst>
        </xdr:cNvPr>
        <xdr:cNvSpPr>
          <a:spLocks noChangeAspect="1"/>
        </xdr:cNvSpPr>
      </xdr:nvSpPr>
      <xdr:spPr>
        <a:xfrm>
          <a:off x="167832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90</xdr:row>
      <xdr:rowOff>139199</xdr:rowOff>
    </xdr:from>
    <xdr:to>
      <xdr:col>25</xdr:col>
      <xdr:colOff>160201</xdr:colOff>
      <xdr:row>91</xdr:row>
      <xdr:rowOff>111751</xdr:rowOff>
    </xdr:to>
    <xdr:sp macro="" textlink="">
      <xdr:nvSpPr>
        <xdr:cNvPr id="247322" name="フリーフォーム: 図形 247321">
          <a:extLst>
            <a:ext uri="{FF2B5EF4-FFF2-40B4-BE49-F238E27FC236}">
              <a16:creationId xmlns:a16="http://schemas.microsoft.com/office/drawing/2014/main" id="{E3B3CBD1-2FD3-4FC8-A0A7-102E9847C6CA}"/>
            </a:ext>
          </a:extLst>
        </xdr:cNvPr>
        <xdr:cNvSpPr>
          <a:spLocks noChangeAspect="1"/>
        </xdr:cNvSpPr>
      </xdr:nvSpPr>
      <xdr:spPr>
        <a:xfrm>
          <a:off x="168552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90</xdr:row>
      <xdr:rowOff>139199</xdr:rowOff>
    </xdr:from>
    <xdr:to>
      <xdr:col>25</xdr:col>
      <xdr:colOff>664201</xdr:colOff>
      <xdr:row>91</xdr:row>
      <xdr:rowOff>111751</xdr:rowOff>
    </xdr:to>
    <xdr:sp macro="" textlink="">
      <xdr:nvSpPr>
        <xdr:cNvPr id="247323" name="フリーフォーム: 図形 247322">
          <a:extLst>
            <a:ext uri="{FF2B5EF4-FFF2-40B4-BE49-F238E27FC236}">
              <a16:creationId xmlns:a16="http://schemas.microsoft.com/office/drawing/2014/main" id="{F6F3A860-DB27-42CE-9F7C-FBE92B63E369}"/>
            </a:ext>
          </a:extLst>
        </xdr:cNvPr>
        <xdr:cNvSpPr>
          <a:spLocks noChangeAspect="1"/>
        </xdr:cNvSpPr>
      </xdr:nvSpPr>
      <xdr:spPr>
        <a:xfrm>
          <a:off x="173591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86</xdr:row>
      <xdr:rowOff>51000</xdr:rowOff>
    </xdr:from>
    <xdr:to>
      <xdr:col>25</xdr:col>
      <xdr:colOff>178201</xdr:colOff>
      <xdr:row>91</xdr:row>
      <xdr:rowOff>3751</xdr:rowOff>
    </xdr:to>
    <xdr:sp macro="" textlink="">
      <xdr:nvSpPr>
        <xdr:cNvPr id="247324" name="フリーフォーム: 図形 247323">
          <a:extLst>
            <a:ext uri="{FF2B5EF4-FFF2-40B4-BE49-F238E27FC236}">
              <a16:creationId xmlns:a16="http://schemas.microsoft.com/office/drawing/2014/main" id="{8181E775-78F5-41E3-9D5C-D5E950D7B2E4}"/>
            </a:ext>
          </a:extLst>
        </xdr:cNvPr>
        <xdr:cNvSpPr>
          <a:spLocks noChangeAspect="1"/>
        </xdr:cNvSpPr>
      </xdr:nvSpPr>
      <xdr:spPr>
        <a:xfrm>
          <a:off x="170531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85</xdr:row>
      <xdr:rowOff>114450</xdr:rowOff>
    </xdr:from>
    <xdr:to>
      <xdr:col>25</xdr:col>
      <xdr:colOff>430201</xdr:colOff>
      <xdr:row>90</xdr:row>
      <xdr:rowOff>157201</xdr:rowOff>
    </xdr:to>
    <xdr:sp macro="" textlink="">
      <xdr:nvSpPr>
        <xdr:cNvPr id="247325" name="フリーフォーム: 図形 247324">
          <a:extLst>
            <a:ext uri="{FF2B5EF4-FFF2-40B4-BE49-F238E27FC236}">
              <a16:creationId xmlns:a16="http://schemas.microsoft.com/office/drawing/2014/main" id="{7E07F796-3880-4B89-9BC4-892D38B3F54C}"/>
            </a:ext>
          </a:extLst>
        </xdr:cNvPr>
        <xdr:cNvSpPr>
          <a:spLocks noChangeAspect="1"/>
        </xdr:cNvSpPr>
      </xdr:nvSpPr>
      <xdr:spPr>
        <a:xfrm>
          <a:off x="173232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86</xdr:row>
      <xdr:rowOff>69000</xdr:rowOff>
    </xdr:from>
    <xdr:to>
      <xdr:col>26</xdr:col>
      <xdr:colOff>68401</xdr:colOff>
      <xdr:row>91</xdr:row>
      <xdr:rowOff>3751</xdr:rowOff>
    </xdr:to>
    <xdr:sp macro="" textlink="">
      <xdr:nvSpPr>
        <xdr:cNvPr id="247326" name="フリーフォーム: 図形 247325">
          <a:extLst>
            <a:ext uri="{FF2B5EF4-FFF2-40B4-BE49-F238E27FC236}">
              <a16:creationId xmlns:a16="http://schemas.microsoft.com/office/drawing/2014/main" id="{D74A31F6-DA21-4A79-9A73-DE65F07726A3}"/>
            </a:ext>
          </a:extLst>
        </xdr:cNvPr>
        <xdr:cNvSpPr>
          <a:spLocks noChangeAspect="1"/>
        </xdr:cNvSpPr>
      </xdr:nvSpPr>
      <xdr:spPr>
        <a:xfrm>
          <a:off x="173772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91</xdr:row>
      <xdr:rowOff>75750</xdr:rowOff>
    </xdr:from>
    <xdr:to>
      <xdr:col>25</xdr:col>
      <xdr:colOff>466200</xdr:colOff>
      <xdr:row>95</xdr:row>
      <xdr:rowOff>163951</xdr:rowOff>
    </xdr:to>
    <xdr:sp macro="" textlink="">
      <xdr:nvSpPr>
        <xdr:cNvPr id="247327" name="フリーフォーム: 図形 247326">
          <a:extLst>
            <a:ext uri="{FF2B5EF4-FFF2-40B4-BE49-F238E27FC236}">
              <a16:creationId xmlns:a16="http://schemas.microsoft.com/office/drawing/2014/main" id="{64DE1E9E-1DB2-4BE8-A8B1-AE2BBD6F4AA3}"/>
            </a:ext>
          </a:extLst>
        </xdr:cNvPr>
        <xdr:cNvSpPr>
          <a:spLocks noChangeAspect="1"/>
        </xdr:cNvSpPr>
      </xdr:nvSpPr>
      <xdr:spPr>
        <a:xfrm>
          <a:off x="173412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91</xdr:row>
      <xdr:rowOff>93749</xdr:rowOff>
    </xdr:from>
    <xdr:to>
      <xdr:col>25</xdr:col>
      <xdr:colOff>196201</xdr:colOff>
      <xdr:row>96</xdr:row>
      <xdr:rowOff>118501</xdr:rowOff>
    </xdr:to>
    <xdr:sp macro="" textlink="">
      <xdr:nvSpPr>
        <xdr:cNvPr id="247328" name="フリーフォーム: 図形 247327">
          <a:extLst>
            <a:ext uri="{FF2B5EF4-FFF2-40B4-BE49-F238E27FC236}">
              <a16:creationId xmlns:a16="http://schemas.microsoft.com/office/drawing/2014/main" id="{3738ACDD-4F1E-49EA-A6AC-4FE8E3BDF4A3}"/>
            </a:ext>
          </a:extLst>
        </xdr:cNvPr>
        <xdr:cNvSpPr>
          <a:spLocks noChangeAspect="1"/>
        </xdr:cNvSpPr>
      </xdr:nvSpPr>
      <xdr:spPr>
        <a:xfrm>
          <a:off x="171072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91</xdr:row>
      <xdr:rowOff>75750</xdr:rowOff>
    </xdr:from>
    <xdr:to>
      <xdr:col>25</xdr:col>
      <xdr:colOff>160201</xdr:colOff>
      <xdr:row>96</xdr:row>
      <xdr:rowOff>10501</xdr:rowOff>
    </xdr:to>
    <xdr:sp macro="" textlink="">
      <xdr:nvSpPr>
        <xdr:cNvPr id="247329" name="フリーフォーム: 図形 247328">
          <a:extLst>
            <a:ext uri="{FF2B5EF4-FFF2-40B4-BE49-F238E27FC236}">
              <a16:creationId xmlns:a16="http://schemas.microsoft.com/office/drawing/2014/main" id="{2EE3B9F0-AD24-437A-89DF-A263A1FC4CF7}"/>
            </a:ext>
          </a:extLst>
        </xdr:cNvPr>
        <xdr:cNvSpPr>
          <a:spLocks noChangeAspect="1"/>
        </xdr:cNvSpPr>
      </xdr:nvSpPr>
      <xdr:spPr>
        <a:xfrm>
          <a:off x="167832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85</xdr:row>
      <xdr:rowOff>42450</xdr:rowOff>
    </xdr:from>
    <xdr:to>
      <xdr:col>28</xdr:col>
      <xdr:colOff>93601</xdr:colOff>
      <xdr:row>86</xdr:row>
      <xdr:rowOff>15002</xdr:rowOff>
    </xdr:to>
    <xdr:sp macro="" textlink="">
      <xdr:nvSpPr>
        <xdr:cNvPr id="247330" name="フリーフォーム: 図形 247329">
          <a:extLst>
            <a:ext uri="{FF2B5EF4-FFF2-40B4-BE49-F238E27FC236}">
              <a16:creationId xmlns:a16="http://schemas.microsoft.com/office/drawing/2014/main" id="{C9FC3D1C-45D7-4E30-BA1E-C892EA73023B}"/>
            </a:ext>
          </a:extLst>
        </xdr:cNvPr>
        <xdr:cNvSpPr>
          <a:spLocks noChangeAspect="1"/>
        </xdr:cNvSpPr>
      </xdr:nvSpPr>
      <xdr:spPr>
        <a:xfrm>
          <a:off x="188280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85</xdr:row>
      <xdr:rowOff>42450</xdr:rowOff>
    </xdr:from>
    <xdr:to>
      <xdr:col>28</xdr:col>
      <xdr:colOff>633601</xdr:colOff>
      <xdr:row>86</xdr:row>
      <xdr:rowOff>15002</xdr:rowOff>
    </xdr:to>
    <xdr:sp macro="" textlink="">
      <xdr:nvSpPr>
        <xdr:cNvPr id="247331" name="フリーフォーム: 図形 247330">
          <a:extLst>
            <a:ext uri="{FF2B5EF4-FFF2-40B4-BE49-F238E27FC236}">
              <a16:creationId xmlns:a16="http://schemas.microsoft.com/office/drawing/2014/main" id="{FA0A7CC0-1902-4E76-B73B-F5772B867D92}"/>
            </a:ext>
          </a:extLst>
        </xdr:cNvPr>
        <xdr:cNvSpPr>
          <a:spLocks noChangeAspect="1"/>
        </xdr:cNvSpPr>
      </xdr:nvSpPr>
      <xdr:spPr>
        <a:xfrm>
          <a:off x="193680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85</xdr:row>
      <xdr:rowOff>114450</xdr:rowOff>
    </xdr:from>
    <xdr:to>
      <xdr:col>29</xdr:col>
      <xdr:colOff>19801</xdr:colOff>
      <xdr:row>91</xdr:row>
      <xdr:rowOff>21752</xdr:rowOff>
    </xdr:to>
    <xdr:sp macro="" textlink="">
      <xdr:nvSpPr>
        <xdr:cNvPr id="247332" name="フリーフォーム: 図形 247331">
          <a:extLst>
            <a:ext uri="{FF2B5EF4-FFF2-40B4-BE49-F238E27FC236}">
              <a16:creationId xmlns:a16="http://schemas.microsoft.com/office/drawing/2014/main" id="{D3D2B6D2-36AC-47FD-9115-BF5E61A0F407}"/>
            </a:ext>
          </a:extLst>
        </xdr:cNvPr>
        <xdr:cNvSpPr>
          <a:spLocks noChangeAspect="1"/>
        </xdr:cNvSpPr>
      </xdr:nvSpPr>
      <xdr:spPr>
        <a:xfrm>
          <a:off x="196199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91</xdr:row>
      <xdr:rowOff>75750</xdr:rowOff>
    </xdr:from>
    <xdr:to>
      <xdr:col>28</xdr:col>
      <xdr:colOff>525601</xdr:colOff>
      <xdr:row>96</xdr:row>
      <xdr:rowOff>136501</xdr:rowOff>
    </xdr:to>
    <xdr:sp macro="" textlink="">
      <xdr:nvSpPr>
        <xdr:cNvPr id="247333" name="フリーフォーム: 図形 247332">
          <a:extLst>
            <a:ext uri="{FF2B5EF4-FFF2-40B4-BE49-F238E27FC236}">
              <a16:creationId xmlns:a16="http://schemas.microsoft.com/office/drawing/2014/main" id="{BE492E2B-F864-4328-AA13-7BC7F59958A3}"/>
            </a:ext>
          </a:extLst>
        </xdr:cNvPr>
        <xdr:cNvSpPr>
          <a:spLocks noChangeAspect="1"/>
        </xdr:cNvSpPr>
      </xdr:nvSpPr>
      <xdr:spPr>
        <a:xfrm>
          <a:off x="194399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96</xdr:row>
      <xdr:rowOff>64500</xdr:rowOff>
    </xdr:from>
    <xdr:to>
      <xdr:col>27</xdr:col>
      <xdr:colOff>455401</xdr:colOff>
      <xdr:row>97</xdr:row>
      <xdr:rowOff>37051</xdr:rowOff>
    </xdr:to>
    <xdr:sp macro="" textlink="">
      <xdr:nvSpPr>
        <xdr:cNvPr id="247334" name="フリーフォーム: 図形 247333">
          <a:extLst>
            <a:ext uri="{FF2B5EF4-FFF2-40B4-BE49-F238E27FC236}">
              <a16:creationId xmlns:a16="http://schemas.microsoft.com/office/drawing/2014/main" id="{F13C54E5-A93C-460E-AC37-9D96B508709C}"/>
            </a:ext>
          </a:extLst>
        </xdr:cNvPr>
        <xdr:cNvSpPr>
          <a:spLocks noChangeAspect="1"/>
        </xdr:cNvSpPr>
      </xdr:nvSpPr>
      <xdr:spPr>
        <a:xfrm>
          <a:off x="184860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96</xdr:row>
      <xdr:rowOff>64500</xdr:rowOff>
    </xdr:from>
    <xdr:to>
      <xdr:col>28</xdr:col>
      <xdr:colOff>273601</xdr:colOff>
      <xdr:row>97</xdr:row>
      <xdr:rowOff>37051</xdr:rowOff>
    </xdr:to>
    <xdr:sp macro="" textlink="">
      <xdr:nvSpPr>
        <xdr:cNvPr id="247335" name="フリーフォーム: 図形 247334">
          <a:extLst>
            <a:ext uri="{FF2B5EF4-FFF2-40B4-BE49-F238E27FC236}">
              <a16:creationId xmlns:a16="http://schemas.microsoft.com/office/drawing/2014/main" id="{3A939F4A-2614-4344-8402-726235215751}"/>
            </a:ext>
          </a:extLst>
        </xdr:cNvPr>
        <xdr:cNvSpPr>
          <a:spLocks noChangeAspect="1"/>
        </xdr:cNvSpPr>
      </xdr:nvSpPr>
      <xdr:spPr>
        <a:xfrm>
          <a:off x="190079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91</xdr:row>
      <xdr:rowOff>75750</xdr:rowOff>
    </xdr:from>
    <xdr:to>
      <xdr:col>27</xdr:col>
      <xdr:colOff>203401</xdr:colOff>
      <xdr:row>96</xdr:row>
      <xdr:rowOff>136501</xdr:rowOff>
    </xdr:to>
    <xdr:sp macro="" textlink="">
      <xdr:nvSpPr>
        <xdr:cNvPr id="247336" name="フリーフォーム: 図形 247335">
          <a:extLst>
            <a:ext uri="{FF2B5EF4-FFF2-40B4-BE49-F238E27FC236}">
              <a16:creationId xmlns:a16="http://schemas.microsoft.com/office/drawing/2014/main" id="{F059989C-69C1-4158-976F-DC369A43EA07}"/>
            </a:ext>
          </a:extLst>
        </xdr:cNvPr>
        <xdr:cNvSpPr>
          <a:spLocks noChangeAspect="1"/>
        </xdr:cNvSpPr>
      </xdr:nvSpPr>
      <xdr:spPr>
        <a:xfrm>
          <a:off x="18432001" y="159444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85</xdr:row>
      <xdr:rowOff>114450</xdr:rowOff>
    </xdr:from>
    <xdr:to>
      <xdr:col>27</xdr:col>
      <xdr:colOff>347402</xdr:colOff>
      <xdr:row>91</xdr:row>
      <xdr:rowOff>21752</xdr:rowOff>
    </xdr:to>
    <xdr:sp macro="" textlink="">
      <xdr:nvSpPr>
        <xdr:cNvPr id="247337" name="フリーフォーム: 図形 247336">
          <a:extLst>
            <a:ext uri="{FF2B5EF4-FFF2-40B4-BE49-F238E27FC236}">
              <a16:creationId xmlns:a16="http://schemas.microsoft.com/office/drawing/2014/main" id="{65C08AE0-33F4-4EE0-B2BE-AEAD4AC6FD3A}"/>
            </a:ext>
          </a:extLst>
        </xdr:cNvPr>
        <xdr:cNvSpPr>
          <a:spLocks noChangeAspect="1"/>
        </xdr:cNvSpPr>
      </xdr:nvSpPr>
      <xdr:spPr>
        <a:xfrm>
          <a:off x="186120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90</xdr:row>
      <xdr:rowOff>139199</xdr:rowOff>
    </xdr:from>
    <xdr:to>
      <xdr:col>27</xdr:col>
      <xdr:colOff>617401</xdr:colOff>
      <xdr:row>91</xdr:row>
      <xdr:rowOff>111751</xdr:rowOff>
    </xdr:to>
    <xdr:sp macro="" textlink="">
      <xdr:nvSpPr>
        <xdr:cNvPr id="247338" name="フリーフォーム: 図形 247337">
          <a:extLst>
            <a:ext uri="{FF2B5EF4-FFF2-40B4-BE49-F238E27FC236}">
              <a16:creationId xmlns:a16="http://schemas.microsoft.com/office/drawing/2014/main" id="{C9926EB6-2263-4EE4-8F20-AD807F0344D7}"/>
            </a:ext>
          </a:extLst>
        </xdr:cNvPr>
        <xdr:cNvSpPr>
          <a:spLocks noChangeAspect="1"/>
        </xdr:cNvSpPr>
      </xdr:nvSpPr>
      <xdr:spPr>
        <a:xfrm>
          <a:off x="186840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90</xdr:row>
      <xdr:rowOff>139199</xdr:rowOff>
    </xdr:from>
    <xdr:to>
      <xdr:col>28</xdr:col>
      <xdr:colOff>435601</xdr:colOff>
      <xdr:row>91</xdr:row>
      <xdr:rowOff>111751</xdr:rowOff>
    </xdr:to>
    <xdr:sp macro="" textlink="">
      <xdr:nvSpPr>
        <xdr:cNvPr id="247339" name="フリーフォーム: 図形 247338">
          <a:extLst>
            <a:ext uri="{FF2B5EF4-FFF2-40B4-BE49-F238E27FC236}">
              <a16:creationId xmlns:a16="http://schemas.microsoft.com/office/drawing/2014/main" id="{3CB4516D-3151-473C-B67C-FA886E4618DB}"/>
            </a:ext>
          </a:extLst>
        </xdr:cNvPr>
        <xdr:cNvSpPr>
          <a:spLocks noChangeAspect="1"/>
        </xdr:cNvSpPr>
      </xdr:nvSpPr>
      <xdr:spPr>
        <a:xfrm>
          <a:off x="191879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86</xdr:row>
      <xdr:rowOff>51000</xdr:rowOff>
    </xdr:from>
    <xdr:to>
      <xdr:col>27</xdr:col>
      <xdr:colOff>635401</xdr:colOff>
      <xdr:row>91</xdr:row>
      <xdr:rowOff>3751</xdr:rowOff>
    </xdr:to>
    <xdr:sp macro="" textlink="">
      <xdr:nvSpPr>
        <xdr:cNvPr id="247340" name="フリーフォーム: 図形 247339">
          <a:extLst>
            <a:ext uri="{FF2B5EF4-FFF2-40B4-BE49-F238E27FC236}">
              <a16:creationId xmlns:a16="http://schemas.microsoft.com/office/drawing/2014/main" id="{5FA6A06B-7A2B-4E07-8487-E6FD89251628}"/>
            </a:ext>
          </a:extLst>
        </xdr:cNvPr>
        <xdr:cNvSpPr>
          <a:spLocks noChangeAspect="1"/>
        </xdr:cNvSpPr>
      </xdr:nvSpPr>
      <xdr:spPr>
        <a:xfrm>
          <a:off x="188819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85</xdr:row>
      <xdr:rowOff>114450</xdr:rowOff>
    </xdr:from>
    <xdr:to>
      <xdr:col>28</xdr:col>
      <xdr:colOff>201601</xdr:colOff>
      <xdr:row>90</xdr:row>
      <xdr:rowOff>157201</xdr:rowOff>
    </xdr:to>
    <xdr:sp macro="" textlink="">
      <xdr:nvSpPr>
        <xdr:cNvPr id="247341" name="フリーフォーム: 図形 247340">
          <a:extLst>
            <a:ext uri="{FF2B5EF4-FFF2-40B4-BE49-F238E27FC236}">
              <a16:creationId xmlns:a16="http://schemas.microsoft.com/office/drawing/2014/main" id="{AFF23E8B-36C9-4BFF-9E4A-DB9B7028AC47}"/>
            </a:ext>
          </a:extLst>
        </xdr:cNvPr>
        <xdr:cNvSpPr>
          <a:spLocks noChangeAspect="1"/>
        </xdr:cNvSpPr>
      </xdr:nvSpPr>
      <xdr:spPr>
        <a:xfrm>
          <a:off x="191520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86</xdr:row>
      <xdr:rowOff>69000</xdr:rowOff>
    </xdr:from>
    <xdr:to>
      <xdr:col>28</xdr:col>
      <xdr:colOff>525601</xdr:colOff>
      <xdr:row>91</xdr:row>
      <xdr:rowOff>3751</xdr:rowOff>
    </xdr:to>
    <xdr:sp macro="" textlink="">
      <xdr:nvSpPr>
        <xdr:cNvPr id="247342" name="フリーフォーム: 図形 247341">
          <a:extLst>
            <a:ext uri="{FF2B5EF4-FFF2-40B4-BE49-F238E27FC236}">
              <a16:creationId xmlns:a16="http://schemas.microsoft.com/office/drawing/2014/main" id="{F43A88D2-10C6-4F26-9811-72DE5A774D01}"/>
            </a:ext>
          </a:extLst>
        </xdr:cNvPr>
        <xdr:cNvSpPr>
          <a:spLocks noChangeAspect="1"/>
        </xdr:cNvSpPr>
      </xdr:nvSpPr>
      <xdr:spPr>
        <a:xfrm>
          <a:off x="192060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91</xdr:row>
      <xdr:rowOff>75750</xdr:rowOff>
    </xdr:from>
    <xdr:to>
      <xdr:col>28</xdr:col>
      <xdr:colOff>237600</xdr:colOff>
      <xdr:row>95</xdr:row>
      <xdr:rowOff>163951</xdr:rowOff>
    </xdr:to>
    <xdr:sp macro="" textlink="">
      <xdr:nvSpPr>
        <xdr:cNvPr id="247343" name="フリーフォーム: 図形 247342">
          <a:extLst>
            <a:ext uri="{FF2B5EF4-FFF2-40B4-BE49-F238E27FC236}">
              <a16:creationId xmlns:a16="http://schemas.microsoft.com/office/drawing/2014/main" id="{8886E513-80CB-413B-959C-D771D4330088}"/>
            </a:ext>
          </a:extLst>
        </xdr:cNvPr>
        <xdr:cNvSpPr>
          <a:spLocks noChangeAspect="1"/>
        </xdr:cNvSpPr>
      </xdr:nvSpPr>
      <xdr:spPr>
        <a:xfrm>
          <a:off x="191700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91</xdr:row>
      <xdr:rowOff>93749</xdr:rowOff>
    </xdr:from>
    <xdr:to>
      <xdr:col>27</xdr:col>
      <xdr:colOff>653401</xdr:colOff>
      <xdr:row>96</xdr:row>
      <xdr:rowOff>118501</xdr:rowOff>
    </xdr:to>
    <xdr:sp macro="" textlink="">
      <xdr:nvSpPr>
        <xdr:cNvPr id="247344" name="フリーフォーム: 図形 247343">
          <a:extLst>
            <a:ext uri="{FF2B5EF4-FFF2-40B4-BE49-F238E27FC236}">
              <a16:creationId xmlns:a16="http://schemas.microsoft.com/office/drawing/2014/main" id="{5CCA75A1-CCFE-4655-B0ED-F28859029412}"/>
            </a:ext>
          </a:extLst>
        </xdr:cNvPr>
        <xdr:cNvSpPr>
          <a:spLocks noChangeAspect="1"/>
        </xdr:cNvSpPr>
      </xdr:nvSpPr>
      <xdr:spPr>
        <a:xfrm>
          <a:off x="189360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91</xdr:row>
      <xdr:rowOff>75750</xdr:rowOff>
    </xdr:from>
    <xdr:to>
      <xdr:col>27</xdr:col>
      <xdr:colOff>617401</xdr:colOff>
      <xdr:row>96</xdr:row>
      <xdr:rowOff>10501</xdr:rowOff>
    </xdr:to>
    <xdr:sp macro="" textlink="">
      <xdr:nvSpPr>
        <xdr:cNvPr id="247345" name="フリーフォーム: 図形 247344">
          <a:extLst>
            <a:ext uri="{FF2B5EF4-FFF2-40B4-BE49-F238E27FC236}">
              <a16:creationId xmlns:a16="http://schemas.microsoft.com/office/drawing/2014/main" id="{D22324D3-BCDE-4261-A652-367BD4A19725}"/>
            </a:ext>
          </a:extLst>
        </xdr:cNvPr>
        <xdr:cNvSpPr>
          <a:spLocks noChangeAspect="1"/>
        </xdr:cNvSpPr>
      </xdr:nvSpPr>
      <xdr:spPr>
        <a:xfrm>
          <a:off x="186120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85</xdr:row>
      <xdr:rowOff>42450</xdr:rowOff>
    </xdr:from>
    <xdr:to>
      <xdr:col>30</xdr:col>
      <xdr:colOff>550801</xdr:colOff>
      <xdr:row>86</xdr:row>
      <xdr:rowOff>15002</xdr:rowOff>
    </xdr:to>
    <xdr:sp macro="" textlink="">
      <xdr:nvSpPr>
        <xdr:cNvPr id="247346" name="フリーフォーム: 図形 247345">
          <a:extLst>
            <a:ext uri="{FF2B5EF4-FFF2-40B4-BE49-F238E27FC236}">
              <a16:creationId xmlns:a16="http://schemas.microsoft.com/office/drawing/2014/main" id="{C8DD09D8-15D3-4FB3-98A5-CBCF17530A20}"/>
            </a:ext>
          </a:extLst>
        </xdr:cNvPr>
        <xdr:cNvSpPr>
          <a:spLocks noChangeAspect="1"/>
        </xdr:cNvSpPr>
      </xdr:nvSpPr>
      <xdr:spPr>
        <a:xfrm>
          <a:off x="206568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85</xdr:row>
      <xdr:rowOff>42450</xdr:rowOff>
    </xdr:from>
    <xdr:to>
      <xdr:col>31</xdr:col>
      <xdr:colOff>405001</xdr:colOff>
      <xdr:row>86</xdr:row>
      <xdr:rowOff>15002</xdr:rowOff>
    </xdr:to>
    <xdr:sp macro="" textlink="">
      <xdr:nvSpPr>
        <xdr:cNvPr id="247347" name="フリーフォーム: 図形 247346">
          <a:extLst>
            <a:ext uri="{FF2B5EF4-FFF2-40B4-BE49-F238E27FC236}">
              <a16:creationId xmlns:a16="http://schemas.microsoft.com/office/drawing/2014/main" id="{D3029C2C-5D5B-4FB0-8445-EB9069590D3B}"/>
            </a:ext>
          </a:extLst>
        </xdr:cNvPr>
        <xdr:cNvSpPr>
          <a:spLocks noChangeAspect="1"/>
        </xdr:cNvSpPr>
      </xdr:nvSpPr>
      <xdr:spPr>
        <a:xfrm>
          <a:off x="211968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85</xdr:row>
      <xdr:rowOff>114450</xdr:rowOff>
    </xdr:from>
    <xdr:to>
      <xdr:col>31</xdr:col>
      <xdr:colOff>477001</xdr:colOff>
      <xdr:row>91</xdr:row>
      <xdr:rowOff>21752</xdr:rowOff>
    </xdr:to>
    <xdr:sp macro="" textlink="">
      <xdr:nvSpPr>
        <xdr:cNvPr id="247348" name="フリーフォーム: 図形 247347">
          <a:extLst>
            <a:ext uri="{FF2B5EF4-FFF2-40B4-BE49-F238E27FC236}">
              <a16:creationId xmlns:a16="http://schemas.microsoft.com/office/drawing/2014/main" id="{E033405E-5ABD-4FB3-8664-841D712F593C}"/>
            </a:ext>
          </a:extLst>
        </xdr:cNvPr>
        <xdr:cNvSpPr>
          <a:spLocks noChangeAspect="1"/>
        </xdr:cNvSpPr>
      </xdr:nvSpPr>
      <xdr:spPr>
        <a:xfrm>
          <a:off x="214487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91</xdr:row>
      <xdr:rowOff>75750</xdr:rowOff>
    </xdr:from>
    <xdr:to>
      <xdr:col>31</xdr:col>
      <xdr:colOff>297001</xdr:colOff>
      <xdr:row>96</xdr:row>
      <xdr:rowOff>136501</xdr:rowOff>
    </xdr:to>
    <xdr:sp macro="" textlink="">
      <xdr:nvSpPr>
        <xdr:cNvPr id="247349" name="フリーフォーム: 図形 247348">
          <a:extLst>
            <a:ext uri="{FF2B5EF4-FFF2-40B4-BE49-F238E27FC236}">
              <a16:creationId xmlns:a16="http://schemas.microsoft.com/office/drawing/2014/main" id="{394C0FE3-DF3F-47DF-939C-0F524B9DA95D}"/>
            </a:ext>
          </a:extLst>
        </xdr:cNvPr>
        <xdr:cNvSpPr>
          <a:spLocks noChangeAspect="1"/>
        </xdr:cNvSpPr>
      </xdr:nvSpPr>
      <xdr:spPr>
        <a:xfrm>
          <a:off x="212687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96</xdr:row>
      <xdr:rowOff>64500</xdr:rowOff>
    </xdr:from>
    <xdr:to>
      <xdr:col>30</xdr:col>
      <xdr:colOff>226801</xdr:colOff>
      <xdr:row>97</xdr:row>
      <xdr:rowOff>37051</xdr:rowOff>
    </xdr:to>
    <xdr:sp macro="" textlink="">
      <xdr:nvSpPr>
        <xdr:cNvPr id="247350" name="フリーフォーム: 図形 247349">
          <a:extLst>
            <a:ext uri="{FF2B5EF4-FFF2-40B4-BE49-F238E27FC236}">
              <a16:creationId xmlns:a16="http://schemas.microsoft.com/office/drawing/2014/main" id="{9599647F-44AF-4427-B6B9-75FD4A05D15E}"/>
            </a:ext>
          </a:extLst>
        </xdr:cNvPr>
        <xdr:cNvSpPr>
          <a:spLocks noChangeAspect="1"/>
        </xdr:cNvSpPr>
      </xdr:nvSpPr>
      <xdr:spPr>
        <a:xfrm>
          <a:off x="203148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96</xdr:row>
      <xdr:rowOff>64500</xdr:rowOff>
    </xdr:from>
    <xdr:to>
      <xdr:col>31</xdr:col>
      <xdr:colOff>45001</xdr:colOff>
      <xdr:row>97</xdr:row>
      <xdr:rowOff>37051</xdr:rowOff>
    </xdr:to>
    <xdr:sp macro="" textlink="">
      <xdr:nvSpPr>
        <xdr:cNvPr id="247351" name="フリーフォーム: 図形 247350">
          <a:extLst>
            <a:ext uri="{FF2B5EF4-FFF2-40B4-BE49-F238E27FC236}">
              <a16:creationId xmlns:a16="http://schemas.microsoft.com/office/drawing/2014/main" id="{B249EDE8-D7EB-40D8-B622-EEB7FEFC6893}"/>
            </a:ext>
          </a:extLst>
        </xdr:cNvPr>
        <xdr:cNvSpPr>
          <a:spLocks noChangeAspect="1"/>
        </xdr:cNvSpPr>
      </xdr:nvSpPr>
      <xdr:spPr>
        <a:xfrm>
          <a:off x="208367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91</xdr:row>
      <xdr:rowOff>75750</xdr:rowOff>
    </xdr:from>
    <xdr:to>
      <xdr:col>29</xdr:col>
      <xdr:colOff>660601</xdr:colOff>
      <xdr:row>96</xdr:row>
      <xdr:rowOff>136501</xdr:rowOff>
    </xdr:to>
    <xdr:sp macro="" textlink="">
      <xdr:nvSpPr>
        <xdr:cNvPr id="247352" name="フリーフォーム: 図形 247351">
          <a:extLst>
            <a:ext uri="{FF2B5EF4-FFF2-40B4-BE49-F238E27FC236}">
              <a16:creationId xmlns:a16="http://schemas.microsoft.com/office/drawing/2014/main" id="{870A58F6-DBA1-478D-B74F-230E1321D33E}"/>
            </a:ext>
          </a:extLst>
        </xdr:cNvPr>
        <xdr:cNvSpPr>
          <a:spLocks noChangeAspect="1"/>
        </xdr:cNvSpPr>
      </xdr:nvSpPr>
      <xdr:spPr>
        <a:xfrm>
          <a:off x="20260801" y="159444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85</xdr:row>
      <xdr:rowOff>114450</xdr:rowOff>
    </xdr:from>
    <xdr:to>
      <xdr:col>30</xdr:col>
      <xdr:colOff>118802</xdr:colOff>
      <xdr:row>91</xdr:row>
      <xdr:rowOff>21752</xdr:rowOff>
    </xdr:to>
    <xdr:sp macro="" textlink="">
      <xdr:nvSpPr>
        <xdr:cNvPr id="247353" name="フリーフォーム: 図形 247352">
          <a:extLst>
            <a:ext uri="{FF2B5EF4-FFF2-40B4-BE49-F238E27FC236}">
              <a16:creationId xmlns:a16="http://schemas.microsoft.com/office/drawing/2014/main" id="{790F3B4D-70AE-4F2F-83DC-3023237431F2}"/>
            </a:ext>
          </a:extLst>
        </xdr:cNvPr>
        <xdr:cNvSpPr>
          <a:spLocks noChangeAspect="1"/>
        </xdr:cNvSpPr>
      </xdr:nvSpPr>
      <xdr:spPr>
        <a:xfrm>
          <a:off x="204408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90</xdr:row>
      <xdr:rowOff>139199</xdr:rowOff>
    </xdr:from>
    <xdr:to>
      <xdr:col>30</xdr:col>
      <xdr:colOff>388801</xdr:colOff>
      <xdr:row>91</xdr:row>
      <xdr:rowOff>111751</xdr:rowOff>
    </xdr:to>
    <xdr:sp macro="" textlink="">
      <xdr:nvSpPr>
        <xdr:cNvPr id="247354" name="フリーフォーム: 図形 247353">
          <a:extLst>
            <a:ext uri="{FF2B5EF4-FFF2-40B4-BE49-F238E27FC236}">
              <a16:creationId xmlns:a16="http://schemas.microsoft.com/office/drawing/2014/main" id="{D9106CAA-1CE1-45D8-B7F9-F9D0F6942384}"/>
            </a:ext>
          </a:extLst>
        </xdr:cNvPr>
        <xdr:cNvSpPr>
          <a:spLocks noChangeAspect="1"/>
        </xdr:cNvSpPr>
      </xdr:nvSpPr>
      <xdr:spPr>
        <a:xfrm>
          <a:off x="205128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90</xdr:row>
      <xdr:rowOff>139199</xdr:rowOff>
    </xdr:from>
    <xdr:to>
      <xdr:col>31</xdr:col>
      <xdr:colOff>207001</xdr:colOff>
      <xdr:row>91</xdr:row>
      <xdr:rowOff>111751</xdr:rowOff>
    </xdr:to>
    <xdr:sp macro="" textlink="">
      <xdr:nvSpPr>
        <xdr:cNvPr id="247355" name="フリーフォーム: 図形 247354">
          <a:extLst>
            <a:ext uri="{FF2B5EF4-FFF2-40B4-BE49-F238E27FC236}">
              <a16:creationId xmlns:a16="http://schemas.microsoft.com/office/drawing/2014/main" id="{2CC605AB-9DD2-4481-9273-F15095A489BE}"/>
            </a:ext>
          </a:extLst>
        </xdr:cNvPr>
        <xdr:cNvSpPr>
          <a:spLocks noChangeAspect="1"/>
        </xdr:cNvSpPr>
      </xdr:nvSpPr>
      <xdr:spPr>
        <a:xfrm>
          <a:off x="210167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86</xdr:row>
      <xdr:rowOff>51000</xdr:rowOff>
    </xdr:from>
    <xdr:to>
      <xdr:col>30</xdr:col>
      <xdr:colOff>406801</xdr:colOff>
      <xdr:row>91</xdr:row>
      <xdr:rowOff>3751</xdr:rowOff>
    </xdr:to>
    <xdr:sp macro="" textlink="">
      <xdr:nvSpPr>
        <xdr:cNvPr id="247356" name="フリーフォーム: 図形 247355">
          <a:extLst>
            <a:ext uri="{FF2B5EF4-FFF2-40B4-BE49-F238E27FC236}">
              <a16:creationId xmlns:a16="http://schemas.microsoft.com/office/drawing/2014/main" id="{0662317E-B07A-45BF-AD3E-E5BDB265FA93}"/>
            </a:ext>
          </a:extLst>
        </xdr:cNvPr>
        <xdr:cNvSpPr>
          <a:spLocks noChangeAspect="1"/>
        </xdr:cNvSpPr>
      </xdr:nvSpPr>
      <xdr:spPr>
        <a:xfrm>
          <a:off x="207107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85</xdr:row>
      <xdr:rowOff>114450</xdr:rowOff>
    </xdr:from>
    <xdr:to>
      <xdr:col>30</xdr:col>
      <xdr:colOff>658801</xdr:colOff>
      <xdr:row>90</xdr:row>
      <xdr:rowOff>157201</xdr:rowOff>
    </xdr:to>
    <xdr:sp macro="" textlink="">
      <xdr:nvSpPr>
        <xdr:cNvPr id="247357" name="フリーフォーム: 図形 247356">
          <a:extLst>
            <a:ext uri="{FF2B5EF4-FFF2-40B4-BE49-F238E27FC236}">
              <a16:creationId xmlns:a16="http://schemas.microsoft.com/office/drawing/2014/main" id="{B7977FDF-F95A-494E-8005-5DE8FD7D75FC}"/>
            </a:ext>
          </a:extLst>
        </xdr:cNvPr>
        <xdr:cNvSpPr>
          <a:spLocks noChangeAspect="1"/>
        </xdr:cNvSpPr>
      </xdr:nvSpPr>
      <xdr:spPr>
        <a:xfrm>
          <a:off x="209808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86</xdr:row>
      <xdr:rowOff>69000</xdr:rowOff>
    </xdr:from>
    <xdr:to>
      <xdr:col>31</xdr:col>
      <xdr:colOff>297001</xdr:colOff>
      <xdr:row>91</xdr:row>
      <xdr:rowOff>3751</xdr:rowOff>
    </xdr:to>
    <xdr:sp macro="" textlink="">
      <xdr:nvSpPr>
        <xdr:cNvPr id="247358" name="フリーフォーム: 図形 247357">
          <a:extLst>
            <a:ext uri="{FF2B5EF4-FFF2-40B4-BE49-F238E27FC236}">
              <a16:creationId xmlns:a16="http://schemas.microsoft.com/office/drawing/2014/main" id="{5B605C7F-2F46-4125-B2CF-35BCDB4F19E0}"/>
            </a:ext>
          </a:extLst>
        </xdr:cNvPr>
        <xdr:cNvSpPr>
          <a:spLocks noChangeAspect="1"/>
        </xdr:cNvSpPr>
      </xdr:nvSpPr>
      <xdr:spPr>
        <a:xfrm>
          <a:off x="210348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91</xdr:row>
      <xdr:rowOff>75750</xdr:rowOff>
    </xdr:from>
    <xdr:to>
      <xdr:col>31</xdr:col>
      <xdr:colOff>9000</xdr:colOff>
      <xdr:row>95</xdr:row>
      <xdr:rowOff>163951</xdr:rowOff>
    </xdr:to>
    <xdr:sp macro="" textlink="">
      <xdr:nvSpPr>
        <xdr:cNvPr id="247359" name="フリーフォーム: 図形 247358">
          <a:extLst>
            <a:ext uri="{FF2B5EF4-FFF2-40B4-BE49-F238E27FC236}">
              <a16:creationId xmlns:a16="http://schemas.microsoft.com/office/drawing/2014/main" id="{F39798F8-6F03-4EF2-A648-9427772F0945}"/>
            </a:ext>
          </a:extLst>
        </xdr:cNvPr>
        <xdr:cNvSpPr>
          <a:spLocks noChangeAspect="1"/>
        </xdr:cNvSpPr>
      </xdr:nvSpPr>
      <xdr:spPr>
        <a:xfrm>
          <a:off x="209988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91</xdr:row>
      <xdr:rowOff>93749</xdr:rowOff>
    </xdr:from>
    <xdr:to>
      <xdr:col>30</xdr:col>
      <xdr:colOff>424801</xdr:colOff>
      <xdr:row>96</xdr:row>
      <xdr:rowOff>118501</xdr:rowOff>
    </xdr:to>
    <xdr:sp macro="" textlink="">
      <xdr:nvSpPr>
        <xdr:cNvPr id="247360" name="フリーフォーム: 図形 247359">
          <a:extLst>
            <a:ext uri="{FF2B5EF4-FFF2-40B4-BE49-F238E27FC236}">
              <a16:creationId xmlns:a16="http://schemas.microsoft.com/office/drawing/2014/main" id="{EC28FF99-A452-4318-955E-EC11202C63EC}"/>
            </a:ext>
          </a:extLst>
        </xdr:cNvPr>
        <xdr:cNvSpPr>
          <a:spLocks noChangeAspect="1"/>
        </xdr:cNvSpPr>
      </xdr:nvSpPr>
      <xdr:spPr>
        <a:xfrm>
          <a:off x="207648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91</xdr:row>
      <xdr:rowOff>75750</xdr:rowOff>
    </xdr:from>
    <xdr:to>
      <xdr:col>30</xdr:col>
      <xdr:colOff>388801</xdr:colOff>
      <xdr:row>96</xdr:row>
      <xdr:rowOff>10501</xdr:rowOff>
    </xdr:to>
    <xdr:sp macro="" textlink="">
      <xdr:nvSpPr>
        <xdr:cNvPr id="247361" name="フリーフォーム: 図形 247360">
          <a:extLst>
            <a:ext uri="{FF2B5EF4-FFF2-40B4-BE49-F238E27FC236}">
              <a16:creationId xmlns:a16="http://schemas.microsoft.com/office/drawing/2014/main" id="{BDBB5659-19AC-4287-9C04-78688006C35F}"/>
            </a:ext>
          </a:extLst>
        </xdr:cNvPr>
        <xdr:cNvSpPr>
          <a:spLocks noChangeAspect="1"/>
        </xdr:cNvSpPr>
      </xdr:nvSpPr>
      <xdr:spPr>
        <a:xfrm>
          <a:off x="204408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85</xdr:row>
      <xdr:rowOff>42450</xdr:rowOff>
    </xdr:from>
    <xdr:to>
      <xdr:col>33</xdr:col>
      <xdr:colOff>322201</xdr:colOff>
      <xdr:row>86</xdr:row>
      <xdr:rowOff>15002</xdr:rowOff>
    </xdr:to>
    <xdr:sp macro="" textlink="">
      <xdr:nvSpPr>
        <xdr:cNvPr id="247362" name="フリーフォーム: 図形 247361">
          <a:extLst>
            <a:ext uri="{FF2B5EF4-FFF2-40B4-BE49-F238E27FC236}">
              <a16:creationId xmlns:a16="http://schemas.microsoft.com/office/drawing/2014/main" id="{6814D307-6262-449D-B64F-D412821482E4}"/>
            </a:ext>
          </a:extLst>
        </xdr:cNvPr>
        <xdr:cNvSpPr>
          <a:spLocks noChangeAspect="1"/>
        </xdr:cNvSpPr>
      </xdr:nvSpPr>
      <xdr:spPr>
        <a:xfrm>
          <a:off x="224856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85</xdr:row>
      <xdr:rowOff>42450</xdr:rowOff>
    </xdr:from>
    <xdr:to>
      <xdr:col>34</xdr:col>
      <xdr:colOff>176401</xdr:colOff>
      <xdr:row>86</xdr:row>
      <xdr:rowOff>15002</xdr:rowOff>
    </xdr:to>
    <xdr:sp macro="" textlink="">
      <xdr:nvSpPr>
        <xdr:cNvPr id="247363" name="フリーフォーム: 図形 247362">
          <a:extLst>
            <a:ext uri="{FF2B5EF4-FFF2-40B4-BE49-F238E27FC236}">
              <a16:creationId xmlns:a16="http://schemas.microsoft.com/office/drawing/2014/main" id="{B5AD1206-84F2-4593-85DA-D8D95A4FE1C4}"/>
            </a:ext>
          </a:extLst>
        </xdr:cNvPr>
        <xdr:cNvSpPr>
          <a:spLocks noChangeAspect="1"/>
        </xdr:cNvSpPr>
      </xdr:nvSpPr>
      <xdr:spPr>
        <a:xfrm>
          <a:off x="230256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85</xdr:row>
      <xdr:rowOff>114450</xdr:rowOff>
    </xdr:from>
    <xdr:to>
      <xdr:col>34</xdr:col>
      <xdr:colOff>248401</xdr:colOff>
      <xdr:row>91</xdr:row>
      <xdr:rowOff>21752</xdr:rowOff>
    </xdr:to>
    <xdr:sp macro="" textlink="">
      <xdr:nvSpPr>
        <xdr:cNvPr id="247364" name="フリーフォーム: 図形 247363">
          <a:extLst>
            <a:ext uri="{FF2B5EF4-FFF2-40B4-BE49-F238E27FC236}">
              <a16:creationId xmlns:a16="http://schemas.microsoft.com/office/drawing/2014/main" id="{97C95130-464F-4317-A7D7-457C20D42B92}"/>
            </a:ext>
          </a:extLst>
        </xdr:cNvPr>
        <xdr:cNvSpPr>
          <a:spLocks noChangeAspect="1"/>
        </xdr:cNvSpPr>
      </xdr:nvSpPr>
      <xdr:spPr>
        <a:xfrm>
          <a:off x="232775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91</xdr:row>
      <xdr:rowOff>75750</xdr:rowOff>
    </xdr:from>
    <xdr:to>
      <xdr:col>34</xdr:col>
      <xdr:colOff>68401</xdr:colOff>
      <xdr:row>96</xdr:row>
      <xdr:rowOff>136501</xdr:rowOff>
    </xdr:to>
    <xdr:sp macro="" textlink="">
      <xdr:nvSpPr>
        <xdr:cNvPr id="247365" name="フリーフォーム: 図形 247364">
          <a:extLst>
            <a:ext uri="{FF2B5EF4-FFF2-40B4-BE49-F238E27FC236}">
              <a16:creationId xmlns:a16="http://schemas.microsoft.com/office/drawing/2014/main" id="{9C01AF0D-462B-48EA-9433-6A11992A3700}"/>
            </a:ext>
          </a:extLst>
        </xdr:cNvPr>
        <xdr:cNvSpPr>
          <a:spLocks noChangeAspect="1"/>
        </xdr:cNvSpPr>
      </xdr:nvSpPr>
      <xdr:spPr>
        <a:xfrm>
          <a:off x="230975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96</xdr:row>
      <xdr:rowOff>64500</xdr:rowOff>
    </xdr:from>
    <xdr:to>
      <xdr:col>32</xdr:col>
      <xdr:colOff>684001</xdr:colOff>
      <xdr:row>97</xdr:row>
      <xdr:rowOff>37051</xdr:rowOff>
    </xdr:to>
    <xdr:sp macro="" textlink="">
      <xdr:nvSpPr>
        <xdr:cNvPr id="247366" name="フリーフォーム: 図形 247365">
          <a:extLst>
            <a:ext uri="{FF2B5EF4-FFF2-40B4-BE49-F238E27FC236}">
              <a16:creationId xmlns:a16="http://schemas.microsoft.com/office/drawing/2014/main" id="{2A86AD29-FBA6-4DB4-A2C8-1149A88FF1AF}"/>
            </a:ext>
          </a:extLst>
        </xdr:cNvPr>
        <xdr:cNvSpPr>
          <a:spLocks noChangeAspect="1"/>
        </xdr:cNvSpPr>
      </xdr:nvSpPr>
      <xdr:spPr>
        <a:xfrm>
          <a:off x="221436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96</xdr:row>
      <xdr:rowOff>64500</xdr:rowOff>
    </xdr:from>
    <xdr:to>
      <xdr:col>33</xdr:col>
      <xdr:colOff>502201</xdr:colOff>
      <xdr:row>97</xdr:row>
      <xdr:rowOff>37051</xdr:rowOff>
    </xdr:to>
    <xdr:sp macro="" textlink="">
      <xdr:nvSpPr>
        <xdr:cNvPr id="247367" name="フリーフォーム: 図形 247366">
          <a:extLst>
            <a:ext uri="{FF2B5EF4-FFF2-40B4-BE49-F238E27FC236}">
              <a16:creationId xmlns:a16="http://schemas.microsoft.com/office/drawing/2014/main" id="{AE4D1859-1F30-4C56-86BC-AB9B12B8E08D}"/>
            </a:ext>
          </a:extLst>
        </xdr:cNvPr>
        <xdr:cNvSpPr>
          <a:spLocks noChangeAspect="1"/>
        </xdr:cNvSpPr>
      </xdr:nvSpPr>
      <xdr:spPr>
        <a:xfrm>
          <a:off x="226655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91</xdr:row>
      <xdr:rowOff>75750</xdr:rowOff>
    </xdr:from>
    <xdr:to>
      <xdr:col>32</xdr:col>
      <xdr:colOff>432001</xdr:colOff>
      <xdr:row>96</xdr:row>
      <xdr:rowOff>136501</xdr:rowOff>
    </xdr:to>
    <xdr:sp macro="" textlink="">
      <xdr:nvSpPr>
        <xdr:cNvPr id="247368" name="フリーフォーム: 図形 247367">
          <a:extLst>
            <a:ext uri="{FF2B5EF4-FFF2-40B4-BE49-F238E27FC236}">
              <a16:creationId xmlns:a16="http://schemas.microsoft.com/office/drawing/2014/main" id="{CC0CC3DA-4145-412B-B1E9-9A95E0AA7BE2}"/>
            </a:ext>
          </a:extLst>
        </xdr:cNvPr>
        <xdr:cNvSpPr>
          <a:spLocks noChangeAspect="1"/>
        </xdr:cNvSpPr>
      </xdr:nvSpPr>
      <xdr:spPr>
        <a:xfrm>
          <a:off x="22089601" y="159444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85</xdr:row>
      <xdr:rowOff>114450</xdr:rowOff>
    </xdr:from>
    <xdr:to>
      <xdr:col>32</xdr:col>
      <xdr:colOff>576002</xdr:colOff>
      <xdr:row>91</xdr:row>
      <xdr:rowOff>21752</xdr:rowOff>
    </xdr:to>
    <xdr:sp macro="" textlink="">
      <xdr:nvSpPr>
        <xdr:cNvPr id="247369" name="フリーフォーム: 図形 247368">
          <a:extLst>
            <a:ext uri="{FF2B5EF4-FFF2-40B4-BE49-F238E27FC236}">
              <a16:creationId xmlns:a16="http://schemas.microsoft.com/office/drawing/2014/main" id="{CC6FDE09-1A6B-4FFF-A92F-D56A7005A125}"/>
            </a:ext>
          </a:extLst>
        </xdr:cNvPr>
        <xdr:cNvSpPr>
          <a:spLocks noChangeAspect="1"/>
        </xdr:cNvSpPr>
      </xdr:nvSpPr>
      <xdr:spPr>
        <a:xfrm>
          <a:off x="222696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90</xdr:row>
      <xdr:rowOff>139199</xdr:rowOff>
    </xdr:from>
    <xdr:to>
      <xdr:col>33</xdr:col>
      <xdr:colOff>160201</xdr:colOff>
      <xdr:row>91</xdr:row>
      <xdr:rowOff>111751</xdr:rowOff>
    </xdr:to>
    <xdr:sp macro="" textlink="">
      <xdr:nvSpPr>
        <xdr:cNvPr id="247370" name="フリーフォーム: 図形 247369">
          <a:extLst>
            <a:ext uri="{FF2B5EF4-FFF2-40B4-BE49-F238E27FC236}">
              <a16:creationId xmlns:a16="http://schemas.microsoft.com/office/drawing/2014/main" id="{2AE2A5BF-0350-4A74-B287-184DD65F2618}"/>
            </a:ext>
          </a:extLst>
        </xdr:cNvPr>
        <xdr:cNvSpPr>
          <a:spLocks noChangeAspect="1"/>
        </xdr:cNvSpPr>
      </xdr:nvSpPr>
      <xdr:spPr>
        <a:xfrm>
          <a:off x="223416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90</xdr:row>
      <xdr:rowOff>139199</xdr:rowOff>
    </xdr:from>
    <xdr:to>
      <xdr:col>33</xdr:col>
      <xdr:colOff>664201</xdr:colOff>
      <xdr:row>91</xdr:row>
      <xdr:rowOff>111751</xdr:rowOff>
    </xdr:to>
    <xdr:sp macro="" textlink="">
      <xdr:nvSpPr>
        <xdr:cNvPr id="247371" name="フリーフォーム: 図形 247370">
          <a:extLst>
            <a:ext uri="{FF2B5EF4-FFF2-40B4-BE49-F238E27FC236}">
              <a16:creationId xmlns:a16="http://schemas.microsoft.com/office/drawing/2014/main" id="{7289CABB-54EE-41B5-853E-4DFEA6D87592}"/>
            </a:ext>
          </a:extLst>
        </xdr:cNvPr>
        <xdr:cNvSpPr>
          <a:spLocks noChangeAspect="1"/>
        </xdr:cNvSpPr>
      </xdr:nvSpPr>
      <xdr:spPr>
        <a:xfrm>
          <a:off x="228455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86</xdr:row>
      <xdr:rowOff>51000</xdr:rowOff>
    </xdr:from>
    <xdr:to>
      <xdr:col>33</xdr:col>
      <xdr:colOff>178201</xdr:colOff>
      <xdr:row>91</xdr:row>
      <xdr:rowOff>3751</xdr:rowOff>
    </xdr:to>
    <xdr:sp macro="" textlink="">
      <xdr:nvSpPr>
        <xdr:cNvPr id="247372" name="フリーフォーム: 図形 247371">
          <a:extLst>
            <a:ext uri="{FF2B5EF4-FFF2-40B4-BE49-F238E27FC236}">
              <a16:creationId xmlns:a16="http://schemas.microsoft.com/office/drawing/2014/main" id="{6E3F3DB1-3801-4A29-B1B2-8AE314BD1A1B}"/>
            </a:ext>
          </a:extLst>
        </xdr:cNvPr>
        <xdr:cNvSpPr>
          <a:spLocks noChangeAspect="1"/>
        </xdr:cNvSpPr>
      </xdr:nvSpPr>
      <xdr:spPr>
        <a:xfrm>
          <a:off x="225395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85</xdr:row>
      <xdr:rowOff>114450</xdr:rowOff>
    </xdr:from>
    <xdr:to>
      <xdr:col>33</xdr:col>
      <xdr:colOff>430201</xdr:colOff>
      <xdr:row>90</xdr:row>
      <xdr:rowOff>157201</xdr:rowOff>
    </xdr:to>
    <xdr:sp macro="" textlink="">
      <xdr:nvSpPr>
        <xdr:cNvPr id="247373" name="フリーフォーム: 図形 247372">
          <a:extLst>
            <a:ext uri="{FF2B5EF4-FFF2-40B4-BE49-F238E27FC236}">
              <a16:creationId xmlns:a16="http://schemas.microsoft.com/office/drawing/2014/main" id="{D2C2B7D5-C3B3-4B0F-BB67-46E7396FE36B}"/>
            </a:ext>
          </a:extLst>
        </xdr:cNvPr>
        <xdr:cNvSpPr>
          <a:spLocks noChangeAspect="1"/>
        </xdr:cNvSpPr>
      </xdr:nvSpPr>
      <xdr:spPr>
        <a:xfrm>
          <a:off x="228096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86</xdr:row>
      <xdr:rowOff>69000</xdr:rowOff>
    </xdr:from>
    <xdr:to>
      <xdr:col>34</xdr:col>
      <xdr:colOff>68401</xdr:colOff>
      <xdr:row>91</xdr:row>
      <xdr:rowOff>3751</xdr:rowOff>
    </xdr:to>
    <xdr:sp macro="" textlink="">
      <xdr:nvSpPr>
        <xdr:cNvPr id="247374" name="フリーフォーム: 図形 247373">
          <a:extLst>
            <a:ext uri="{FF2B5EF4-FFF2-40B4-BE49-F238E27FC236}">
              <a16:creationId xmlns:a16="http://schemas.microsoft.com/office/drawing/2014/main" id="{8D289741-E63E-4708-9C71-E329877AE211}"/>
            </a:ext>
          </a:extLst>
        </xdr:cNvPr>
        <xdr:cNvSpPr>
          <a:spLocks noChangeAspect="1"/>
        </xdr:cNvSpPr>
      </xdr:nvSpPr>
      <xdr:spPr>
        <a:xfrm>
          <a:off x="228636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91</xdr:row>
      <xdr:rowOff>75750</xdr:rowOff>
    </xdr:from>
    <xdr:to>
      <xdr:col>33</xdr:col>
      <xdr:colOff>466200</xdr:colOff>
      <xdr:row>95</xdr:row>
      <xdr:rowOff>163951</xdr:rowOff>
    </xdr:to>
    <xdr:sp macro="" textlink="">
      <xdr:nvSpPr>
        <xdr:cNvPr id="247375" name="フリーフォーム: 図形 247374">
          <a:extLst>
            <a:ext uri="{FF2B5EF4-FFF2-40B4-BE49-F238E27FC236}">
              <a16:creationId xmlns:a16="http://schemas.microsoft.com/office/drawing/2014/main" id="{9C251E69-1799-4A32-8D62-2DC0E56E64C4}"/>
            </a:ext>
          </a:extLst>
        </xdr:cNvPr>
        <xdr:cNvSpPr>
          <a:spLocks noChangeAspect="1"/>
        </xdr:cNvSpPr>
      </xdr:nvSpPr>
      <xdr:spPr>
        <a:xfrm>
          <a:off x="228276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91</xdr:row>
      <xdr:rowOff>93749</xdr:rowOff>
    </xdr:from>
    <xdr:to>
      <xdr:col>33</xdr:col>
      <xdr:colOff>196201</xdr:colOff>
      <xdr:row>96</xdr:row>
      <xdr:rowOff>118501</xdr:rowOff>
    </xdr:to>
    <xdr:sp macro="" textlink="">
      <xdr:nvSpPr>
        <xdr:cNvPr id="247376" name="フリーフォーム: 図形 247375">
          <a:extLst>
            <a:ext uri="{FF2B5EF4-FFF2-40B4-BE49-F238E27FC236}">
              <a16:creationId xmlns:a16="http://schemas.microsoft.com/office/drawing/2014/main" id="{E81E6BDE-2123-4B88-A2ED-83B28419AD9E}"/>
            </a:ext>
          </a:extLst>
        </xdr:cNvPr>
        <xdr:cNvSpPr>
          <a:spLocks noChangeAspect="1"/>
        </xdr:cNvSpPr>
      </xdr:nvSpPr>
      <xdr:spPr>
        <a:xfrm>
          <a:off x="225936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91</xdr:row>
      <xdr:rowOff>75750</xdr:rowOff>
    </xdr:from>
    <xdr:to>
      <xdr:col>33</xdr:col>
      <xdr:colOff>160201</xdr:colOff>
      <xdr:row>96</xdr:row>
      <xdr:rowOff>10501</xdr:rowOff>
    </xdr:to>
    <xdr:sp macro="" textlink="">
      <xdr:nvSpPr>
        <xdr:cNvPr id="247377" name="フリーフォーム: 図形 247376">
          <a:extLst>
            <a:ext uri="{FF2B5EF4-FFF2-40B4-BE49-F238E27FC236}">
              <a16:creationId xmlns:a16="http://schemas.microsoft.com/office/drawing/2014/main" id="{B4C2F2D4-C9B6-497D-9BA6-32B5EAFA9F47}"/>
            </a:ext>
          </a:extLst>
        </xdr:cNvPr>
        <xdr:cNvSpPr>
          <a:spLocks noChangeAspect="1"/>
        </xdr:cNvSpPr>
      </xdr:nvSpPr>
      <xdr:spPr>
        <a:xfrm>
          <a:off x="222696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85</xdr:row>
      <xdr:rowOff>42450</xdr:rowOff>
    </xdr:from>
    <xdr:to>
      <xdr:col>36</xdr:col>
      <xdr:colOff>93601</xdr:colOff>
      <xdr:row>86</xdr:row>
      <xdr:rowOff>15002</xdr:rowOff>
    </xdr:to>
    <xdr:sp macro="" textlink="">
      <xdr:nvSpPr>
        <xdr:cNvPr id="247378" name="フリーフォーム: 図形 247377">
          <a:extLst>
            <a:ext uri="{FF2B5EF4-FFF2-40B4-BE49-F238E27FC236}">
              <a16:creationId xmlns:a16="http://schemas.microsoft.com/office/drawing/2014/main" id="{557FC6AD-AD7F-4E18-AE21-5C3858BA424F}"/>
            </a:ext>
          </a:extLst>
        </xdr:cNvPr>
        <xdr:cNvSpPr>
          <a:spLocks noChangeAspect="1"/>
        </xdr:cNvSpPr>
      </xdr:nvSpPr>
      <xdr:spPr>
        <a:xfrm>
          <a:off x="24314400" y="148824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85</xdr:row>
      <xdr:rowOff>42450</xdr:rowOff>
    </xdr:from>
    <xdr:to>
      <xdr:col>36</xdr:col>
      <xdr:colOff>633601</xdr:colOff>
      <xdr:row>86</xdr:row>
      <xdr:rowOff>15002</xdr:rowOff>
    </xdr:to>
    <xdr:sp macro="" textlink="">
      <xdr:nvSpPr>
        <xdr:cNvPr id="247379" name="フリーフォーム: 図形 247378">
          <a:extLst>
            <a:ext uri="{FF2B5EF4-FFF2-40B4-BE49-F238E27FC236}">
              <a16:creationId xmlns:a16="http://schemas.microsoft.com/office/drawing/2014/main" id="{6009FEF7-5114-4985-BF69-DC163E927C9F}"/>
            </a:ext>
          </a:extLst>
        </xdr:cNvPr>
        <xdr:cNvSpPr>
          <a:spLocks noChangeAspect="1"/>
        </xdr:cNvSpPr>
      </xdr:nvSpPr>
      <xdr:spPr>
        <a:xfrm>
          <a:off x="24854401" y="148824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85</xdr:row>
      <xdr:rowOff>114450</xdr:rowOff>
    </xdr:from>
    <xdr:to>
      <xdr:col>37</xdr:col>
      <xdr:colOff>19801</xdr:colOff>
      <xdr:row>91</xdr:row>
      <xdr:rowOff>21752</xdr:rowOff>
    </xdr:to>
    <xdr:sp macro="" textlink="">
      <xdr:nvSpPr>
        <xdr:cNvPr id="247380" name="フリーフォーム: 図形 247379">
          <a:extLst>
            <a:ext uri="{FF2B5EF4-FFF2-40B4-BE49-F238E27FC236}">
              <a16:creationId xmlns:a16="http://schemas.microsoft.com/office/drawing/2014/main" id="{1ED9D39A-DDDE-49BE-BC38-B501639D87BF}"/>
            </a:ext>
          </a:extLst>
        </xdr:cNvPr>
        <xdr:cNvSpPr>
          <a:spLocks noChangeAspect="1"/>
        </xdr:cNvSpPr>
      </xdr:nvSpPr>
      <xdr:spPr>
        <a:xfrm>
          <a:off x="25106399" y="149544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91</xdr:row>
      <xdr:rowOff>75750</xdr:rowOff>
    </xdr:from>
    <xdr:to>
      <xdr:col>36</xdr:col>
      <xdr:colOff>525601</xdr:colOff>
      <xdr:row>96</xdr:row>
      <xdr:rowOff>136501</xdr:rowOff>
    </xdr:to>
    <xdr:sp macro="" textlink="">
      <xdr:nvSpPr>
        <xdr:cNvPr id="247381" name="フリーフォーム: 図形 247380">
          <a:extLst>
            <a:ext uri="{FF2B5EF4-FFF2-40B4-BE49-F238E27FC236}">
              <a16:creationId xmlns:a16="http://schemas.microsoft.com/office/drawing/2014/main" id="{1D7E0C0D-4DDC-4301-8950-BFC12F81DE8E}"/>
            </a:ext>
          </a:extLst>
        </xdr:cNvPr>
        <xdr:cNvSpPr>
          <a:spLocks noChangeAspect="1"/>
        </xdr:cNvSpPr>
      </xdr:nvSpPr>
      <xdr:spPr>
        <a:xfrm>
          <a:off x="24926399" y="159444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96</xdr:row>
      <xdr:rowOff>64500</xdr:rowOff>
    </xdr:from>
    <xdr:to>
      <xdr:col>35</xdr:col>
      <xdr:colOff>455401</xdr:colOff>
      <xdr:row>97</xdr:row>
      <xdr:rowOff>37051</xdr:rowOff>
    </xdr:to>
    <xdr:sp macro="" textlink="">
      <xdr:nvSpPr>
        <xdr:cNvPr id="247382" name="フリーフォーム: 図形 247381">
          <a:extLst>
            <a:ext uri="{FF2B5EF4-FFF2-40B4-BE49-F238E27FC236}">
              <a16:creationId xmlns:a16="http://schemas.microsoft.com/office/drawing/2014/main" id="{88F7D605-E126-40B1-9898-5424EED5FF74}"/>
            </a:ext>
          </a:extLst>
        </xdr:cNvPr>
        <xdr:cNvSpPr>
          <a:spLocks noChangeAspect="1"/>
        </xdr:cNvSpPr>
      </xdr:nvSpPr>
      <xdr:spPr>
        <a:xfrm>
          <a:off x="23972400" y="167904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96</xdr:row>
      <xdr:rowOff>64500</xdr:rowOff>
    </xdr:from>
    <xdr:to>
      <xdr:col>36</xdr:col>
      <xdr:colOff>273601</xdr:colOff>
      <xdr:row>97</xdr:row>
      <xdr:rowOff>37051</xdr:rowOff>
    </xdr:to>
    <xdr:sp macro="" textlink="">
      <xdr:nvSpPr>
        <xdr:cNvPr id="247383" name="フリーフォーム: 図形 247382">
          <a:extLst>
            <a:ext uri="{FF2B5EF4-FFF2-40B4-BE49-F238E27FC236}">
              <a16:creationId xmlns:a16="http://schemas.microsoft.com/office/drawing/2014/main" id="{B7582BF2-5DD8-4161-BE21-558D7E586180}"/>
            </a:ext>
          </a:extLst>
        </xdr:cNvPr>
        <xdr:cNvSpPr>
          <a:spLocks noChangeAspect="1"/>
        </xdr:cNvSpPr>
      </xdr:nvSpPr>
      <xdr:spPr>
        <a:xfrm>
          <a:off x="24494399" y="167904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91</xdr:row>
      <xdr:rowOff>75750</xdr:rowOff>
    </xdr:from>
    <xdr:to>
      <xdr:col>35</xdr:col>
      <xdr:colOff>203401</xdr:colOff>
      <xdr:row>96</xdr:row>
      <xdr:rowOff>136501</xdr:rowOff>
    </xdr:to>
    <xdr:sp macro="" textlink="">
      <xdr:nvSpPr>
        <xdr:cNvPr id="247384" name="フリーフォーム: 図形 247383">
          <a:extLst>
            <a:ext uri="{FF2B5EF4-FFF2-40B4-BE49-F238E27FC236}">
              <a16:creationId xmlns:a16="http://schemas.microsoft.com/office/drawing/2014/main" id="{483A57A5-F58F-4639-B1AE-B37003EA8D5A}"/>
            </a:ext>
          </a:extLst>
        </xdr:cNvPr>
        <xdr:cNvSpPr>
          <a:spLocks noChangeAspect="1"/>
        </xdr:cNvSpPr>
      </xdr:nvSpPr>
      <xdr:spPr>
        <a:xfrm>
          <a:off x="23918401" y="159444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85</xdr:row>
      <xdr:rowOff>114450</xdr:rowOff>
    </xdr:from>
    <xdr:to>
      <xdr:col>35</xdr:col>
      <xdr:colOff>347402</xdr:colOff>
      <xdr:row>91</xdr:row>
      <xdr:rowOff>21752</xdr:rowOff>
    </xdr:to>
    <xdr:sp macro="" textlink="">
      <xdr:nvSpPr>
        <xdr:cNvPr id="247385" name="フリーフォーム: 図形 247384">
          <a:extLst>
            <a:ext uri="{FF2B5EF4-FFF2-40B4-BE49-F238E27FC236}">
              <a16:creationId xmlns:a16="http://schemas.microsoft.com/office/drawing/2014/main" id="{09DA21D9-E659-4253-B445-55877C907BBB}"/>
            </a:ext>
          </a:extLst>
        </xdr:cNvPr>
        <xdr:cNvSpPr>
          <a:spLocks noChangeAspect="1"/>
        </xdr:cNvSpPr>
      </xdr:nvSpPr>
      <xdr:spPr>
        <a:xfrm>
          <a:off x="24098400" y="149544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90</xdr:row>
      <xdr:rowOff>139199</xdr:rowOff>
    </xdr:from>
    <xdr:to>
      <xdr:col>35</xdr:col>
      <xdr:colOff>617401</xdr:colOff>
      <xdr:row>91</xdr:row>
      <xdr:rowOff>111751</xdr:rowOff>
    </xdr:to>
    <xdr:sp macro="" textlink="">
      <xdr:nvSpPr>
        <xdr:cNvPr id="247386" name="フリーフォーム: 図形 247385">
          <a:extLst>
            <a:ext uri="{FF2B5EF4-FFF2-40B4-BE49-F238E27FC236}">
              <a16:creationId xmlns:a16="http://schemas.microsoft.com/office/drawing/2014/main" id="{7B6CD055-FBB6-46E6-AFB3-53A0A154167D}"/>
            </a:ext>
          </a:extLst>
        </xdr:cNvPr>
        <xdr:cNvSpPr>
          <a:spLocks noChangeAspect="1"/>
        </xdr:cNvSpPr>
      </xdr:nvSpPr>
      <xdr:spPr>
        <a:xfrm>
          <a:off x="24170401" y="158363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90</xdr:row>
      <xdr:rowOff>139199</xdr:rowOff>
    </xdr:from>
    <xdr:to>
      <xdr:col>36</xdr:col>
      <xdr:colOff>435601</xdr:colOff>
      <xdr:row>91</xdr:row>
      <xdr:rowOff>111751</xdr:rowOff>
    </xdr:to>
    <xdr:sp macro="" textlink="">
      <xdr:nvSpPr>
        <xdr:cNvPr id="247387" name="フリーフォーム: 図形 247386">
          <a:extLst>
            <a:ext uri="{FF2B5EF4-FFF2-40B4-BE49-F238E27FC236}">
              <a16:creationId xmlns:a16="http://schemas.microsoft.com/office/drawing/2014/main" id="{6F137759-19A6-4758-A922-28321E3C8B88}"/>
            </a:ext>
          </a:extLst>
        </xdr:cNvPr>
        <xdr:cNvSpPr>
          <a:spLocks noChangeAspect="1"/>
        </xdr:cNvSpPr>
      </xdr:nvSpPr>
      <xdr:spPr>
        <a:xfrm>
          <a:off x="24674399" y="158363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86</xdr:row>
      <xdr:rowOff>51000</xdr:rowOff>
    </xdr:from>
    <xdr:to>
      <xdr:col>35</xdr:col>
      <xdr:colOff>635401</xdr:colOff>
      <xdr:row>91</xdr:row>
      <xdr:rowOff>3751</xdr:rowOff>
    </xdr:to>
    <xdr:sp macro="" textlink="">
      <xdr:nvSpPr>
        <xdr:cNvPr id="247388" name="フリーフォーム: 図形 247387">
          <a:extLst>
            <a:ext uri="{FF2B5EF4-FFF2-40B4-BE49-F238E27FC236}">
              <a16:creationId xmlns:a16="http://schemas.microsoft.com/office/drawing/2014/main" id="{072E4DAD-2E65-4B51-B743-7A929B4A7238}"/>
            </a:ext>
          </a:extLst>
        </xdr:cNvPr>
        <xdr:cNvSpPr>
          <a:spLocks noChangeAspect="1"/>
        </xdr:cNvSpPr>
      </xdr:nvSpPr>
      <xdr:spPr>
        <a:xfrm>
          <a:off x="24368399" y="150624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85</xdr:row>
      <xdr:rowOff>114450</xdr:rowOff>
    </xdr:from>
    <xdr:to>
      <xdr:col>36</xdr:col>
      <xdr:colOff>201601</xdr:colOff>
      <xdr:row>90</xdr:row>
      <xdr:rowOff>157201</xdr:rowOff>
    </xdr:to>
    <xdr:sp macro="" textlink="">
      <xdr:nvSpPr>
        <xdr:cNvPr id="247389" name="フリーフォーム: 図形 247388">
          <a:extLst>
            <a:ext uri="{FF2B5EF4-FFF2-40B4-BE49-F238E27FC236}">
              <a16:creationId xmlns:a16="http://schemas.microsoft.com/office/drawing/2014/main" id="{999AA43D-57F0-4F58-A75C-06A1F2707668}"/>
            </a:ext>
          </a:extLst>
        </xdr:cNvPr>
        <xdr:cNvSpPr>
          <a:spLocks noChangeAspect="1"/>
        </xdr:cNvSpPr>
      </xdr:nvSpPr>
      <xdr:spPr>
        <a:xfrm>
          <a:off x="24638400" y="149544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86</xdr:row>
      <xdr:rowOff>69000</xdr:rowOff>
    </xdr:from>
    <xdr:to>
      <xdr:col>36</xdr:col>
      <xdr:colOff>525601</xdr:colOff>
      <xdr:row>91</xdr:row>
      <xdr:rowOff>3751</xdr:rowOff>
    </xdr:to>
    <xdr:sp macro="" textlink="">
      <xdr:nvSpPr>
        <xdr:cNvPr id="247390" name="フリーフォーム: 図形 247389">
          <a:extLst>
            <a:ext uri="{FF2B5EF4-FFF2-40B4-BE49-F238E27FC236}">
              <a16:creationId xmlns:a16="http://schemas.microsoft.com/office/drawing/2014/main" id="{BEE7127D-0DEA-421C-B734-413186B79482}"/>
            </a:ext>
          </a:extLst>
        </xdr:cNvPr>
        <xdr:cNvSpPr>
          <a:spLocks noChangeAspect="1"/>
        </xdr:cNvSpPr>
      </xdr:nvSpPr>
      <xdr:spPr>
        <a:xfrm>
          <a:off x="24692400" y="150804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91</xdr:row>
      <xdr:rowOff>75750</xdr:rowOff>
    </xdr:from>
    <xdr:to>
      <xdr:col>36</xdr:col>
      <xdr:colOff>237600</xdr:colOff>
      <xdr:row>95</xdr:row>
      <xdr:rowOff>163951</xdr:rowOff>
    </xdr:to>
    <xdr:sp macro="" textlink="">
      <xdr:nvSpPr>
        <xdr:cNvPr id="247391" name="フリーフォーム: 図形 247390">
          <a:extLst>
            <a:ext uri="{FF2B5EF4-FFF2-40B4-BE49-F238E27FC236}">
              <a16:creationId xmlns:a16="http://schemas.microsoft.com/office/drawing/2014/main" id="{B2754EE2-81EF-4B65-A594-773E03D25302}"/>
            </a:ext>
          </a:extLst>
        </xdr:cNvPr>
        <xdr:cNvSpPr>
          <a:spLocks noChangeAspect="1"/>
        </xdr:cNvSpPr>
      </xdr:nvSpPr>
      <xdr:spPr>
        <a:xfrm>
          <a:off x="24656400" y="159444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91</xdr:row>
      <xdr:rowOff>93749</xdr:rowOff>
    </xdr:from>
    <xdr:to>
      <xdr:col>35</xdr:col>
      <xdr:colOff>653401</xdr:colOff>
      <xdr:row>96</xdr:row>
      <xdr:rowOff>118501</xdr:rowOff>
    </xdr:to>
    <xdr:sp macro="" textlink="">
      <xdr:nvSpPr>
        <xdr:cNvPr id="247392" name="フリーフォーム: 図形 247391">
          <a:extLst>
            <a:ext uri="{FF2B5EF4-FFF2-40B4-BE49-F238E27FC236}">
              <a16:creationId xmlns:a16="http://schemas.microsoft.com/office/drawing/2014/main" id="{BB8C9F12-A7CB-4C6C-A686-18053EF25922}"/>
            </a:ext>
          </a:extLst>
        </xdr:cNvPr>
        <xdr:cNvSpPr>
          <a:spLocks noChangeAspect="1"/>
        </xdr:cNvSpPr>
      </xdr:nvSpPr>
      <xdr:spPr>
        <a:xfrm>
          <a:off x="24422401" y="159623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91</xdr:row>
      <xdr:rowOff>75750</xdr:rowOff>
    </xdr:from>
    <xdr:to>
      <xdr:col>35</xdr:col>
      <xdr:colOff>617401</xdr:colOff>
      <xdr:row>96</xdr:row>
      <xdr:rowOff>10501</xdr:rowOff>
    </xdr:to>
    <xdr:sp macro="" textlink="">
      <xdr:nvSpPr>
        <xdr:cNvPr id="247393" name="フリーフォーム: 図形 247392">
          <a:extLst>
            <a:ext uri="{FF2B5EF4-FFF2-40B4-BE49-F238E27FC236}">
              <a16:creationId xmlns:a16="http://schemas.microsoft.com/office/drawing/2014/main" id="{3F124180-5103-4B83-8A61-55DC2D90180F}"/>
            </a:ext>
          </a:extLst>
        </xdr:cNvPr>
        <xdr:cNvSpPr>
          <a:spLocks noChangeAspect="1"/>
        </xdr:cNvSpPr>
      </xdr:nvSpPr>
      <xdr:spPr>
        <a:xfrm>
          <a:off x="24098400" y="159444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85</xdr:row>
      <xdr:rowOff>42450</xdr:rowOff>
    </xdr:from>
    <xdr:to>
      <xdr:col>38</xdr:col>
      <xdr:colOff>550801</xdr:colOff>
      <xdr:row>86</xdr:row>
      <xdr:rowOff>15002</xdr:rowOff>
    </xdr:to>
    <xdr:sp macro="" textlink="">
      <xdr:nvSpPr>
        <xdr:cNvPr id="247394" name="フリーフォーム: 図形 247393">
          <a:extLst>
            <a:ext uri="{FF2B5EF4-FFF2-40B4-BE49-F238E27FC236}">
              <a16:creationId xmlns:a16="http://schemas.microsoft.com/office/drawing/2014/main" id="{0632D33B-9803-4BFB-BA18-97F56363D854}"/>
            </a:ext>
          </a:extLst>
        </xdr:cNvPr>
        <xdr:cNvSpPr>
          <a:spLocks noChangeAspect="1"/>
        </xdr:cNvSpPr>
      </xdr:nvSpPr>
      <xdr:spPr>
        <a:xfrm>
          <a:off x="261432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85</xdr:row>
      <xdr:rowOff>42450</xdr:rowOff>
    </xdr:from>
    <xdr:to>
      <xdr:col>39</xdr:col>
      <xdr:colOff>405000</xdr:colOff>
      <xdr:row>86</xdr:row>
      <xdr:rowOff>15002</xdr:rowOff>
    </xdr:to>
    <xdr:sp macro="" textlink="">
      <xdr:nvSpPr>
        <xdr:cNvPr id="247395" name="フリーフォーム: 図形 247394">
          <a:extLst>
            <a:ext uri="{FF2B5EF4-FFF2-40B4-BE49-F238E27FC236}">
              <a16:creationId xmlns:a16="http://schemas.microsoft.com/office/drawing/2014/main" id="{C9956D38-3E45-4225-9818-0B7E71A2752D}"/>
            </a:ext>
          </a:extLst>
        </xdr:cNvPr>
        <xdr:cNvSpPr>
          <a:spLocks noChangeAspect="1"/>
        </xdr:cNvSpPr>
      </xdr:nvSpPr>
      <xdr:spPr>
        <a:xfrm>
          <a:off x="266831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85</xdr:row>
      <xdr:rowOff>114450</xdr:rowOff>
    </xdr:from>
    <xdr:to>
      <xdr:col>39</xdr:col>
      <xdr:colOff>477001</xdr:colOff>
      <xdr:row>91</xdr:row>
      <xdr:rowOff>21752</xdr:rowOff>
    </xdr:to>
    <xdr:sp macro="" textlink="">
      <xdr:nvSpPr>
        <xdr:cNvPr id="247396" name="フリーフォーム: 図形 247395">
          <a:extLst>
            <a:ext uri="{FF2B5EF4-FFF2-40B4-BE49-F238E27FC236}">
              <a16:creationId xmlns:a16="http://schemas.microsoft.com/office/drawing/2014/main" id="{E4E42EE6-60DE-45FA-A4F6-26B074976044}"/>
            </a:ext>
          </a:extLst>
        </xdr:cNvPr>
        <xdr:cNvSpPr>
          <a:spLocks noChangeAspect="1"/>
        </xdr:cNvSpPr>
      </xdr:nvSpPr>
      <xdr:spPr>
        <a:xfrm>
          <a:off x="269351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91</xdr:row>
      <xdr:rowOff>75750</xdr:rowOff>
    </xdr:from>
    <xdr:to>
      <xdr:col>39</xdr:col>
      <xdr:colOff>297000</xdr:colOff>
      <xdr:row>96</xdr:row>
      <xdr:rowOff>136501</xdr:rowOff>
    </xdr:to>
    <xdr:sp macro="" textlink="">
      <xdr:nvSpPr>
        <xdr:cNvPr id="247397" name="フリーフォーム: 図形 247396">
          <a:extLst>
            <a:ext uri="{FF2B5EF4-FFF2-40B4-BE49-F238E27FC236}">
              <a16:creationId xmlns:a16="http://schemas.microsoft.com/office/drawing/2014/main" id="{619C5A10-017F-47FB-BECC-2C4A495485C5}"/>
            </a:ext>
          </a:extLst>
        </xdr:cNvPr>
        <xdr:cNvSpPr>
          <a:spLocks noChangeAspect="1"/>
        </xdr:cNvSpPr>
      </xdr:nvSpPr>
      <xdr:spPr>
        <a:xfrm>
          <a:off x="267552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96</xdr:row>
      <xdr:rowOff>64500</xdr:rowOff>
    </xdr:from>
    <xdr:to>
      <xdr:col>38</xdr:col>
      <xdr:colOff>226800</xdr:colOff>
      <xdr:row>97</xdr:row>
      <xdr:rowOff>37051</xdr:rowOff>
    </xdr:to>
    <xdr:sp macro="" textlink="">
      <xdr:nvSpPr>
        <xdr:cNvPr id="247398" name="フリーフォーム: 図形 247397">
          <a:extLst>
            <a:ext uri="{FF2B5EF4-FFF2-40B4-BE49-F238E27FC236}">
              <a16:creationId xmlns:a16="http://schemas.microsoft.com/office/drawing/2014/main" id="{956BD330-0C52-418E-922C-FBDE62B9E4C1}"/>
            </a:ext>
          </a:extLst>
        </xdr:cNvPr>
        <xdr:cNvSpPr>
          <a:spLocks noChangeAspect="1"/>
        </xdr:cNvSpPr>
      </xdr:nvSpPr>
      <xdr:spPr>
        <a:xfrm>
          <a:off x="25801200" y="167904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96</xdr:row>
      <xdr:rowOff>64500</xdr:rowOff>
    </xdr:from>
    <xdr:to>
      <xdr:col>39</xdr:col>
      <xdr:colOff>45000</xdr:colOff>
      <xdr:row>97</xdr:row>
      <xdr:rowOff>37051</xdr:rowOff>
    </xdr:to>
    <xdr:sp macro="" textlink="">
      <xdr:nvSpPr>
        <xdr:cNvPr id="247399" name="フリーフォーム: 図形 247398">
          <a:extLst>
            <a:ext uri="{FF2B5EF4-FFF2-40B4-BE49-F238E27FC236}">
              <a16:creationId xmlns:a16="http://schemas.microsoft.com/office/drawing/2014/main" id="{45DFB5C5-CA9E-4D48-B3A0-75DFF8006107}"/>
            </a:ext>
          </a:extLst>
        </xdr:cNvPr>
        <xdr:cNvSpPr>
          <a:spLocks noChangeAspect="1"/>
        </xdr:cNvSpPr>
      </xdr:nvSpPr>
      <xdr:spPr>
        <a:xfrm>
          <a:off x="263231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91</xdr:row>
      <xdr:rowOff>75750</xdr:rowOff>
    </xdr:from>
    <xdr:to>
      <xdr:col>37</xdr:col>
      <xdr:colOff>660603</xdr:colOff>
      <xdr:row>96</xdr:row>
      <xdr:rowOff>136501</xdr:rowOff>
    </xdr:to>
    <xdr:sp macro="" textlink="">
      <xdr:nvSpPr>
        <xdr:cNvPr id="247400" name="フリーフォーム: 図形 247399">
          <a:extLst>
            <a:ext uri="{FF2B5EF4-FFF2-40B4-BE49-F238E27FC236}">
              <a16:creationId xmlns:a16="http://schemas.microsoft.com/office/drawing/2014/main" id="{FA6E2FC2-846C-465D-9229-31C97EAF5106}"/>
            </a:ext>
          </a:extLst>
        </xdr:cNvPr>
        <xdr:cNvSpPr>
          <a:spLocks noChangeAspect="1"/>
        </xdr:cNvSpPr>
      </xdr:nvSpPr>
      <xdr:spPr>
        <a:xfrm>
          <a:off x="25747201" y="15944400"/>
          <a:ext cx="288002" cy="918001"/>
        </a:xfrm>
        <a:custGeom>
          <a:avLst/>
          <a:gdLst/>
          <a:ahLst/>
          <a:cxnLst/>
          <a:rect l="0" t="0" r="0" b="0"/>
          <a:pathLst>
            <a:path w="288002" h="918001">
              <a:moveTo>
                <a:pt x="143998" y="54000"/>
              </a:moveTo>
              <a:lnTo>
                <a:pt x="215999" y="0"/>
              </a:lnTo>
              <a:lnTo>
                <a:pt x="288001"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85</xdr:row>
      <xdr:rowOff>114450</xdr:rowOff>
    </xdr:from>
    <xdr:to>
      <xdr:col>38</xdr:col>
      <xdr:colOff>118800</xdr:colOff>
      <xdr:row>91</xdr:row>
      <xdr:rowOff>21752</xdr:rowOff>
    </xdr:to>
    <xdr:sp macro="" textlink="">
      <xdr:nvSpPr>
        <xdr:cNvPr id="247401" name="フリーフォーム: 図形 247400">
          <a:extLst>
            <a:ext uri="{FF2B5EF4-FFF2-40B4-BE49-F238E27FC236}">
              <a16:creationId xmlns:a16="http://schemas.microsoft.com/office/drawing/2014/main" id="{62F6D606-C7C0-4F90-AE5C-E6DD91F07A80}"/>
            </a:ext>
          </a:extLst>
        </xdr:cNvPr>
        <xdr:cNvSpPr>
          <a:spLocks noChangeAspect="1"/>
        </xdr:cNvSpPr>
      </xdr:nvSpPr>
      <xdr:spPr>
        <a:xfrm>
          <a:off x="25927200" y="14954400"/>
          <a:ext cx="252000" cy="936002"/>
        </a:xfrm>
        <a:custGeom>
          <a:avLst/>
          <a:gdLst/>
          <a:ahLst/>
          <a:cxnLst/>
          <a:rect l="0" t="0" r="0" b="0"/>
          <a:pathLst>
            <a:path w="252000" h="936002">
              <a:moveTo>
                <a:pt x="126000" y="72001"/>
              </a:moveTo>
              <a:lnTo>
                <a:pt x="180000" y="0"/>
              </a:lnTo>
              <a:lnTo>
                <a:pt x="251999"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90</xdr:row>
      <xdr:rowOff>139199</xdr:rowOff>
    </xdr:from>
    <xdr:to>
      <xdr:col>38</xdr:col>
      <xdr:colOff>388802</xdr:colOff>
      <xdr:row>91</xdr:row>
      <xdr:rowOff>111751</xdr:rowOff>
    </xdr:to>
    <xdr:sp macro="" textlink="">
      <xdr:nvSpPr>
        <xdr:cNvPr id="247402" name="フリーフォーム: 図形 247401">
          <a:extLst>
            <a:ext uri="{FF2B5EF4-FFF2-40B4-BE49-F238E27FC236}">
              <a16:creationId xmlns:a16="http://schemas.microsoft.com/office/drawing/2014/main" id="{E0837E68-F6EC-498F-B1E4-1407D31644A7}"/>
            </a:ext>
          </a:extLst>
        </xdr:cNvPr>
        <xdr:cNvSpPr>
          <a:spLocks noChangeAspect="1"/>
        </xdr:cNvSpPr>
      </xdr:nvSpPr>
      <xdr:spPr>
        <a:xfrm>
          <a:off x="259992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90</xdr:row>
      <xdr:rowOff>139199</xdr:rowOff>
    </xdr:from>
    <xdr:to>
      <xdr:col>39</xdr:col>
      <xdr:colOff>207002</xdr:colOff>
      <xdr:row>91</xdr:row>
      <xdr:rowOff>111751</xdr:rowOff>
    </xdr:to>
    <xdr:sp macro="" textlink="">
      <xdr:nvSpPr>
        <xdr:cNvPr id="247403" name="フリーフォーム: 図形 247402">
          <a:extLst>
            <a:ext uri="{FF2B5EF4-FFF2-40B4-BE49-F238E27FC236}">
              <a16:creationId xmlns:a16="http://schemas.microsoft.com/office/drawing/2014/main" id="{512E8D65-91E5-4DE7-B71D-CD1085F90088}"/>
            </a:ext>
          </a:extLst>
        </xdr:cNvPr>
        <xdr:cNvSpPr>
          <a:spLocks noChangeAspect="1"/>
        </xdr:cNvSpPr>
      </xdr:nvSpPr>
      <xdr:spPr>
        <a:xfrm>
          <a:off x="265032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86</xdr:row>
      <xdr:rowOff>51000</xdr:rowOff>
    </xdr:from>
    <xdr:to>
      <xdr:col>38</xdr:col>
      <xdr:colOff>406801</xdr:colOff>
      <xdr:row>91</xdr:row>
      <xdr:rowOff>3751</xdr:rowOff>
    </xdr:to>
    <xdr:sp macro="" textlink="">
      <xdr:nvSpPr>
        <xdr:cNvPr id="247404" name="フリーフォーム: 図形 247403">
          <a:extLst>
            <a:ext uri="{FF2B5EF4-FFF2-40B4-BE49-F238E27FC236}">
              <a16:creationId xmlns:a16="http://schemas.microsoft.com/office/drawing/2014/main" id="{77CC104C-CA24-4820-B1CE-095C8E43D3B5}"/>
            </a:ext>
          </a:extLst>
        </xdr:cNvPr>
        <xdr:cNvSpPr>
          <a:spLocks noChangeAspect="1"/>
        </xdr:cNvSpPr>
      </xdr:nvSpPr>
      <xdr:spPr>
        <a:xfrm>
          <a:off x="261972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85</xdr:row>
      <xdr:rowOff>114450</xdr:rowOff>
    </xdr:from>
    <xdr:to>
      <xdr:col>38</xdr:col>
      <xdr:colOff>658801</xdr:colOff>
      <xdr:row>90</xdr:row>
      <xdr:rowOff>157201</xdr:rowOff>
    </xdr:to>
    <xdr:sp macro="" textlink="">
      <xdr:nvSpPr>
        <xdr:cNvPr id="247405" name="フリーフォーム: 図形 247404">
          <a:extLst>
            <a:ext uri="{FF2B5EF4-FFF2-40B4-BE49-F238E27FC236}">
              <a16:creationId xmlns:a16="http://schemas.microsoft.com/office/drawing/2014/main" id="{B9487266-064E-4118-932D-38025793F821}"/>
            </a:ext>
          </a:extLst>
        </xdr:cNvPr>
        <xdr:cNvSpPr>
          <a:spLocks noChangeAspect="1"/>
        </xdr:cNvSpPr>
      </xdr:nvSpPr>
      <xdr:spPr>
        <a:xfrm>
          <a:off x="264672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86</xdr:row>
      <xdr:rowOff>69000</xdr:rowOff>
    </xdr:from>
    <xdr:to>
      <xdr:col>39</xdr:col>
      <xdr:colOff>297000</xdr:colOff>
      <xdr:row>91</xdr:row>
      <xdr:rowOff>3751</xdr:rowOff>
    </xdr:to>
    <xdr:sp macro="" textlink="">
      <xdr:nvSpPr>
        <xdr:cNvPr id="247406" name="フリーフォーム: 図形 247405">
          <a:extLst>
            <a:ext uri="{FF2B5EF4-FFF2-40B4-BE49-F238E27FC236}">
              <a16:creationId xmlns:a16="http://schemas.microsoft.com/office/drawing/2014/main" id="{31FEF368-18B7-47F5-B00F-2BBCFBEC9011}"/>
            </a:ext>
          </a:extLst>
        </xdr:cNvPr>
        <xdr:cNvSpPr>
          <a:spLocks noChangeAspect="1"/>
        </xdr:cNvSpPr>
      </xdr:nvSpPr>
      <xdr:spPr>
        <a:xfrm>
          <a:off x="265212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91</xdr:row>
      <xdr:rowOff>75750</xdr:rowOff>
    </xdr:from>
    <xdr:to>
      <xdr:col>39</xdr:col>
      <xdr:colOff>9002</xdr:colOff>
      <xdr:row>95</xdr:row>
      <xdr:rowOff>163951</xdr:rowOff>
    </xdr:to>
    <xdr:sp macro="" textlink="">
      <xdr:nvSpPr>
        <xdr:cNvPr id="247407" name="フリーフォーム: 図形 247406">
          <a:extLst>
            <a:ext uri="{FF2B5EF4-FFF2-40B4-BE49-F238E27FC236}">
              <a16:creationId xmlns:a16="http://schemas.microsoft.com/office/drawing/2014/main" id="{F83B62E1-41A3-491E-A954-E7EB5CFA82C3}"/>
            </a:ext>
          </a:extLst>
        </xdr:cNvPr>
        <xdr:cNvSpPr>
          <a:spLocks noChangeAspect="1"/>
        </xdr:cNvSpPr>
      </xdr:nvSpPr>
      <xdr:spPr>
        <a:xfrm>
          <a:off x="264851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91</xdr:row>
      <xdr:rowOff>93749</xdr:rowOff>
    </xdr:from>
    <xdr:to>
      <xdr:col>38</xdr:col>
      <xdr:colOff>424800</xdr:colOff>
      <xdr:row>96</xdr:row>
      <xdr:rowOff>118501</xdr:rowOff>
    </xdr:to>
    <xdr:sp macro="" textlink="">
      <xdr:nvSpPr>
        <xdr:cNvPr id="247408" name="フリーフォーム: 図形 247407">
          <a:extLst>
            <a:ext uri="{FF2B5EF4-FFF2-40B4-BE49-F238E27FC236}">
              <a16:creationId xmlns:a16="http://schemas.microsoft.com/office/drawing/2014/main" id="{3F889389-FD18-4CC5-9745-230015F49D43}"/>
            </a:ext>
          </a:extLst>
        </xdr:cNvPr>
        <xdr:cNvSpPr>
          <a:spLocks noChangeAspect="1"/>
        </xdr:cNvSpPr>
      </xdr:nvSpPr>
      <xdr:spPr>
        <a:xfrm>
          <a:off x="262512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91</xdr:row>
      <xdr:rowOff>75750</xdr:rowOff>
    </xdr:from>
    <xdr:to>
      <xdr:col>38</xdr:col>
      <xdr:colOff>388802</xdr:colOff>
      <xdr:row>96</xdr:row>
      <xdr:rowOff>10501</xdr:rowOff>
    </xdr:to>
    <xdr:sp macro="" textlink="">
      <xdr:nvSpPr>
        <xdr:cNvPr id="247409" name="フリーフォーム: 図形 247408">
          <a:extLst>
            <a:ext uri="{FF2B5EF4-FFF2-40B4-BE49-F238E27FC236}">
              <a16:creationId xmlns:a16="http://schemas.microsoft.com/office/drawing/2014/main" id="{87B6B20D-B10B-43E8-9AA2-404E34950BB9}"/>
            </a:ext>
          </a:extLst>
        </xdr:cNvPr>
        <xdr:cNvSpPr>
          <a:spLocks noChangeAspect="1"/>
        </xdr:cNvSpPr>
      </xdr:nvSpPr>
      <xdr:spPr>
        <a:xfrm>
          <a:off x="25927200" y="15944400"/>
          <a:ext cx="522002" cy="792001"/>
        </a:xfrm>
        <a:custGeom>
          <a:avLst/>
          <a:gdLst/>
          <a:ahLst/>
          <a:cxnLst/>
          <a:rect l="0" t="0" r="0" b="0"/>
          <a:pathLst>
            <a:path w="522002" h="792001">
              <a:moveTo>
                <a:pt x="395999" y="72001"/>
              </a:moveTo>
              <a:lnTo>
                <a:pt x="522001" y="0"/>
              </a:lnTo>
              <a:lnTo>
                <a:pt x="324001" y="378001"/>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85</xdr:row>
      <xdr:rowOff>42450</xdr:rowOff>
    </xdr:from>
    <xdr:to>
      <xdr:col>41</xdr:col>
      <xdr:colOff>322201</xdr:colOff>
      <xdr:row>86</xdr:row>
      <xdr:rowOff>15002</xdr:rowOff>
    </xdr:to>
    <xdr:sp macro="" textlink="">
      <xdr:nvSpPr>
        <xdr:cNvPr id="247410" name="フリーフォーム: 図形 247409">
          <a:extLst>
            <a:ext uri="{FF2B5EF4-FFF2-40B4-BE49-F238E27FC236}">
              <a16:creationId xmlns:a16="http://schemas.microsoft.com/office/drawing/2014/main" id="{687995FE-3B58-49B1-B740-DB4EFF1F3F56}"/>
            </a:ext>
          </a:extLst>
        </xdr:cNvPr>
        <xdr:cNvSpPr>
          <a:spLocks noChangeAspect="1"/>
        </xdr:cNvSpPr>
      </xdr:nvSpPr>
      <xdr:spPr>
        <a:xfrm>
          <a:off x="279720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85</xdr:row>
      <xdr:rowOff>42450</xdr:rowOff>
    </xdr:from>
    <xdr:to>
      <xdr:col>42</xdr:col>
      <xdr:colOff>176400</xdr:colOff>
      <xdr:row>86</xdr:row>
      <xdr:rowOff>15002</xdr:rowOff>
    </xdr:to>
    <xdr:sp macro="" textlink="">
      <xdr:nvSpPr>
        <xdr:cNvPr id="247411" name="フリーフォーム: 図形 247410">
          <a:extLst>
            <a:ext uri="{FF2B5EF4-FFF2-40B4-BE49-F238E27FC236}">
              <a16:creationId xmlns:a16="http://schemas.microsoft.com/office/drawing/2014/main" id="{A7900CCF-7C73-487A-B064-3DA4FB519720}"/>
            </a:ext>
          </a:extLst>
        </xdr:cNvPr>
        <xdr:cNvSpPr>
          <a:spLocks noChangeAspect="1"/>
        </xdr:cNvSpPr>
      </xdr:nvSpPr>
      <xdr:spPr>
        <a:xfrm>
          <a:off x="285119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85</xdr:row>
      <xdr:rowOff>114450</xdr:rowOff>
    </xdr:from>
    <xdr:to>
      <xdr:col>42</xdr:col>
      <xdr:colOff>248401</xdr:colOff>
      <xdr:row>91</xdr:row>
      <xdr:rowOff>21752</xdr:rowOff>
    </xdr:to>
    <xdr:sp macro="" textlink="">
      <xdr:nvSpPr>
        <xdr:cNvPr id="247412" name="フリーフォーム: 図形 247411">
          <a:extLst>
            <a:ext uri="{FF2B5EF4-FFF2-40B4-BE49-F238E27FC236}">
              <a16:creationId xmlns:a16="http://schemas.microsoft.com/office/drawing/2014/main" id="{E8AEDBAE-2993-4496-B028-1F296CD34E34}"/>
            </a:ext>
          </a:extLst>
        </xdr:cNvPr>
        <xdr:cNvSpPr>
          <a:spLocks noChangeAspect="1"/>
        </xdr:cNvSpPr>
      </xdr:nvSpPr>
      <xdr:spPr>
        <a:xfrm>
          <a:off x="287639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91</xdr:row>
      <xdr:rowOff>75750</xdr:rowOff>
    </xdr:from>
    <xdr:to>
      <xdr:col>42</xdr:col>
      <xdr:colOff>68400</xdr:colOff>
      <xdr:row>96</xdr:row>
      <xdr:rowOff>136501</xdr:rowOff>
    </xdr:to>
    <xdr:sp macro="" textlink="">
      <xdr:nvSpPr>
        <xdr:cNvPr id="247413" name="フリーフォーム: 図形 247412">
          <a:extLst>
            <a:ext uri="{FF2B5EF4-FFF2-40B4-BE49-F238E27FC236}">
              <a16:creationId xmlns:a16="http://schemas.microsoft.com/office/drawing/2014/main" id="{5BA0FEF9-DFCD-43CF-A06B-B9886786BAAA}"/>
            </a:ext>
          </a:extLst>
        </xdr:cNvPr>
        <xdr:cNvSpPr>
          <a:spLocks noChangeAspect="1"/>
        </xdr:cNvSpPr>
      </xdr:nvSpPr>
      <xdr:spPr>
        <a:xfrm>
          <a:off x="285840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96</xdr:row>
      <xdr:rowOff>64500</xdr:rowOff>
    </xdr:from>
    <xdr:to>
      <xdr:col>40</xdr:col>
      <xdr:colOff>684000</xdr:colOff>
      <xdr:row>97</xdr:row>
      <xdr:rowOff>37051</xdr:rowOff>
    </xdr:to>
    <xdr:sp macro="" textlink="">
      <xdr:nvSpPr>
        <xdr:cNvPr id="247414" name="フリーフォーム: 図形 247413">
          <a:extLst>
            <a:ext uri="{FF2B5EF4-FFF2-40B4-BE49-F238E27FC236}">
              <a16:creationId xmlns:a16="http://schemas.microsoft.com/office/drawing/2014/main" id="{69C368BE-E2DA-47F6-B7E5-5B46ED7B9CC5}"/>
            </a:ext>
          </a:extLst>
        </xdr:cNvPr>
        <xdr:cNvSpPr>
          <a:spLocks noChangeAspect="1"/>
        </xdr:cNvSpPr>
      </xdr:nvSpPr>
      <xdr:spPr>
        <a:xfrm>
          <a:off x="276300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96</xdr:row>
      <xdr:rowOff>64500</xdr:rowOff>
    </xdr:from>
    <xdr:to>
      <xdr:col>41</xdr:col>
      <xdr:colOff>502200</xdr:colOff>
      <xdr:row>97</xdr:row>
      <xdr:rowOff>37051</xdr:rowOff>
    </xdr:to>
    <xdr:sp macro="" textlink="">
      <xdr:nvSpPr>
        <xdr:cNvPr id="247415" name="フリーフォーム: 図形 247414">
          <a:extLst>
            <a:ext uri="{FF2B5EF4-FFF2-40B4-BE49-F238E27FC236}">
              <a16:creationId xmlns:a16="http://schemas.microsoft.com/office/drawing/2014/main" id="{617566B6-061A-4361-AAD1-5F39C3BF3C64}"/>
            </a:ext>
          </a:extLst>
        </xdr:cNvPr>
        <xdr:cNvSpPr>
          <a:spLocks noChangeAspect="1"/>
        </xdr:cNvSpPr>
      </xdr:nvSpPr>
      <xdr:spPr>
        <a:xfrm>
          <a:off x="281519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91</xdr:row>
      <xdr:rowOff>75750</xdr:rowOff>
    </xdr:from>
    <xdr:to>
      <xdr:col>40</xdr:col>
      <xdr:colOff>432003</xdr:colOff>
      <xdr:row>96</xdr:row>
      <xdr:rowOff>136501</xdr:rowOff>
    </xdr:to>
    <xdr:sp macro="" textlink="">
      <xdr:nvSpPr>
        <xdr:cNvPr id="247416" name="フリーフォーム: 図形 247415">
          <a:extLst>
            <a:ext uri="{FF2B5EF4-FFF2-40B4-BE49-F238E27FC236}">
              <a16:creationId xmlns:a16="http://schemas.microsoft.com/office/drawing/2014/main" id="{F7581442-0BBC-4908-966E-E30ACEC6BC2B}"/>
            </a:ext>
          </a:extLst>
        </xdr:cNvPr>
        <xdr:cNvSpPr>
          <a:spLocks noChangeAspect="1"/>
        </xdr:cNvSpPr>
      </xdr:nvSpPr>
      <xdr:spPr>
        <a:xfrm>
          <a:off x="275760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85</xdr:row>
      <xdr:rowOff>114450</xdr:rowOff>
    </xdr:from>
    <xdr:to>
      <xdr:col>40</xdr:col>
      <xdr:colOff>576000</xdr:colOff>
      <xdr:row>91</xdr:row>
      <xdr:rowOff>21752</xdr:rowOff>
    </xdr:to>
    <xdr:sp macro="" textlink="">
      <xdr:nvSpPr>
        <xdr:cNvPr id="247417" name="フリーフォーム: 図形 247416">
          <a:extLst>
            <a:ext uri="{FF2B5EF4-FFF2-40B4-BE49-F238E27FC236}">
              <a16:creationId xmlns:a16="http://schemas.microsoft.com/office/drawing/2014/main" id="{F4F1E620-3CD0-49B6-9AEA-F29FC9AD2CA8}"/>
            </a:ext>
          </a:extLst>
        </xdr:cNvPr>
        <xdr:cNvSpPr>
          <a:spLocks noChangeAspect="1"/>
        </xdr:cNvSpPr>
      </xdr:nvSpPr>
      <xdr:spPr>
        <a:xfrm>
          <a:off x="277559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90</xdr:row>
      <xdr:rowOff>139199</xdr:rowOff>
    </xdr:from>
    <xdr:to>
      <xdr:col>41</xdr:col>
      <xdr:colOff>160202</xdr:colOff>
      <xdr:row>91</xdr:row>
      <xdr:rowOff>111751</xdr:rowOff>
    </xdr:to>
    <xdr:sp macro="" textlink="">
      <xdr:nvSpPr>
        <xdr:cNvPr id="247418" name="フリーフォーム: 図形 247417">
          <a:extLst>
            <a:ext uri="{FF2B5EF4-FFF2-40B4-BE49-F238E27FC236}">
              <a16:creationId xmlns:a16="http://schemas.microsoft.com/office/drawing/2014/main" id="{82341F6D-0880-4ADA-A718-443B06B09B61}"/>
            </a:ext>
          </a:extLst>
        </xdr:cNvPr>
        <xdr:cNvSpPr>
          <a:spLocks noChangeAspect="1"/>
        </xdr:cNvSpPr>
      </xdr:nvSpPr>
      <xdr:spPr>
        <a:xfrm>
          <a:off x="278280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90</xdr:row>
      <xdr:rowOff>139199</xdr:rowOff>
    </xdr:from>
    <xdr:to>
      <xdr:col>41</xdr:col>
      <xdr:colOff>664202</xdr:colOff>
      <xdr:row>91</xdr:row>
      <xdr:rowOff>111751</xdr:rowOff>
    </xdr:to>
    <xdr:sp macro="" textlink="">
      <xdr:nvSpPr>
        <xdr:cNvPr id="247419" name="フリーフォーム: 図形 247418">
          <a:extLst>
            <a:ext uri="{FF2B5EF4-FFF2-40B4-BE49-F238E27FC236}">
              <a16:creationId xmlns:a16="http://schemas.microsoft.com/office/drawing/2014/main" id="{61215CEC-43F1-4D78-A0D7-98559E7A9601}"/>
            </a:ext>
          </a:extLst>
        </xdr:cNvPr>
        <xdr:cNvSpPr>
          <a:spLocks noChangeAspect="1"/>
        </xdr:cNvSpPr>
      </xdr:nvSpPr>
      <xdr:spPr>
        <a:xfrm>
          <a:off x="283320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86</xdr:row>
      <xdr:rowOff>51000</xdr:rowOff>
    </xdr:from>
    <xdr:to>
      <xdr:col>41</xdr:col>
      <xdr:colOff>178201</xdr:colOff>
      <xdr:row>91</xdr:row>
      <xdr:rowOff>3751</xdr:rowOff>
    </xdr:to>
    <xdr:sp macro="" textlink="">
      <xdr:nvSpPr>
        <xdr:cNvPr id="247420" name="フリーフォーム: 図形 247419">
          <a:extLst>
            <a:ext uri="{FF2B5EF4-FFF2-40B4-BE49-F238E27FC236}">
              <a16:creationId xmlns:a16="http://schemas.microsoft.com/office/drawing/2014/main" id="{56C4189D-1103-4B9A-96E1-A2EC24C0F920}"/>
            </a:ext>
          </a:extLst>
        </xdr:cNvPr>
        <xdr:cNvSpPr>
          <a:spLocks noChangeAspect="1"/>
        </xdr:cNvSpPr>
      </xdr:nvSpPr>
      <xdr:spPr>
        <a:xfrm>
          <a:off x="280260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85</xdr:row>
      <xdr:rowOff>114450</xdr:rowOff>
    </xdr:from>
    <xdr:to>
      <xdr:col>41</xdr:col>
      <xdr:colOff>430201</xdr:colOff>
      <xdr:row>90</xdr:row>
      <xdr:rowOff>157201</xdr:rowOff>
    </xdr:to>
    <xdr:sp macro="" textlink="">
      <xdr:nvSpPr>
        <xdr:cNvPr id="247421" name="フリーフォーム: 図形 247420">
          <a:extLst>
            <a:ext uri="{FF2B5EF4-FFF2-40B4-BE49-F238E27FC236}">
              <a16:creationId xmlns:a16="http://schemas.microsoft.com/office/drawing/2014/main" id="{85212CC3-A987-493D-8D81-B203E7E7BD3D}"/>
            </a:ext>
          </a:extLst>
        </xdr:cNvPr>
        <xdr:cNvSpPr>
          <a:spLocks noChangeAspect="1"/>
        </xdr:cNvSpPr>
      </xdr:nvSpPr>
      <xdr:spPr>
        <a:xfrm>
          <a:off x="282960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86</xdr:row>
      <xdr:rowOff>69000</xdr:rowOff>
    </xdr:from>
    <xdr:to>
      <xdr:col>42</xdr:col>
      <xdr:colOff>68400</xdr:colOff>
      <xdr:row>91</xdr:row>
      <xdr:rowOff>3751</xdr:rowOff>
    </xdr:to>
    <xdr:sp macro="" textlink="">
      <xdr:nvSpPr>
        <xdr:cNvPr id="247422" name="フリーフォーム: 図形 247421">
          <a:extLst>
            <a:ext uri="{FF2B5EF4-FFF2-40B4-BE49-F238E27FC236}">
              <a16:creationId xmlns:a16="http://schemas.microsoft.com/office/drawing/2014/main" id="{D9D4E5A0-670F-419A-9E07-63FE635C45B7}"/>
            </a:ext>
          </a:extLst>
        </xdr:cNvPr>
        <xdr:cNvSpPr>
          <a:spLocks noChangeAspect="1"/>
        </xdr:cNvSpPr>
      </xdr:nvSpPr>
      <xdr:spPr>
        <a:xfrm>
          <a:off x="283500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91</xdr:row>
      <xdr:rowOff>75750</xdr:rowOff>
    </xdr:from>
    <xdr:to>
      <xdr:col>41</xdr:col>
      <xdr:colOff>466202</xdr:colOff>
      <xdr:row>95</xdr:row>
      <xdr:rowOff>163951</xdr:rowOff>
    </xdr:to>
    <xdr:sp macro="" textlink="">
      <xdr:nvSpPr>
        <xdr:cNvPr id="247423" name="フリーフォーム: 図形 247422">
          <a:extLst>
            <a:ext uri="{FF2B5EF4-FFF2-40B4-BE49-F238E27FC236}">
              <a16:creationId xmlns:a16="http://schemas.microsoft.com/office/drawing/2014/main" id="{D104AB71-37C9-49C0-B1CE-7A20F293CC44}"/>
            </a:ext>
          </a:extLst>
        </xdr:cNvPr>
        <xdr:cNvSpPr>
          <a:spLocks noChangeAspect="1"/>
        </xdr:cNvSpPr>
      </xdr:nvSpPr>
      <xdr:spPr>
        <a:xfrm>
          <a:off x="283139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91</xdr:row>
      <xdr:rowOff>93749</xdr:rowOff>
    </xdr:from>
    <xdr:to>
      <xdr:col>41</xdr:col>
      <xdr:colOff>196200</xdr:colOff>
      <xdr:row>96</xdr:row>
      <xdr:rowOff>118501</xdr:rowOff>
    </xdr:to>
    <xdr:sp macro="" textlink="">
      <xdr:nvSpPr>
        <xdr:cNvPr id="247424" name="フリーフォーム: 図形 247423">
          <a:extLst>
            <a:ext uri="{FF2B5EF4-FFF2-40B4-BE49-F238E27FC236}">
              <a16:creationId xmlns:a16="http://schemas.microsoft.com/office/drawing/2014/main" id="{E2AB81AC-0A56-47B1-A080-7E2FA7B4D602}"/>
            </a:ext>
          </a:extLst>
        </xdr:cNvPr>
        <xdr:cNvSpPr>
          <a:spLocks noChangeAspect="1"/>
        </xdr:cNvSpPr>
      </xdr:nvSpPr>
      <xdr:spPr>
        <a:xfrm>
          <a:off x="280800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91</xdr:row>
      <xdr:rowOff>75750</xdr:rowOff>
    </xdr:from>
    <xdr:to>
      <xdr:col>41</xdr:col>
      <xdr:colOff>160202</xdr:colOff>
      <xdr:row>96</xdr:row>
      <xdr:rowOff>10501</xdr:rowOff>
    </xdr:to>
    <xdr:sp macro="" textlink="">
      <xdr:nvSpPr>
        <xdr:cNvPr id="247425" name="フリーフォーム: 図形 247424">
          <a:extLst>
            <a:ext uri="{FF2B5EF4-FFF2-40B4-BE49-F238E27FC236}">
              <a16:creationId xmlns:a16="http://schemas.microsoft.com/office/drawing/2014/main" id="{B6EAF741-4C2F-4C5E-9F0A-4C234ADE645C}"/>
            </a:ext>
          </a:extLst>
        </xdr:cNvPr>
        <xdr:cNvSpPr>
          <a:spLocks noChangeAspect="1"/>
        </xdr:cNvSpPr>
      </xdr:nvSpPr>
      <xdr:spPr>
        <a:xfrm>
          <a:off x="277559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85</xdr:row>
      <xdr:rowOff>42450</xdr:rowOff>
    </xdr:from>
    <xdr:to>
      <xdr:col>44</xdr:col>
      <xdr:colOff>93601</xdr:colOff>
      <xdr:row>86</xdr:row>
      <xdr:rowOff>15002</xdr:rowOff>
    </xdr:to>
    <xdr:sp macro="" textlink="">
      <xdr:nvSpPr>
        <xdr:cNvPr id="247426" name="フリーフォーム: 図形 247425">
          <a:extLst>
            <a:ext uri="{FF2B5EF4-FFF2-40B4-BE49-F238E27FC236}">
              <a16:creationId xmlns:a16="http://schemas.microsoft.com/office/drawing/2014/main" id="{32C75AEF-AE59-4051-BA2B-FA3F3A26D1C9}"/>
            </a:ext>
          </a:extLst>
        </xdr:cNvPr>
        <xdr:cNvSpPr>
          <a:spLocks noChangeAspect="1"/>
        </xdr:cNvSpPr>
      </xdr:nvSpPr>
      <xdr:spPr>
        <a:xfrm>
          <a:off x="298008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85</xdr:row>
      <xdr:rowOff>42450</xdr:rowOff>
    </xdr:from>
    <xdr:to>
      <xdr:col>44</xdr:col>
      <xdr:colOff>633600</xdr:colOff>
      <xdr:row>86</xdr:row>
      <xdr:rowOff>15002</xdr:rowOff>
    </xdr:to>
    <xdr:sp macro="" textlink="">
      <xdr:nvSpPr>
        <xdr:cNvPr id="247427" name="フリーフォーム: 図形 247426">
          <a:extLst>
            <a:ext uri="{FF2B5EF4-FFF2-40B4-BE49-F238E27FC236}">
              <a16:creationId xmlns:a16="http://schemas.microsoft.com/office/drawing/2014/main" id="{03E4572D-BC67-430E-9097-276D82912223}"/>
            </a:ext>
          </a:extLst>
        </xdr:cNvPr>
        <xdr:cNvSpPr>
          <a:spLocks noChangeAspect="1"/>
        </xdr:cNvSpPr>
      </xdr:nvSpPr>
      <xdr:spPr>
        <a:xfrm>
          <a:off x="303407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85</xdr:row>
      <xdr:rowOff>114450</xdr:rowOff>
    </xdr:from>
    <xdr:to>
      <xdr:col>45</xdr:col>
      <xdr:colOff>19801</xdr:colOff>
      <xdr:row>91</xdr:row>
      <xdr:rowOff>21752</xdr:rowOff>
    </xdr:to>
    <xdr:sp macro="" textlink="">
      <xdr:nvSpPr>
        <xdr:cNvPr id="247428" name="フリーフォーム: 図形 247427">
          <a:extLst>
            <a:ext uri="{FF2B5EF4-FFF2-40B4-BE49-F238E27FC236}">
              <a16:creationId xmlns:a16="http://schemas.microsoft.com/office/drawing/2014/main" id="{8BE82959-6801-4BDC-A01E-E5F4DF5F3B86}"/>
            </a:ext>
          </a:extLst>
        </xdr:cNvPr>
        <xdr:cNvSpPr>
          <a:spLocks noChangeAspect="1"/>
        </xdr:cNvSpPr>
      </xdr:nvSpPr>
      <xdr:spPr>
        <a:xfrm>
          <a:off x="305927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91</xdr:row>
      <xdr:rowOff>75750</xdr:rowOff>
    </xdr:from>
    <xdr:to>
      <xdr:col>44</xdr:col>
      <xdr:colOff>525600</xdr:colOff>
      <xdr:row>96</xdr:row>
      <xdr:rowOff>136501</xdr:rowOff>
    </xdr:to>
    <xdr:sp macro="" textlink="">
      <xdr:nvSpPr>
        <xdr:cNvPr id="247429" name="フリーフォーム: 図形 247428">
          <a:extLst>
            <a:ext uri="{FF2B5EF4-FFF2-40B4-BE49-F238E27FC236}">
              <a16:creationId xmlns:a16="http://schemas.microsoft.com/office/drawing/2014/main" id="{C3FA2719-6D81-4919-9A4F-ED91311BE526}"/>
            </a:ext>
          </a:extLst>
        </xdr:cNvPr>
        <xdr:cNvSpPr>
          <a:spLocks noChangeAspect="1"/>
        </xdr:cNvSpPr>
      </xdr:nvSpPr>
      <xdr:spPr>
        <a:xfrm>
          <a:off x="304128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96</xdr:row>
      <xdr:rowOff>64500</xdr:rowOff>
    </xdr:from>
    <xdr:to>
      <xdr:col>43</xdr:col>
      <xdr:colOff>455400</xdr:colOff>
      <xdr:row>97</xdr:row>
      <xdr:rowOff>37051</xdr:rowOff>
    </xdr:to>
    <xdr:sp macro="" textlink="">
      <xdr:nvSpPr>
        <xdr:cNvPr id="247430" name="フリーフォーム: 図形 247429">
          <a:extLst>
            <a:ext uri="{FF2B5EF4-FFF2-40B4-BE49-F238E27FC236}">
              <a16:creationId xmlns:a16="http://schemas.microsoft.com/office/drawing/2014/main" id="{BB6821C3-44FD-49F9-A6FA-94982CA99A5C}"/>
            </a:ext>
          </a:extLst>
        </xdr:cNvPr>
        <xdr:cNvSpPr>
          <a:spLocks noChangeAspect="1"/>
        </xdr:cNvSpPr>
      </xdr:nvSpPr>
      <xdr:spPr>
        <a:xfrm>
          <a:off x="294588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96</xdr:row>
      <xdr:rowOff>64500</xdr:rowOff>
    </xdr:from>
    <xdr:to>
      <xdr:col>44</xdr:col>
      <xdr:colOff>273600</xdr:colOff>
      <xdr:row>97</xdr:row>
      <xdr:rowOff>37051</xdr:rowOff>
    </xdr:to>
    <xdr:sp macro="" textlink="">
      <xdr:nvSpPr>
        <xdr:cNvPr id="247431" name="フリーフォーム: 図形 247430">
          <a:extLst>
            <a:ext uri="{FF2B5EF4-FFF2-40B4-BE49-F238E27FC236}">
              <a16:creationId xmlns:a16="http://schemas.microsoft.com/office/drawing/2014/main" id="{151C5030-90FC-4A4B-B7F2-8FD705497613}"/>
            </a:ext>
          </a:extLst>
        </xdr:cNvPr>
        <xdr:cNvSpPr>
          <a:spLocks noChangeAspect="1"/>
        </xdr:cNvSpPr>
      </xdr:nvSpPr>
      <xdr:spPr>
        <a:xfrm>
          <a:off x="299807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91</xdr:row>
      <xdr:rowOff>75750</xdr:rowOff>
    </xdr:from>
    <xdr:to>
      <xdr:col>43</xdr:col>
      <xdr:colOff>203403</xdr:colOff>
      <xdr:row>96</xdr:row>
      <xdr:rowOff>136501</xdr:rowOff>
    </xdr:to>
    <xdr:sp macro="" textlink="">
      <xdr:nvSpPr>
        <xdr:cNvPr id="247432" name="フリーフォーム: 図形 247431">
          <a:extLst>
            <a:ext uri="{FF2B5EF4-FFF2-40B4-BE49-F238E27FC236}">
              <a16:creationId xmlns:a16="http://schemas.microsoft.com/office/drawing/2014/main" id="{3C65C10B-01CA-476D-8758-1A3BA52673D8}"/>
            </a:ext>
          </a:extLst>
        </xdr:cNvPr>
        <xdr:cNvSpPr>
          <a:spLocks noChangeAspect="1"/>
        </xdr:cNvSpPr>
      </xdr:nvSpPr>
      <xdr:spPr>
        <a:xfrm>
          <a:off x="294048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85</xdr:row>
      <xdr:rowOff>114450</xdr:rowOff>
    </xdr:from>
    <xdr:to>
      <xdr:col>43</xdr:col>
      <xdr:colOff>347400</xdr:colOff>
      <xdr:row>91</xdr:row>
      <xdr:rowOff>21752</xdr:rowOff>
    </xdr:to>
    <xdr:sp macro="" textlink="">
      <xdr:nvSpPr>
        <xdr:cNvPr id="247433" name="フリーフォーム: 図形 247432">
          <a:extLst>
            <a:ext uri="{FF2B5EF4-FFF2-40B4-BE49-F238E27FC236}">
              <a16:creationId xmlns:a16="http://schemas.microsoft.com/office/drawing/2014/main" id="{8463D346-AA6F-4A40-8C2C-D6DC655F27FE}"/>
            </a:ext>
          </a:extLst>
        </xdr:cNvPr>
        <xdr:cNvSpPr>
          <a:spLocks noChangeAspect="1"/>
        </xdr:cNvSpPr>
      </xdr:nvSpPr>
      <xdr:spPr>
        <a:xfrm>
          <a:off x="295847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90</xdr:row>
      <xdr:rowOff>139199</xdr:rowOff>
    </xdr:from>
    <xdr:to>
      <xdr:col>43</xdr:col>
      <xdr:colOff>617402</xdr:colOff>
      <xdr:row>91</xdr:row>
      <xdr:rowOff>111751</xdr:rowOff>
    </xdr:to>
    <xdr:sp macro="" textlink="">
      <xdr:nvSpPr>
        <xdr:cNvPr id="247434" name="フリーフォーム: 図形 247433">
          <a:extLst>
            <a:ext uri="{FF2B5EF4-FFF2-40B4-BE49-F238E27FC236}">
              <a16:creationId xmlns:a16="http://schemas.microsoft.com/office/drawing/2014/main" id="{8756F189-E3B6-4262-904F-AD17B2C433E4}"/>
            </a:ext>
          </a:extLst>
        </xdr:cNvPr>
        <xdr:cNvSpPr>
          <a:spLocks noChangeAspect="1"/>
        </xdr:cNvSpPr>
      </xdr:nvSpPr>
      <xdr:spPr>
        <a:xfrm>
          <a:off x="296568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90</xdr:row>
      <xdr:rowOff>139199</xdr:rowOff>
    </xdr:from>
    <xdr:to>
      <xdr:col>44</xdr:col>
      <xdr:colOff>435602</xdr:colOff>
      <xdr:row>91</xdr:row>
      <xdr:rowOff>111751</xdr:rowOff>
    </xdr:to>
    <xdr:sp macro="" textlink="">
      <xdr:nvSpPr>
        <xdr:cNvPr id="247435" name="フリーフォーム: 図形 247434">
          <a:extLst>
            <a:ext uri="{FF2B5EF4-FFF2-40B4-BE49-F238E27FC236}">
              <a16:creationId xmlns:a16="http://schemas.microsoft.com/office/drawing/2014/main" id="{BC71FF95-AA37-4F34-9770-0E11705F6556}"/>
            </a:ext>
          </a:extLst>
        </xdr:cNvPr>
        <xdr:cNvSpPr>
          <a:spLocks noChangeAspect="1"/>
        </xdr:cNvSpPr>
      </xdr:nvSpPr>
      <xdr:spPr>
        <a:xfrm>
          <a:off x="301608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86</xdr:row>
      <xdr:rowOff>51000</xdr:rowOff>
    </xdr:from>
    <xdr:to>
      <xdr:col>43</xdr:col>
      <xdr:colOff>635401</xdr:colOff>
      <xdr:row>91</xdr:row>
      <xdr:rowOff>3751</xdr:rowOff>
    </xdr:to>
    <xdr:sp macro="" textlink="">
      <xdr:nvSpPr>
        <xdr:cNvPr id="247436" name="フリーフォーム: 図形 247435">
          <a:extLst>
            <a:ext uri="{FF2B5EF4-FFF2-40B4-BE49-F238E27FC236}">
              <a16:creationId xmlns:a16="http://schemas.microsoft.com/office/drawing/2014/main" id="{8B1AEC16-CC35-4354-9ADF-54C23FFBA4BE}"/>
            </a:ext>
          </a:extLst>
        </xdr:cNvPr>
        <xdr:cNvSpPr>
          <a:spLocks noChangeAspect="1"/>
        </xdr:cNvSpPr>
      </xdr:nvSpPr>
      <xdr:spPr>
        <a:xfrm>
          <a:off x="298548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85</xdr:row>
      <xdr:rowOff>114450</xdr:rowOff>
    </xdr:from>
    <xdr:to>
      <xdr:col>44</xdr:col>
      <xdr:colOff>201601</xdr:colOff>
      <xdr:row>90</xdr:row>
      <xdr:rowOff>157201</xdr:rowOff>
    </xdr:to>
    <xdr:sp macro="" textlink="">
      <xdr:nvSpPr>
        <xdr:cNvPr id="247437" name="フリーフォーム: 図形 247436">
          <a:extLst>
            <a:ext uri="{FF2B5EF4-FFF2-40B4-BE49-F238E27FC236}">
              <a16:creationId xmlns:a16="http://schemas.microsoft.com/office/drawing/2014/main" id="{390CE1EE-BE8B-4BF7-83FE-F3A8C145BB56}"/>
            </a:ext>
          </a:extLst>
        </xdr:cNvPr>
        <xdr:cNvSpPr>
          <a:spLocks noChangeAspect="1"/>
        </xdr:cNvSpPr>
      </xdr:nvSpPr>
      <xdr:spPr>
        <a:xfrm>
          <a:off x="301248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86</xdr:row>
      <xdr:rowOff>69000</xdr:rowOff>
    </xdr:from>
    <xdr:to>
      <xdr:col>44</xdr:col>
      <xdr:colOff>525600</xdr:colOff>
      <xdr:row>91</xdr:row>
      <xdr:rowOff>3751</xdr:rowOff>
    </xdr:to>
    <xdr:sp macro="" textlink="">
      <xdr:nvSpPr>
        <xdr:cNvPr id="247438" name="フリーフォーム: 図形 247437">
          <a:extLst>
            <a:ext uri="{FF2B5EF4-FFF2-40B4-BE49-F238E27FC236}">
              <a16:creationId xmlns:a16="http://schemas.microsoft.com/office/drawing/2014/main" id="{817B6B04-7A10-4609-A49B-4C4811D2BFB1}"/>
            </a:ext>
          </a:extLst>
        </xdr:cNvPr>
        <xdr:cNvSpPr>
          <a:spLocks noChangeAspect="1"/>
        </xdr:cNvSpPr>
      </xdr:nvSpPr>
      <xdr:spPr>
        <a:xfrm>
          <a:off x="301788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91</xdr:row>
      <xdr:rowOff>75750</xdr:rowOff>
    </xdr:from>
    <xdr:to>
      <xdr:col>44</xdr:col>
      <xdr:colOff>237602</xdr:colOff>
      <xdr:row>95</xdr:row>
      <xdr:rowOff>163951</xdr:rowOff>
    </xdr:to>
    <xdr:sp macro="" textlink="">
      <xdr:nvSpPr>
        <xdr:cNvPr id="247439" name="フリーフォーム: 図形 247438">
          <a:extLst>
            <a:ext uri="{FF2B5EF4-FFF2-40B4-BE49-F238E27FC236}">
              <a16:creationId xmlns:a16="http://schemas.microsoft.com/office/drawing/2014/main" id="{E3D3BF3B-01FB-410A-A24E-C3B0462CBDE3}"/>
            </a:ext>
          </a:extLst>
        </xdr:cNvPr>
        <xdr:cNvSpPr>
          <a:spLocks noChangeAspect="1"/>
        </xdr:cNvSpPr>
      </xdr:nvSpPr>
      <xdr:spPr>
        <a:xfrm>
          <a:off x="301427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91</xdr:row>
      <xdr:rowOff>93749</xdr:rowOff>
    </xdr:from>
    <xdr:to>
      <xdr:col>43</xdr:col>
      <xdr:colOff>653400</xdr:colOff>
      <xdr:row>96</xdr:row>
      <xdr:rowOff>118501</xdr:rowOff>
    </xdr:to>
    <xdr:sp macro="" textlink="">
      <xdr:nvSpPr>
        <xdr:cNvPr id="247440" name="フリーフォーム: 図形 247439">
          <a:extLst>
            <a:ext uri="{FF2B5EF4-FFF2-40B4-BE49-F238E27FC236}">
              <a16:creationId xmlns:a16="http://schemas.microsoft.com/office/drawing/2014/main" id="{79C710C4-BA56-4FA6-B41B-5E49E91345C3}"/>
            </a:ext>
          </a:extLst>
        </xdr:cNvPr>
        <xdr:cNvSpPr>
          <a:spLocks noChangeAspect="1"/>
        </xdr:cNvSpPr>
      </xdr:nvSpPr>
      <xdr:spPr>
        <a:xfrm>
          <a:off x="299088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91</xdr:row>
      <xdr:rowOff>75750</xdr:rowOff>
    </xdr:from>
    <xdr:to>
      <xdr:col>43</xdr:col>
      <xdr:colOff>617402</xdr:colOff>
      <xdr:row>96</xdr:row>
      <xdr:rowOff>10501</xdr:rowOff>
    </xdr:to>
    <xdr:sp macro="" textlink="">
      <xdr:nvSpPr>
        <xdr:cNvPr id="247441" name="フリーフォーム: 図形 247440">
          <a:extLst>
            <a:ext uri="{FF2B5EF4-FFF2-40B4-BE49-F238E27FC236}">
              <a16:creationId xmlns:a16="http://schemas.microsoft.com/office/drawing/2014/main" id="{8D2A9516-4726-4808-9616-A362E4C9E8D8}"/>
            </a:ext>
          </a:extLst>
        </xdr:cNvPr>
        <xdr:cNvSpPr>
          <a:spLocks noChangeAspect="1"/>
        </xdr:cNvSpPr>
      </xdr:nvSpPr>
      <xdr:spPr>
        <a:xfrm>
          <a:off x="295847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85</xdr:row>
      <xdr:rowOff>42450</xdr:rowOff>
    </xdr:from>
    <xdr:to>
      <xdr:col>46</xdr:col>
      <xdr:colOff>550801</xdr:colOff>
      <xdr:row>86</xdr:row>
      <xdr:rowOff>15002</xdr:rowOff>
    </xdr:to>
    <xdr:sp macro="" textlink="">
      <xdr:nvSpPr>
        <xdr:cNvPr id="247442" name="フリーフォーム: 図形 247441">
          <a:extLst>
            <a:ext uri="{FF2B5EF4-FFF2-40B4-BE49-F238E27FC236}">
              <a16:creationId xmlns:a16="http://schemas.microsoft.com/office/drawing/2014/main" id="{AA5700D4-30E8-4383-8F93-6EC7F5D121B5}"/>
            </a:ext>
          </a:extLst>
        </xdr:cNvPr>
        <xdr:cNvSpPr>
          <a:spLocks noChangeAspect="1"/>
        </xdr:cNvSpPr>
      </xdr:nvSpPr>
      <xdr:spPr>
        <a:xfrm>
          <a:off x="316296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85</xdr:row>
      <xdr:rowOff>42450</xdr:rowOff>
    </xdr:from>
    <xdr:to>
      <xdr:col>47</xdr:col>
      <xdr:colOff>405000</xdr:colOff>
      <xdr:row>86</xdr:row>
      <xdr:rowOff>15002</xdr:rowOff>
    </xdr:to>
    <xdr:sp macro="" textlink="">
      <xdr:nvSpPr>
        <xdr:cNvPr id="247443" name="フリーフォーム: 図形 247442">
          <a:extLst>
            <a:ext uri="{FF2B5EF4-FFF2-40B4-BE49-F238E27FC236}">
              <a16:creationId xmlns:a16="http://schemas.microsoft.com/office/drawing/2014/main" id="{C10B4009-5F2A-4934-8E30-9677B6C423F2}"/>
            </a:ext>
          </a:extLst>
        </xdr:cNvPr>
        <xdr:cNvSpPr>
          <a:spLocks noChangeAspect="1"/>
        </xdr:cNvSpPr>
      </xdr:nvSpPr>
      <xdr:spPr>
        <a:xfrm>
          <a:off x="321695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85</xdr:row>
      <xdr:rowOff>114450</xdr:rowOff>
    </xdr:from>
    <xdr:to>
      <xdr:col>47</xdr:col>
      <xdr:colOff>477001</xdr:colOff>
      <xdr:row>91</xdr:row>
      <xdr:rowOff>21752</xdr:rowOff>
    </xdr:to>
    <xdr:sp macro="" textlink="">
      <xdr:nvSpPr>
        <xdr:cNvPr id="247444" name="フリーフォーム: 図形 247443">
          <a:extLst>
            <a:ext uri="{FF2B5EF4-FFF2-40B4-BE49-F238E27FC236}">
              <a16:creationId xmlns:a16="http://schemas.microsoft.com/office/drawing/2014/main" id="{08B25860-9B5B-40C1-ACF6-D1535ED9F4F6}"/>
            </a:ext>
          </a:extLst>
        </xdr:cNvPr>
        <xdr:cNvSpPr>
          <a:spLocks noChangeAspect="1"/>
        </xdr:cNvSpPr>
      </xdr:nvSpPr>
      <xdr:spPr>
        <a:xfrm>
          <a:off x="324215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91</xdr:row>
      <xdr:rowOff>75750</xdr:rowOff>
    </xdr:from>
    <xdr:to>
      <xdr:col>47</xdr:col>
      <xdr:colOff>297000</xdr:colOff>
      <xdr:row>96</xdr:row>
      <xdr:rowOff>136501</xdr:rowOff>
    </xdr:to>
    <xdr:sp macro="" textlink="">
      <xdr:nvSpPr>
        <xdr:cNvPr id="247445" name="フリーフォーム: 図形 247444">
          <a:extLst>
            <a:ext uri="{FF2B5EF4-FFF2-40B4-BE49-F238E27FC236}">
              <a16:creationId xmlns:a16="http://schemas.microsoft.com/office/drawing/2014/main" id="{D4306A74-6A95-4757-9171-64306BB24476}"/>
            </a:ext>
          </a:extLst>
        </xdr:cNvPr>
        <xdr:cNvSpPr>
          <a:spLocks noChangeAspect="1"/>
        </xdr:cNvSpPr>
      </xdr:nvSpPr>
      <xdr:spPr>
        <a:xfrm>
          <a:off x="322416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96</xdr:row>
      <xdr:rowOff>64500</xdr:rowOff>
    </xdr:from>
    <xdr:to>
      <xdr:col>46</xdr:col>
      <xdr:colOff>226800</xdr:colOff>
      <xdr:row>97</xdr:row>
      <xdr:rowOff>37051</xdr:rowOff>
    </xdr:to>
    <xdr:sp macro="" textlink="">
      <xdr:nvSpPr>
        <xdr:cNvPr id="247446" name="フリーフォーム: 図形 247445">
          <a:extLst>
            <a:ext uri="{FF2B5EF4-FFF2-40B4-BE49-F238E27FC236}">
              <a16:creationId xmlns:a16="http://schemas.microsoft.com/office/drawing/2014/main" id="{79D6D151-E61F-4D3B-BDC7-3E41226DFDF1}"/>
            </a:ext>
          </a:extLst>
        </xdr:cNvPr>
        <xdr:cNvSpPr>
          <a:spLocks noChangeAspect="1"/>
        </xdr:cNvSpPr>
      </xdr:nvSpPr>
      <xdr:spPr>
        <a:xfrm>
          <a:off x="312876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96</xdr:row>
      <xdr:rowOff>64500</xdr:rowOff>
    </xdr:from>
    <xdr:to>
      <xdr:col>47</xdr:col>
      <xdr:colOff>45000</xdr:colOff>
      <xdr:row>97</xdr:row>
      <xdr:rowOff>37051</xdr:rowOff>
    </xdr:to>
    <xdr:sp macro="" textlink="">
      <xdr:nvSpPr>
        <xdr:cNvPr id="247447" name="フリーフォーム: 図形 247446">
          <a:extLst>
            <a:ext uri="{FF2B5EF4-FFF2-40B4-BE49-F238E27FC236}">
              <a16:creationId xmlns:a16="http://schemas.microsoft.com/office/drawing/2014/main" id="{CCFF6F61-4604-4C02-B025-534112415B1E}"/>
            </a:ext>
          </a:extLst>
        </xdr:cNvPr>
        <xdr:cNvSpPr>
          <a:spLocks noChangeAspect="1"/>
        </xdr:cNvSpPr>
      </xdr:nvSpPr>
      <xdr:spPr>
        <a:xfrm>
          <a:off x="318095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91</xdr:row>
      <xdr:rowOff>75750</xdr:rowOff>
    </xdr:from>
    <xdr:to>
      <xdr:col>45</xdr:col>
      <xdr:colOff>660603</xdr:colOff>
      <xdr:row>96</xdr:row>
      <xdr:rowOff>136501</xdr:rowOff>
    </xdr:to>
    <xdr:sp macro="" textlink="">
      <xdr:nvSpPr>
        <xdr:cNvPr id="247448" name="フリーフォーム: 図形 247447">
          <a:extLst>
            <a:ext uri="{FF2B5EF4-FFF2-40B4-BE49-F238E27FC236}">
              <a16:creationId xmlns:a16="http://schemas.microsoft.com/office/drawing/2014/main" id="{B89853C3-8A52-44B7-857B-BBDAFAA5958D}"/>
            </a:ext>
          </a:extLst>
        </xdr:cNvPr>
        <xdr:cNvSpPr>
          <a:spLocks noChangeAspect="1"/>
        </xdr:cNvSpPr>
      </xdr:nvSpPr>
      <xdr:spPr>
        <a:xfrm>
          <a:off x="312336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85</xdr:row>
      <xdr:rowOff>114450</xdr:rowOff>
    </xdr:from>
    <xdr:to>
      <xdr:col>46</xdr:col>
      <xdr:colOff>118800</xdr:colOff>
      <xdr:row>91</xdr:row>
      <xdr:rowOff>21752</xdr:rowOff>
    </xdr:to>
    <xdr:sp macro="" textlink="">
      <xdr:nvSpPr>
        <xdr:cNvPr id="247449" name="フリーフォーム: 図形 247448">
          <a:extLst>
            <a:ext uri="{FF2B5EF4-FFF2-40B4-BE49-F238E27FC236}">
              <a16:creationId xmlns:a16="http://schemas.microsoft.com/office/drawing/2014/main" id="{84A413B0-DAEC-4599-B820-F8AD809968DB}"/>
            </a:ext>
          </a:extLst>
        </xdr:cNvPr>
        <xdr:cNvSpPr>
          <a:spLocks noChangeAspect="1"/>
        </xdr:cNvSpPr>
      </xdr:nvSpPr>
      <xdr:spPr>
        <a:xfrm>
          <a:off x="314135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90</xdr:row>
      <xdr:rowOff>139199</xdr:rowOff>
    </xdr:from>
    <xdr:to>
      <xdr:col>46</xdr:col>
      <xdr:colOff>388802</xdr:colOff>
      <xdr:row>91</xdr:row>
      <xdr:rowOff>111751</xdr:rowOff>
    </xdr:to>
    <xdr:sp macro="" textlink="">
      <xdr:nvSpPr>
        <xdr:cNvPr id="247450" name="フリーフォーム: 図形 247449">
          <a:extLst>
            <a:ext uri="{FF2B5EF4-FFF2-40B4-BE49-F238E27FC236}">
              <a16:creationId xmlns:a16="http://schemas.microsoft.com/office/drawing/2014/main" id="{78D1DB64-E100-48E4-88B2-20C9C972B813}"/>
            </a:ext>
          </a:extLst>
        </xdr:cNvPr>
        <xdr:cNvSpPr>
          <a:spLocks noChangeAspect="1"/>
        </xdr:cNvSpPr>
      </xdr:nvSpPr>
      <xdr:spPr>
        <a:xfrm>
          <a:off x="314856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90</xdr:row>
      <xdr:rowOff>139199</xdr:rowOff>
    </xdr:from>
    <xdr:to>
      <xdr:col>47</xdr:col>
      <xdr:colOff>207002</xdr:colOff>
      <xdr:row>91</xdr:row>
      <xdr:rowOff>111751</xdr:rowOff>
    </xdr:to>
    <xdr:sp macro="" textlink="">
      <xdr:nvSpPr>
        <xdr:cNvPr id="247451" name="フリーフォーム: 図形 247450">
          <a:extLst>
            <a:ext uri="{FF2B5EF4-FFF2-40B4-BE49-F238E27FC236}">
              <a16:creationId xmlns:a16="http://schemas.microsoft.com/office/drawing/2014/main" id="{A817D389-D06C-48D8-91F8-DF1AA1D4BD3D}"/>
            </a:ext>
          </a:extLst>
        </xdr:cNvPr>
        <xdr:cNvSpPr>
          <a:spLocks noChangeAspect="1"/>
        </xdr:cNvSpPr>
      </xdr:nvSpPr>
      <xdr:spPr>
        <a:xfrm>
          <a:off x="319896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86</xdr:row>
      <xdr:rowOff>51000</xdr:rowOff>
    </xdr:from>
    <xdr:to>
      <xdr:col>46</xdr:col>
      <xdr:colOff>406801</xdr:colOff>
      <xdr:row>91</xdr:row>
      <xdr:rowOff>3751</xdr:rowOff>
    </xdr:to>
    <xdr:sp macro="" textlink="">
      <xdr:nvSpPr>
        <xdr:cNvPr id="247452" name="フリーフォーム: 図形 247451">
          <a:extLst>
            <a:ext uri="{FF2B5EF4-FFF2-40B4-BE49-F238E27FC236}">
              <a16:creationId xmlns:a16="http://schemas.microsoft.com/office/drawing/2014/main" id="{7D82AC1D-135A-45AB-BEEE-0F417F05723C}"/>
            </a:ext>
          </a:extLst>
        </xdr:cNvPr>
        <xdr:cNvSpPr>
          <a:spLocks noChangeAspect="1"/>
        </xdr:cNvSpPr>
      </xdr:nvSpPr>
      <xdr:spPr>
        <a:xfrm>
          <a:off x="316836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85</xdr:row>
      <xdr:rowOff>114450</xdr:rowOff>
    </xdr:from>
    <xdr:to>
      <xdr:col>46</xdr:col>
      <xdr:colOff>658801</xdr:colOff>
      <xdr:row>90</xdr:row>
      <xdr:rowOff>157201</xdr:rowOff>
    </xdr:to>
    <xdr:sp macro="" textlink="">
      <xdr:nvSpPr>
        <xdr:cNvPr id="247453" name="フリーフォーム: 図形 247452">
          <a:extLst>
            <a:ext uri="{FF2B5EF4-FFF2-40B4-BE49-F238E27FC236}">
              <a16:creationId xmlns:a16="http://schemas.microsoft.com/office/drawing/2014/main" id="{A7046CE8-5033-4DC6-8813-E326E288D951}"/>
            </a:ext>
          </a:extLst>
        </xdr:cNvPr>
        <xdr:cNvSpPr>
          <a:spLocks noChangeAspect="1"/>
        </xdr:cNvSpPr>
      </xdr:nvSpPr>
      <xdr:spPr>
        <a:xfrm>
          <a:off x="319536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86</xdr:row>
      <xdr:rowOff>69000</xdr:rowOff>
    </xdr:from>
    <xdr:to>
      <xdr:col>47</xdr:col>
      <xdr:colOff>297000</xdr:colOff>
      <xdr:row>91</xdr:row>
      <xdr:rowOff>3751</xdr:rowOff>
    </xdr:to>
    <xdr:sp macro="" textlink="">
      <xdr:nvSpPr>
        <xdr:cNvPr id="247454" name="フリーフォーム: 図形 247453">
          <a:extLst>
            <a:ext uri="{FF2B5EF4-FFF2-40B4-BE49-F238E27FC236}">
              <a16:creationId xmlns:a16="http://schemas.microsoft.com/office/drawing/2014/main" id="{61447694-EEFD-4FF9-9E77-68F679E09B6F}"/>
            </a:ext>
          </a:extLst>
        </xdr:cNvPr>
        <xdr:cNvSpPr>
          <a:spLocks noChangeAspect="1"/>
        </xdr:cNvSpPr>
      </xdr:nvSpPr>
      <xdr:spPr>
        <a:xfrm>
          <a:off x="320076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91</xdr:row>
      <xdr:rowOff>75750</xdr:rowOff>
    </xdr:from>
    <xdr:to>
      <xdr:col>47</xdr:col>
      <xdr:colOff>9002</xdr:colOff>
      <xdr:row>95</xdr:row>
      <xdr:rowOff>163951</xdr:rowOff>
    </xdr:to>
    <xdr:sp macro="" textlink="">
      <xdr:nvSpPr>
        <xdr:cNvPr id="247455" name="フリーフォーム: 図形 247454">
          <a:extLst>
            <a:ext uri="{FF2B5EF4-FFF2-40B4-BE49-F238E27FC236}">
              <a16:creationId xmlns:a16="http://schemas.microsoft.com/office/drawing/2014/main" id="{1EB90922-D280-4633-8F04-9279F7662518}"/>
            </a:ext>
          </a:extLst>
        </xdr:cNvPr>
        <xdr:cNvSpPr>
          <a:spLocks noChangeAspect="1"/>
        </xdr:cNvSpPr>
      </xdr:nvSpPr>
      <xdr:spPr>
        <a:xfrm>
          <a:off x="319715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91</xdr:row>
      <xdr:rowOff>93749</xdr:rowOff>
    </xdr:from>
    <xdr:to>
      <xdr:col>46</xdr:col>
      <xdr:colOff>424800</xdr:colOff>
      <xdr:row>96</xdr:row>
      <xdr:rowOff>118501</xdr:rowOff>
    </xdr:to>
    <xdr:sp macro="" textlink="">
      <xdr:nvSpPr>
        <xdr:cNvPr id="247456" name="フリーフォーム: 図形 247455">
          <a:extLst>
            <a:ext uri="{FF2B5EF4-FFF2-40B4-BE49-F238E27FC236}">
              <a16:creationId xmlns:a16="http://schemas.microsoft.com/office/drawing/2014/main" id="{3F5A5AFF-DE20-4BC9-ADAB-0B2FED08776B}"/>
            </a:ext>
          </a:extLst>
        </xdr:cNvPr>
        <xdr:cNvSpPr>
          <a:spLocks noChangeAspect="1"/>
        </xdr:cNvSpPr>
      </xdr:nvSpPr>
      <xdr:spPr>
        <a:xfrm>
          <a:off x="317376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91</xdr:row>
      <xdr:rowOff>75750</xdr:rowOff>
    </xdr:from>
    <xdr:to>
      <xdr:col>46</xdr:col>
      <xdr:colOff>388802</xdr:colOff>
      <xdr:row>96</xdr:row>
      <xdr:rowOff>10501</xdr:rowOff>
    </xdr:to>
    <xdr:sp macro="" textlink="">
      <xdr:nvSpPr>
        <xdr:cNvPr id="247457" name="フリーフォーム: 図形 247456">
          <a:extLst>
            <a:ext uri="{FF2B5EF4-FFF2-40B4-BE49-F238E27FC236}">
              <a16:creationId xmlns:a16="http://schemas.microsoft.com/office/drawing/2014/main" id="{DFF33A12-B22E-4568-94F1-A6E61E467E9A}"/>
            </a:ext>
          </a:extLst>
        </xdr:cNvPr>
        <xdr:cNvSpPr>
          <a:spLocks noChangeAspect="1"/>
        </xdr:cNvSpPr>
      </xdr:nvSpPr>
      <xdr:spPr>
        <a:xfrm>
          <a:off x="314135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85</xdr:row>
      <xdr:rowOff>42450</xdr:rowOff>
    </xdr:from>
    <xdr:to>
      <xdr:col>49</xdr:col>
      <xdr:colOff>322201</xdr:colOff>
      <xdr:row>86</xdr:row>
      <xdr:rowOff>15002</xdr:rowOff>
    </xdr:to>
    <xdr:sp macro="" textlink="">
      <xdr:nvSpPr>
        <xdr:cNvPr id="247458" name="フリーフォーム: 図形 247457">
          <a:extLst>
            <a:ext uri="{FF2B5EF4-FFF2-40B4-BE49-F238E27FC236}">
              <a16:creationId xmlns:a16="http://schemas.microsoft.com/office/drawing/2014/main" id="{E7346612-7FC7-4B1A-8E88-B1D7589CBF86}"/>
            </a:ext>
          </a:extLst>
        </xdr:cNvPr>
        <xdr:cNvSpPr>
          <a:spLocks noChangeAspect="1"/>
        </xdr:cNvSpPr>
      </xdr:nvSpPr>
      <xdr:spPr>
        <a:xfrm>
          <a:off x="334584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85</xdr:row>
      <xdr:rowOff>42450</xdr:rowOff>
    </xdr:from>
    <xdr:to>
      <xdr:col>50</xdr:col>
      <xdr:colOff>176400</xdr:colOff>
      <xdr:row>86</xdr:row>
      <xdr:rowOff>15002</xdr:rowOff>
    </xdr:to>
    <xdr:sp macro="" textlink="">
      <xdr:nvSpPr>
        <xdr:cNvPr id="247459" name="フリーフォーム: 図形 247458">
          <a:extLst>
            <a:ext uri="{FF2B5EF4-FFF2-40B4-BE49-F238E27FC236}">
              <a16:creationId xmlns:a16="http://schemas.microsoft.com/office/drawing/2014/main" id="{27776384-0F52-4646-9101-5B2631B09040}"/>
            </a:ext>
          </a:extLst>
        </xdr:cNvPr>
        <xdr:cNvSpPr>
          <a:spLocks noChangeAspect="1"/>
        </xdr:cNvSpPr>
      </xdr:nvSpPr>
      <xdr:spPr>
        <a:xfrm>
          <a:off x="339983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85</xdr:row>
      <xdr:rowOff>114450</xdr:rowOff>
    </xdr:from>
    <xdr:to>
      <xdr:col>50</xdr:col>
      <xdr:colOff>248401</xdr:colOff>
      <xdr:row>91</xdr:row>
      <xdr:rowOff>21752</xdr:rowOff>
    </xdr:to>
    <xdr:sp macro="" textlink="">
      <xdr:nvSpPr>
        <xdr:cNvPr id="247460" name="フリーフォーム: 図形 247459">
          <a:extLst>
            <a:ext uri="{FF2B5EF4-FFF2-40B4-BE49-F238E27FC236}">
              <a16:creationId xmlns:a16="http://schemas.microsoft.com/office/drawing/2014/main" id="{27CC390C-F092-4016-9602-C0CA16862E1C}"/>
            </a:ext>
          </a:extLst>
        </xdr:cNvPr>
        <xdr:cNvSpPr>
          <a:spLocks noChangeAspect="1"/>
        </xdr:cNvSpPr>
      </xdr:nvSpPr>
      <xdr:spPr>
        <a:xfrm>
          <a:off x="342503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91</xdr:row>
      <xdr:rowOff>75750</xdr:rowOff>
    </xdr:from>
    <xdr:to>
      <xdr:col>50</xdr:col>
      <xdr:colOff>68400</xdr:colOff>
      <xdr:row>96</xdr:row>
      <xdr:rowOff>136501</xdr:rowOff>
    </xdr:to>
    <xdr:sp macro="" textlink="">
      <xdr:nvSpPr>
        <xdr:cNvPr id="247461" name="フリーフォーム: 図形 247460">
          <a:extLst>
            <a:ext uri="{FF2B5EF4-FFF2-40B4-BE49-F238E27FC236}">
              <a16:creationId xmlns:a16="http://schemas.microsoft.com/office/drawing/2014/main" id="{1C990A6F-33E0-4124-8C62-41A64D3C53FB}"/>
            </a:ext>
          </a:extLst>
        </xdr:cNvPr>
        <xdr:cNvSpPr>
          <a:spLocks noChangeAspect="1"/>
        </xdr:cNvSpPr>
      </xdr:nvSpPr>
      <xdr:spPr>
        <a:xfrm>
          <a:off x="340704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96</xdr:row>
      <xdr:rowOff>64500</xdr:rowOff>
    </xdr:from>
    <xdr:to>
      <xdr:col>48</xdr:col>
      <xdr:colOff>684000</xdr:colOff>
      <xdr:row>97</xdr:row>
      <xdr:rowOff>37051</xdr:rowOff>
    </xdr:to>
    <xdr:sp macro="" textlink="">
      <xdr:nvSpPr>
        <xdr:cNvPr id="247462" name="フリーフォーム: 図形 247461">
          <a:extLst>
            <a:ext uri="{FF2B5EF4-FFF2-40B4-BE49-F238E27FC236}">
              <a16:creationId xmlns:a16="http://schemas.microsoft.com/office/drawing/2014/main" id="{9C3F25DC-02CA-4F46-B38A-C072E4E62674}"/>
            </a:ext>
          </a:extLst>
        </xdr:cNvPr>
        <xdr:cNvSpPr>
          <a:spLocks noChangeAspect="1"/>
        </xdr:cNvSpPr>
      </xdr:nvSpPr>
      <xdr:spPr>
        <a:xfrm>
          <a:off x="331164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96</xdr:row>
      <xdr:rowOff>64500</xdr:rowOff>
    </xdr:from>
    <xdr:to>
      <xdr:col>49</xdr:col>
      <xdr:colOff>502200</xdr:colOff>
      <xdr:row>97</xdr:row>
      <xdr:rowOff>37051</xdr:rowOff>
    </xdr:to>
    <xdr:sp macro="" textlink="">
      <xdr:nvSpPr>
        <xdr:cNvPr id="247463" name="フリーフォーム: 図形 247462">
          <a:extLst>
            <a:ext uri="{FF2B5EF4-FFF2-40B4-BE49-F238E27FC236}">
              <a16:creationId xmlns:a16="http://schemas.microsoft.com/office/drawing/2014/main" id="{63DB3E1E-4490-474E-957E-67278B9458C2}"/>
            </a:ext>
          </a:extLst>
        </xdr:cNvPr>
        <xdr:cNvSpPr>
          <a:spLocks noChangeAspect="1"/>
        </xdr:cNvSpPr>
      </xdr:nvSpPr>
      <xdr:spPr>
        <a:xfrm>
          <a:off x="336383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91</xdr:row>
      <xdr:rowOff>75750</xdr:rowOff>
    </xdr:from>
    <xdr:to>
      <xdr:col>48</xdr:col>
      <xdr:colOff>432003</xdr:colOff>
      <xdr:row>96</xdr:row>
      <xdr:rowOff>136501</xdr:rowOff>
    </xdr:to>
    <xdr:sp macro="" textlink="">
      <xdr:nvSpPr>
        <xdr:cNvPr id="247464" name="フリーフォーム: 図形 247463">
          <a:extLst>
            <a:ext uri="{FF2B5EF4-FFF2-40B4-BE49-F238E27FC236}">
              <a16:creationId xmlns:a16="http://schemas.microsoft.com/office/drawing/2014/main" id="{C17FFD6A-B569-40EB-82F9-43454D5FFBAD}"/>
            </a:ext>
          </a:extLst>
        </xdr:cNvPr>
        <xdr:cNvSpPr>
          <a:spLocks noChangeAspect="1"/>
        </xdr:cNvSpPr>
      </xdr:nvSpPr>
      <xdr:spPr>
        <a:xfrm>
          <a:off x="330624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85</xdr:row>
      <xdr:rowOff>114450</xdr:rowOff>
    </xdr:from>
    <xdr:to>
      <xdr:col>48</xdr:col>
      <xdr:colOff>576000</xdr:colOff>
      <xdr:row>91</xdr:row>
      <xdr:rowOff>21752</xdr:rowOff>
    </xdr:to>
    <xdr:sp macro="" textlink="">
      <xdr:nvSpPr>
        <xdr:cNvPr id="247465" name="フリーフォーム: 図形 247464">
          <a:extLst>
            <a:ext uri="{FF2B5EF4-FFF2-40B4-BE49-F238E27FC236}">
              <a16:creationId xmlns:a16="http://schemas.microsoft.com/office/drawing/2014/main" id="{2185CBDC-7B79-4858-9F1D-8B92B7E73C45}"/>
            </a:ext>
          </a:extLst>
        </xdr:cNvPr>
        <xdr:cNvSpPr>
          <a:spLocks noChangeAspect="1"/>
        </xdr:cNvSpPr>
      </xdr:nvSpPr>
      <xdr:spPr>
        <a:xfrm>
          <a:off x="332423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90</xdr:row>
      <xdr:rowOff>139199</xdr:rowOff>
    </xdr:from>
    <xdr:to>
      <xdr:col>49</xdr:col>
      <xdr:colOff>160202</xdr:colOff>
      <xdr:row>91</xdr:row>
      <xdr:rowOff>111751</xdr:rowOff>
    </xdr:to>
    <xdr:sp macro="" textlink="">
      <xdr:nvSpPr>
        <xdr:cNvPr id="247466" name="フリーフォーム: 図形 247465">
          <a:extLst>
            <a:ext uri="{FF2B5EF4-FFF2-40B4-BE49-F238E27FC236}">
              <a16:creationId xmlns:a16="http://schemas.microsoft.com/office/drawing/2014/main" id="{832EAA42-8069-461F-A59F-1B17B7CF94CB}"/>
            </a:ext>
          </a:extLst>
        </xdr:cNvPr>
        <xdr:cNvSpPr>
          <a:spLocks noChangeAspect="1"/>
        </xdr:cNvSpPr>
      </xdr:nvSpPr>
      <xdr:spPr>
        <a:xfrm>
          <a:off x="333144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90</xdr:row>
      <xdr:rowOff>139199</xdr:rowOff>
    </xdr:from>
    <xdr:to>
      <xdr:col>49</xdr:col>
      <xdr:colOff>664202</xdr:colOff>
      <xdr:row>91</xdr:row>
      <xdr:rowOff>111751</xdr:rowOff>
    </xdr:to>
    <xdr:sp macro="" textlink="">
      <xdr:nvSpPr>
        <xdr:cNvPr id="247467" name="フリーフォーム: 図形 247466">
          <a:extLst>
            <a:ext uri="{FF2B5EF4-FFF2-40B4-BE49-F238E27FC236}">
              <a16:creationId xmlns:a16="http://schemas.microsoft.com/office/drawing/2014/main" id="{318FC0A7-F20E-45CF-BB06-745D539DB7AD}"/>
            </a:ext>
          </a:extLst>
        </xdr:cNvPr>
        <xdr:cNvSpPr>
          <a:spLocks noChangeAspect="1"/>
        </xdr:cNvSpPr>
      </xdr:nvSpPr>
      <xdr:spPr>
        <a:xfrm>
          <a:off x="338184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86</xdr:row>
      <xdr:rowOff>51000</xdr:rowOff>
    </xdr:from>
    <xdr:to>
      <xdr:col>49</xdr:col>
      <xdr:colOff>178201</xdr:colOff>
      <xdr:row>91</xdr:row>
      <xdr:rowOff>3751</xdr:rowOff>
    </xdr:to>
    <xdr:sp macro="" textlink="">
      <xdr:nvSpPr>
        <xdr:cNvPr id="247468" name="フリーフォーム: 図形 247467">
          <a:extLst>
            <a:ext uri="{FF2B5EF4-FFF2-40B4-BE49-F238E27FC236}">
              <a16:creationId xmlns:a16="http://schemas.microsoft.com/office/drawing/2014/main" id="{AC75C5A2-9686-4593-9715-03CDCF68B9B0}"/>
            </a:ext>
          </a:extLst>
        </xdr:cNvPr>
        <xdr:cNvSpPr>
          <a:spLocks noChangeAspect="1"/>
        </xdr:cNvSpPr>
      </xdr:nvSpPr>
      <xdr:spPr>
        <a:xfrm>
          <a:off x="335124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85</xdr:row>
      <xdr:rowOff>114450</xdr:rowOff>
    </xdr:from>
    <xdr:to>
      <xdr:col>49</xdr:col>
      <xdr:colOff>430201</xdr:colOff>
      <xdr:row>90</xdr:row>
      <xdr:rowOff>157201</xdr:rowOff>
    </xdr:to>
    <xdr:sp macro="" textlink="">
      <xdr:nvSpPr>
        <xdr:cNvPr id="247469" name="フリーフォーム: 図形 247468">
          <a:extLst>
            <a:ext uri="{FF2B5EF4-FFF2-40B4-BE49-F238E27FC236}">
              <a16:creationId xmlns:a16="http://schemas.microsoft.com/office/drawing/2014/main" id="{5B465FE6-4193-4778-BDAE-21B3CBA7F6D7}"/>
            </a:ext>
          </a:extLst>
        </xdr:cNvPr>
        <xdr:cNvSpPr>
          <a:spLocks noChangeAspect="1"/>
        </xdr:cNvSpPr>
      </xdr:nvSpPr>
      <xdr:spPr>
        <a:xfrm>
          <a:off x="337824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86</xdr:row>
      <xdr:rowOff>69000</xdr:rowOff>
    </xdr:from>
    <xdr:to>
      <xdr:col>50</xdr:col>
      <xdr:colOff>68400</xdr:colOff>
      <xdr:row>91</xdr:row>
      <xdr:rowOff>3751</xdr:rowOff>
    </xdr:to>
    <xdr:sp macro="" textlink="">
      <xdr:nvSpPr>
        <xdr:cNvPr id="247470" name="フリーフォーム: 図形 247469">
          <a:extLst>
            <a:ext uri="{FF2B5EF4-FFF2-40B4-BE49-F238E27FC236}">
              <a16:creationId xmlns:a16="http://schemas.microsoft.com/office/drawing/2014/main" id="{2F51600A-B927-4C66-A24B-F520D48A96B3}"/>
            </a:ext>
          </a:extLst>
        </xdr:cNvPr>
        <xdr:cNvSpPr>
          <a:spLocks noChangeAspect="1"/>
        </xdr:cNvSpPr>
      </xdr:nvSpPr>
      <xdr:spPr>
        <a:xfrm>
          <a:off x="338364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91</xdr:row>
      <xdr:rowOff>75750</xdr:rowOff>
    </xdr:from>
    <xdr:to>
      <xdr:col>49</xdr:col>
      <xdr:colOff>466202</xdr:colOff>
      <xdr:row>95</xdr:row>
      <xdr:rowOff>163951</xdr:rowOff>
    </xdr:to>
    <xdr:sp macro="" textlink="">
      <xdr:nvSpPr>
        <xdr:cNvPr id="247471" name="フリーフォーム: 図形 247470">
          <a:extLst>
            <a:ext uri="{FF2B5EF4-FFF2-40B4-BE49-F238E27FC236}">
              <a16:creationId xmlns:a16="http://schemas.microsoft.com/office/drawing/2014/main" id="{1D3131B6-F429-49DC-BC2F-C6D4684E1D52}"/>
            </a:ext>
          </a:extLst>
        </xdr:cNvPr>
        <xdr:cNvSpPr>
          <a:spLocks noChangeAspect="1"/>
        </xdr:cNvSpPr>
      </xdr:nvSpPr>
      <xdr:spPr>
        <a:xfrm>
          <a:off x="338003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91</xdr:row>
      <xdr:rowOff>93749</xdr:rowOff>
    </xdr:from>
    <xdr:to>
      <xdr:col>49</xdr:col>
      <xdr:colOff>196200</xdr:colOff>
      <xdr:row>96</xdr:row>
      <xdr:rowOff>118501</xdr:rowOff>
    </xdr:to>
    <xdr:sp macro="" textlink="">
      <xdr:nvSpPr>
        <xdr:cNvPr id="247472" name="フリーフォーム: 図形 247471">
          <a:extLst>
            <a:ext uri="{FF2B5EF4-FFF2-40B4-BE49-F238E27FC236}">
              <a16:creationId xmlns:a16="http://schemas.microsoft.com/office/drawing/2014/main" id="{005E546C-55F6-448A-A945-45FF0D7BB630}"/>
            </a:ext>
          </a:extLst>
        </xdr:cNvPr>
        <xdr:cNvSpPr>
          <a:spLocks noChangeAspect="1"/>
        </xdr:cNvSpPr>
      </xdr:nvSpPr>
      <xdr:spPr>
        <a:xfrm>
          <a:off x="335664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91</xdr:row>
      <xdr:rowOff>75750</xdr:rowOff>
    </xdr:from>
    <xdr:to>
      <xdr:col>49</xdr:col>
      <xdr:colOff>160202</xdr:colOff>
      <xdr:row>96</xdr:row>
      <xdr:rowOff>10501</xdr:rowOff>
    </xdr:to>
    <xdr:sp macro="" textlink="">
      <xdr:nvSpPr>
        <xdr:cNvPr id="247473" name="フリーフォーム: 図形 247472">
          <a:extLst>
            <a:ext uri="{FF2B5EF4-FFF2-40B4-BE49-F238E27FC236}">
              <a16:creationId xmlns:a16="http://schemas.microsoft.com/office/drawing/2014/main" id="{2CDE23CC-D5D1-4E24-A0BA-24FA00C49C5B}"/>
            </a:ext>
          </a:extLst>
        </xdr:cNvPr>
        <xdr:cNvSpPr>
          <a:spLocks noChangeAspect="1"/>
        </xdr:cNvSpPr>
      </xdr:nvSpPr>
      <xdr:spPr>
        <a:xfrm>
          <a:off x="332423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85</xdr:row>
      <xdr:rowOff>42450</xdr:rowOff>
    </xdr:from>
    <xdr:to>
      <xdr:col>52</xdr:col>
      <xdr:colOff>93601</xdr:colOff>
      <xdr:row>86</xdr:row>
      <xdr:rowOff>15002</xdr:rowOff>
    </xdr:to>
    <xdr:sp macro="" textlink="">
      <xdr:nvSpPr>
        <xdr:cNvPr id="247474" name="フリーフォーム: 図形 247473">
          <a:extLst>
            <a:ext uri="{FF2B5EF4-FFF2-40B4-BE49-F238E27FC236}">
              <a16:creationId xmlns:a16="http://schemas.microsoft.com/office/drawing/2014/main" id="{EAA3245E-A1F0-4065-B974-35BEA72831C8}"/>
            </a:ext>
          </a:extLst>
        </xdr:cNvPr>
        <xdr:cNvSpPr>
          <a:spLocks noChangeAspect="1"/>
        </xdr:cNvSpPr>
      </xdr:nvSpPr>
      <xdr:spPr>
        <a:xfrm>
          <a:off x="352872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85</xdr:row>
      <xdr:rowOff>42450</xdr:rowOff>
    </xdr:from>
    <xdr:to>
      <xdr:col>52</xdr:col>
      <xdr:colOff>633600</xdr:colOff>
      <xdr:row>86</xdr:row>
      <xdr:rowOff>15002</xdr:rowOff>
    </xdr:to>
    <xdr:sp macro="" textlink="">
      <xdr:nvSpPr>
        <xdr:cNvPr id="247475" name="フリーフォーム: 図形 247474">
          <a:extLst>
            <a:ext uri="{FF2B5EF4-FFF2-40B4-BE49-F238E27FC236}">
              <a16:creationId xmlns:a16="http://schemas.microsoft.com/office/drawing/2014/main" id="{D7513540-1CAC-4FBF-AA2D-4A0C9F2A2B8D}"/>
            </a:ext>
          </a:extLst>
        </xdr:cNvPr>
        <xdr:cNvSpPr>
          <a:spLocks noChangeAspect="1"/>
        </xdr:cNvSpPr>
      </xdr:nvSpPr>
      <xdr:spPr>
        <a:xfrm>
          <a:off x="358271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85</xdr:row>
      <xdr:rowOff>114450</xdr:rowOff>
    </xdr:from>
    <xdr:to>
      <xdr:col>53</xdr:col>
      <xdr:colOff>19801</xdr:colOff>
      <xdr:row>91</xdr:row>
      <xdr:rowOff>21752</xdr:rowOff>
    </xdr:to>
    <xdr:sp macro="" textlink="">
      <xdr:nvSpPr>
        <xdr:cNvPr id="247476" name="フリーフォーム: 図形 247475">
          <a:extLst>
            <a:ext uri="{FF2B5EF4-FFF2-40B4-BE49-F238E27FC236}">
              <a16:creationId xmlns:a16="http://schemas.microsoft.com/office/drawing/2014/main" id="{53EABF0A-9A66-4797-82E7-1AC501086AF4}"/>
            </a:ext>
          </a:extLst>
        </xdr:cNvPr>
        <xdr:cNvSpPr>
          <a:spLocks noChangeAspect="1"/>
        </xdr:cNvSpPr>
      </xdr:nvSpPr>
      <xdr:spPr>
        <a:xfrm>
          <a:off x="360791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91</xdr:row>
      <xdr:rowOff>75750</xdr:rowOff>
    </xdr:from>
    <xdr:to>
      <xdr:col>52</xdr:col>
      <xdr:colOff>525600</xdr:colOff>
      <xdr:row>96</xdr:row>
      <xdr:rowOff>136501</xdr:rowOff>
    </xdr:to>
    <xdr:sp macro="" textlink="">
      <xdr:nvSpPr>
        <xdr:cNvPr id="247477" name="フリーフォーム: 図形 247476">
          <a:extLst>
            <a:ext uri="{FF2B5EF4-FFF2-40B4-BE49-F238E27FC236}">
              <a16:creationId xmlns:a16="http://schemas.microsoft.com/office/drawing/2014/main" id="{8052E38A-BE56-4758-BA6C-9040E68FC785}"/>
            </a:ext>
          </a:extLst>
        </xdr:cNvPr>
        <xdr:cNvSpPr>
          <a:spLocks noChangeAspect="1"/>
        </xdr:cNvSpPr>
      </xdr:nvSpPr>
      <xdr:spPr>
        <a:xfrm>
          <a:off x="358992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96</xdr:row>
      <xdr:rowOff>64500</xdr:rowOff>
    </xdr:from>
    <xdr:to>
      <xdr:col>51</xdr:col>
      <xdr:colOff>455400</xdr:colOff>
      <xdr:row>97</xdr:row>
      <xdr:rowOff>37051</xdr:rowOff>
    </xdr:to>
    <xdr:sp macro="" textlink="">
      <xdr:nvSpPr>
        <xdr:cNvPr id="247478" name="フリーフォーム: 図形 247477">
          <a:extLst>
            <a:ext uri="{FF2B5EF4-FFF2-40B4-BE49-F238E27FC236}">
              <a16:creationId xmlns:a16="http://schemas.microsoft.com/office/drawing/2014/main" id="{7A4442E7-C83B-4048-ADBB-A58A2BED5DA4}"/>
            </a:ext>
          </a:extLst>
        </xdr:cNvPr>
        <xdr:cNvSpPr>
          <a:spLocks noChangeAspect="1"/>
        </xdr:cNvSpPr>
      </xdr:nvSpPr>
      <xdr:spPr>
        <a:xfrm>
          <a:off x="349452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96</xdr:row>
      <xdr:rowOff>64500</xdr:rowOff>
    </xdr:from>
    <xdr:to>
      <xdr:col>52</xdr:col>
      <xdr:colOff>273600</xdr:colOff>
      <xdr:row>97</xdr:row>
      <xdr:rowOff>37051</xdr:rowOff>
    </xdr:to>
    <xdr:sp macro="" textlink="">
      <xdr:nvSpPr>
        <xdr:cNvPr id="247479" name="フリーフォーム: 図形 247478">
          <a:extLst>
            <a:ext uri="{FF2B5EF4-FFF2-40B4-BE49-F238E27FC236}">
              <a16:creationId xmlns:a16="http://schemas.microsoft.com/office/drawing/2014/main" id="{9B8B6FEB-31EC-4A4A-A265-9261E0C46C25}"/>
            </a:ext>
          </a:extLst>
        </xdr:cNvPr>
        <xdr:cNvSpPr>
          <a:spLocks noChangeAspect="1"/>
        </xdr:cNvSpPr>
      </xdr:nvSpPr>
      <xdr:spPr>
        <a:xfrm>
          <a:off x="354671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91</xdr:row>
      <xdr:rowOff>75750</xdr:rowOff>
    </xdr:from>
    <xdr:to>
      <xdr:col>51</xdr:col>
      <xdr:colOff>203403</xdr:colOff>
      <xdr:row>96</xdr:row>
      <xdr:rowOff>136501</xdr:rowOff>
    </xdr:to>
    <xdr:sp macro="" textlink="">
      <xdr:nvSpPr>
        <xdr:cNvPr id="247480" name="フリーフォーム: 図形 247479">
          <a:extLst>
            <a:ext uri="{FF2B5EF4-FFF2-40B4-BE49-F238E27FC236}">
              <a16:creationId xmlns:a16="http://schemas.microsoft.com/office/drawing/2014/main" id="{02CBC209-8034-4CFD-B749-98DD09FABB2A}"/>
            </a:ext>
          </a:extLst>
        </xdr:cNvPr>
        <xdr:cNvSpPr>
          <a:spLocks noChangeAspect="1"/>
        </xdr:cNvSpPr>
      </xdr:nvSpPr>
      <xdr:spPr>
        <a:xfrm>
          <a:off x="348912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85</xdr:row>
      <xdr:rowOff>114450</xdr:rowOff>
    </xdr:from>
    <xdr:to>
      <xdr:col>51</xdr:col>
      <xdr:colOff>347400</xdr:colOff>
      <xdr:row>91</xdr:row>
      <xdr:rowOff>21752</xdr:rowOff>
    </xdr:to>
    <xdr:sp macro="" textlink="">
      <xdr:nvSpPr>
        <xdr:cNvPr id="247481" name="フリーフォーム: 図形 247480">
          <a:extLst>
            <a:ext uri="{FF2B5EF4-FFF2-40B4-BE49-F238E27FC236}">
              <a16:creationId xmlns:a16="http://schemas.microsoft.com/office/drawing/2014/main" id="{0B96EC65-881E-4755-A01C-B0CD421CD97B}"/>
            </a:ext>
          </a:extLst>
        </xdr:cNvPr>
        <xdr:cNvSpPr>
          <a:spLocks noChangeAspect="1"/>
        </xdr:cNvSpPr>
      </xdr:nvSpPr>
      <xdr:spPr>
        <a:xfrm>
          <a:off x="350711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90</xdr:row>
      <xdr:rowOff>139199</xdr:rowOff>
    </xdr:from>
    <xdr:to>
      <xdr:col>51</xdr:col>
      <xdr:colOff>617402</xdr:colOff>
      <xdr:row>91</xdr:row>
      <xdr:rowOff>111751</xdr:rowOff>
    </xdr:to>
    <xdr:sp macro="" textlink="">
      <xdr:nvSpPr>
        <xdr:cNvPr id="247482" name="フリーフォーム: 図形 247481">
          <a:extLst>
            <a:ext uri="{FF2B5EF4-FFF2-40B4-BE49-F238E27FC236}">
              <a16:creationId xmlns:a16="http://schemas.microsoft.com/office/drawing/2014/main" id="{9DC41C0A-E53C-4A3A-9B0A-412AADA21606}"/>
            </a:ext>
          </a:extLst>
        </xdr:cNvPr>
        <xdr:cNvSpPr>
          <a:spLocks noChangeAspect="1"/>
        </xdr:cNvSpPr>
      </xdr:nvSpPr>
      <xdr:spPr>
        <a:xfrm>
          <a:off x="351432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90</xdr:row>
      <xdr:rowOff>139199</xdr:rowOff>
    </xdr:from>
    <xdr:to>
      <xdr:col>52</xdr:col>
      <xdr:colOff>435602</xdr:colOff>
      <xdr:row>91</xdr:row>
      <xdr:rowOff>111751</xdr:rowOff>
    </xdr:to>
    <xdr:sp macro="" textlink="">
      <xdr:nvSpPr>
        <xdr:cNvPr id="247483" name="フリーフォーム: 図形 247482">
          <a:extLst>
            <a:ext uri="{FF2B5EF4-FFF2-40B4-BE49-F238E27FC236}">
              <a16:creationId xmlns:a16="http://schemas.microsoft.com/office/drawing/2014/main" id="{22A27A64-B9D2-452D-B04F-BE0B03AFBF3A}"/>
            </a:ext>
          </a:extLst>
        </xdr:cNvPr>
        <xdr:cNvSpPr>
          <a:spLocks noChangeAspect="1"/>
        </xdr:cNvSpPr>
      </xdr:nvSpPr>
      <xdr:spPr>
        <a:xfrm>
          <a:off x="356472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86</xdr:row>
      <xdr:rowOff>51000</xdr:rowOff>
    </xdr:from>
    <xdr:to>
      <xdr:col>51</xdr:col>
      <xdr:colOff>635401</xdr:colOff>
      <xdr:row>91</xdr:row>
      <xdr:rowOff>3751</xdr:rowOff>
    </xdr:to>
    <xdr:sp macro="" textlink="">
      <xdr:nvSpPr>
        <xdr:cNvPr id="247484" name="フリーフォーム: 図形 247483">
          <a:extLst>
            <a:ext uri="{FF2B5EF4-FFF2-40B4-BE49-F238E27FC236}">
              <a16:creationId xmlns:a16="http://schemas.microsoft.com/office/drawing/2014/main" id="{0329BD42-BF70-4710-81AC-7B202D6DBA23}"/>
            </a:ext>
          </a:extLst>
        </xdr:cNvPr>
        <xdr:cNvSpPr>
          <a:spLocks noChangeAspect="1"/>
        </xdr:cNvSpPr>
      </xdr:nvSpPr>
      <xdr:spPr>
        <a:xfrm>
          <a:off x="353412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85</xdr:row>
      <xdr:rowOff>114450</xdr:rowOff>
    </xdr:from>
    <xdr:to>
      <xdr:col>52</xdr:col>
      <xdr:colOff>201601</xdr:colOff>
      <xdr:row>90</xdr:row>
      <xdr:rowOff>157201</xdr:rowOff>
    </xdr:to>
    <xdr:sp macro="" textlink="">
      <xdr:nvSpPr>
        <xdr:cNvPr id="247485" name="フリーフォーム: 図形 247484">
          <a:extLst>
            <a:ext uri="{FF2B5EF4-FFF2-40B4-BE49-F238E27FC236}">
              <a16:creationId xmlns:a16="http://schemas.microsoft.com/office/drawing/2014/main" id="{B7DF9454-BDE3-47DC-94D1-84A7890F0CAF}"/>
            </a:ext>
          </a:extLst>
        </xdr:cNvPr>
        <xdr:cNvSpPr>
          <a:spLocks noChangeAspect="1"/>
        </xdr:cNvSpPr>
      </xdr:nvSpPr>
      <xdr:spPr>
        <a:xfrm>
          <a:off x="356112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86</xdr:row>
      <xdr:rowOff>69000</xdr:rowOff>
    </xdr:from>
    <xdr:to>
      <xdr:col>52</xdr:col>
      <xdr:colOff>525600</xdr:colOff>
      <xdr:row>91</xdr:row>
      <xdr:rowOff>3751</xdr:rowOff>
    </xdr:to>
    <xdr:sp macro="" textlink="">
      <xdr:nvSpPr>
        <xdr:cNvPr id="247486" name="フリーフォーム: 図形 247485">
          <a:extLst>
            <a:ext uri="{FF2B5EF4-FFF2-40B4-BE49-F238E27FC236}">
              <a16:creationId xmlns:a16="http://schemas.microsoft.com/office/drawing/2014/main" id="{89514B4D-98FE-479A-AE17-F81ADAF0C6D8}"/>
            </a:ext>
          </a:extLst>
        </xdr:cNvPr>
        <xdr:cNvSpPr>
          <a:spLocks noChangeAspect="1"/>
        </xdr:cNvSpPr>
      </xdr:nvSpPr>
      <xdr:spPr>
        <a:xfrm>
          <a:off x="356652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91</xdr:row>
      <xdr:rowOff>75750</xdr:rowOff>
    </xdr:from>
    <xdr:to>
      <xdr:col>52</xdr:col>
      <xdr:colOff>237602</xdr:colOff>
      <xdr:row>95</xdr:row>
      <xdr:rowOff>163951</xdr:rowOff>
    </xdr:to>
    <xdr:sp macro="" textlink="">
      <xdr:nvSpPr>
        <xdr:cNvPr id="247487" name="フリーフォーム: 図形 247486">
          <a:extLst>
            <a:ext uri="{FF2B5EF4-FFF2-40B4-BE49-F238E27FC236}">
              <a16:creationId xmlns:a16="http://schemas.microsoft.com/office/drawing/2014/main" id="{F960031B-D1D1-4A41-8991-4CB0BD455758}"/>
            </a:ext>
          </a:extLst>
        </xdr:cNvPr>
        <xdr:cNvSpPr>
          <a:spLocks noChangeAspect="1"/>
        </xdr:cNvSpPr>
      </xdr:nvSpPr>
      <xdr:spPr>
        <a:xfrm>
          <a:off x="356291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91</xdr:row>
      <xdr:rowOff>93749</xdr:rowOff>
    </xdr:from>
    <xdr:to>
      <xdr:col>51</xdr:col>
      <xdr:colOff>653400</xdr:colOff>
      <xdr:row>96</xdr:row>
      <xdr:rowOff>118501</xdr:rowOff>
    </xdr:to>
    <xdr:sp macro="" textlink="">
      <xdr:nvSpPr>
        <xdr:cNvPr id="247488" name="フリーフォーム: 図形 247487">
          <a:extLst>
            <a:ext uri="{FF2B5EF4-FFF2-40B4-BE49-F238E27FC236}">
              <a16:creationId xmlns:a16="http://schemas.microsoft.com/office/drawing/2014/main" id="{E05DB503-35F1-416C-9501-CA11BA66A1FE}"/>
            </a:ext>
          </a:extLst>
        </xdr:cNvPr>
        <xdr:cNvSpPr>
          <a:spLocks noChangeAspect="1"/>
        </xdr:cNvSpPr>
      </xdr:nvSpPr>
      <xdr:spPr>
        <a:xfrm>
          <a:off x="353952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91</xdr:row>
      <xdr:rowOff>75750</xdr:rowOff>
    </xdr:from>
    <xdr:to>
      <xdr:col>51</xdr:col>
      <xdr:colOff>617402</xdr:colOff>
      <xdr:row>96</xdr:row>
      <xdr:rowOff>10501</xdr:rowOff>
    </xdr:to>
    <xdr:sp macro="" textlink="">
      <xdr:nvSpPr>
        <xdr:cNvPr id="247489" name="フリーフォーム: 図形 247488">
          <a:extLst>
            <a:ext uri="{FF2B5EF4-FFF2-40B4-BE49-F238E27FC236}">
              <a16:creationId xmlns:a16="http://schemas.microsoft.com/office/drawing/2014/main" id="{7AF6C7B0-0BF0-4F73-8D6A-EE713F33E0D0}"/>
            </a:ext>
          </a:extLst>
        </xdr:cNvPr>
        <xdr:cNvSpPr>
          <a:spLocks noChangeAspect="1"/>
        </xdr:cNvSpPr>
      </xdr:nvSpPr>
      <xdr:spPr>
        <a:xfrm>
          <a:off x="350711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85</xdr:row>
      <xdr:rowOff>42450</xdr:rowOff>
    </xdr:from>
    <xdr:to>
      <xdr:col>54</xdr:col>
      <xdr:colOff>550801</xdr:colOff>
      <xdr:row>86</xdr:row>
      <xdr:rowOff>15002</xdr:rowOff>
    </xdr:to>
    <xdr:sp macro="" textlink="">
      <xdr:nvSpPr>
        <xdr:cNvPr id="247490" name="フリーフォーム: 図形 247489">
          <a:extLst>
            <a:ext uri="{FF2B5EF4-FFF2-40B4-BE49-F238E27FC236}">
              <a16:creationId xmlns:a16="http://schemas.microsoft.com/office/drawing/2014/main" id="{CB3E29A6-B4CD-4AAC-883A-E131317208E1}"/>
            </a:ext>
          </a:extLst>
        </xdr:cNvPr>
        <xdr:cNvSpPr>
          <a:spLocks noChangeAspect="1"/>
        </xdr:cNvSpPr>
      </xdr:nvSpPr>
      <xdr:spPr>
        <a:xfrm>
          <a:off x="371160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85</xdr:row>
      <xdr:rowOff>42450</xdr:rowOff>
    </xdr:from>
    <xdr:to>
      <xdr:col>55</xdr:col>
      <xdr:colOff>405000</xdr:colOff>
      <xdr:row>86</xdr:row>
      <xdr:rowOff>15002</xdr:rowOff>
    </xdr:to>
    <xdr:sp macro="" textlink="">
      <xdr:nvSpPr>
        <xdr:cNvPr id="247491" name="フリーフォーム: 図形 247490">
          <a:extLst>
            <a:ext uri="{FF2B5EF4-FFF2-40B4-BE49-F238E27FC236}">
              <a16:creationId xmlns:a16="http://schemas.microsoft.com/office/drawing/2014/main" id="{656CB5F9-C276-4DE9-A35E-997DF953264E}"/>
            </a:ext>
          </a:extLst>
        </xdr:cNvPr>
        <xdr:cNvSpPr>
          <a:spLocks noChangeAspect="1"/>
        </xdr:cNvSpPr>
      </xdr:nvSpPr>
      <xdr:spPr>
        <a:xfrm>
          <a:off x="376559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85</xdr:row>
      <xdr:rowOff>114450</xdr:rowOff>
    </xdr:from>
    <xdr:to>
      <xdr:col>55</xdr:col>
      <xdr:colOff>477001</xdr:colOff>
      <xdr:row>91</xdr:row>
      <xdr:rowOff>21752</xdr:rowOff>
    </xdr:to>
    <xdr:sp macro="" textlink="">
      <xdr:nvSpPr>
        <xdr:cNvPr id="247492" name="フリーフォーム: 図形 247491">
          <a:extLst>
            <a:ext uri="{FF2B5EF4-FFF2-40B4-BE49-F238E27FC236}">
              <a16:creationId xmlns:a16="http://schemas.microsoft.com/office/drawing/2014/main" id="{8ED841DD-EC41-4B7C-A33C-DBA75F1B30E7}"/>
            </a:ext>
          </a:extLst>
        </xdr:cNvPr>
        <xdr:cNvSpPr>
          <a:spLocks noChangeAspect="1"/>
        </xdr:cNvSpPr>
      </xdr:nvSpPr>
      <xdr:spPr>
        <a:xfrm>
          <a:off x="379079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91</xdr:row>
      <xdr:rowOff>75750</xdr:rowOff>
    </xdr:from>
    <xdr:to>
      <xdr:col>55</xdr:col>
      <xdr:colOff>297000</xdr:colOff>
      <xdr:row>96</xdr:row>
      <xdr:rowOff>136501</xdr:rowOff>
    </xdr:to>
    <xdr:sp macro="" textlink="">
      <xdr:nvSpPr>
        <xdr:cNvPr id="247493" name="フリーフォーム: 図形 247492">
          <a:extLst>
            <a:ext uri="{FF2B5EF4-FFF2-40B4-BE49-F238E27FC236}">
              <a16:creationId xmlns:a16="http://schemas.microsoft.com/office/drawing/2014/main" id="{6AB5302F-4E74-423A-9289-1F2BF4437F7C}"/>
            </a:ext>
          </a:extLst>
        </xdr:cNvPr>
        <xdr:cNvSpPr>
          <a:spLocks noChangeAspect="1"/>
        </xdr:cNvSpPr>
      </xdr:nvSpPr>
      <xdr:spPr>
        <a:xfrm>
          <a:off x="377280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96</xdr:row>
      <xdr:rowOff>64500</xdr:rowOff>
    </xdr:from>
    <xdr:to>
      <xdr:col>54</xdr:col>
      <xdr:colOff>226800</xdr:colOff>
      <xdr:row>97</xdr:row>
      <xdr:rowOff>37051</xdr:rowOff>
    </xdr:to>
    <xdr:sp macro="" textlink="">
      <xdr:nvSpPr>
        <xdr:cNvPr id="247494" name="フリーフォーム: 図形 247493">
          <a:extLst>
            <a:ext uri="{FF2B5EF4-FFF2-40B4-BE49-F238E27FC236}">
              <a16:creationId xmlns:a16="http://schemas.microsoft.com/office/drawing/2014/main" id="{A91E88AD-31E6-4CD7-A124-21CF9E5D17F8}"/>
            </a:ext>
          </a:extLst>
        </xdr:cNvPr>
        <xdr:cNvSpPr>
          <a:spLocks noChangeAspect="1"/>
        </xdr:cNvSpPr>
      </xdr:nvSpPr>
      <xdr:spPr>
        <a:xfrm>
          <a:off x="367740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96</xdr:row>
      <xdr:rowOff>64500</xdr:rowOff>
    </xdr:from>
    <xdr:to>
      <xdr:col>55</xdr:col>
      <xdr:colOff>45000</xdr:colOff>
      <xdr:row>97</xdr:row>
      <xdr:rowOff>37051</xdr:rowOff>
    </xdr:to>
    <xdr:sp macro="" textlink="">
      <xdr:nvSpPr>
        <xdr:cNvPr id="247495" name="フリーフォーム: 図形 247494">
          <a:extLst>
            <a:ext uri="{FF2B5EF4-FFF2-40B4-BE49-F238E27FC236}">
              <a16:creationId xmlns:a16="http://schemas.microsoft.com/office/drawing/2014/main" id="{7470C0E0-F94A-4686-8760-CE98BD0F1A62}"/>
            </a:ext>
          </a:extLst>
        </xdr:cNvPr>
        <xdr:cNvSpPr>
          <a:spLocks noChangeAspect="1"/>
        </xdr:cNvSpPr>
      </xdr:nvSpPr>
      <xdr:spPr>
        <a:xfrm>
          <a:off x="372959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91</xdr:row>
      <xdr:rowOff>75750</xdr:rowOff>
    </xdr:from>
    <xdr:to>
      <xdr:col>53</xdr:col>
      <xdr:colOff>660603</xdr:colOff>
      <xdr:row>96</xdr:row>
      <xdr:rowOff>136501</xdr:rowOff>
    </xdr:to>
    <xdr:sp macro="" textlink="">
      <xdr:nvSpPr>
        <xdr:cNvPr id="247496" name="フリーフォーム: 図形 247495">
          <a:extLst>
            <a:ext uri="{FF2B5EF4-FFF2-40B4-BE49-F238E27FC236}">
              <a16:creationId xmlns:a16="http://schemas.microsoft.com/office/drawing/2014/main" id="{58EF7C95-9D05-4604-ABE4-D19AD87C1C75}"/>
            </a:ext>
          </a:extLst>
        </xdr:cNvPr>
        <xdr:cNvSpPr>
          <a:spLocks noChangeAspect="1"/>
        </xdr:cNvSpPr>
      </xdr:nvSpPr>
      <xdr:spPr>
        <a:xfrm>
          <a:off x="367200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85</xdr:row>
      <xdr:rowOff>114450</xdr:rowOff>
    </xdr:from>
    <xdr:to>
      <xdr:col>54</xdr:col>
      <xdr:colOff>118800</xdr:colOff>
      <xdr:row>91</xdr:row>
      <xdr:rowOff>21752</xdr:rowOff>
    </xdr:to>
    <xdr:sp macro="" textlink="">
      <xdr:nvSpPr>
        <xdr:cNvPr id="247497" name="フリーフォーム: 図形 247496">
          <a:extLst>
            <a:ext uri="{FF2B5EF4-FFF2-40B4-BE49-F238E27FC236}">
              <a16:creationId xmlns:a16="http://schemas.microsoft.com/office/drawing/2014/main" id="{73AF3A20-7994-4984-8E78-F22520C3235C}"/>
            </a:ext>
          </a:extLst>
        </xdr:cNvPr>
        <xdr:cNvSpPr>
          <a:spLocks noChangeAspect="1"/>
        </xdr:cNvSpPr>
      </xdr:nvSpPr>
      <xdr:spPr>
        <a:xfrm>
          <a:off x="368999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90</xdr:row>
      <xdr:rowOff>139199</xdr:rowOff>
    </xdr:from>
    <xdr:to>
      <xdr:col>54</xdr:col>
      <xdr:colOff>388802</xdr:colOff>
      <xdr:row>91</xdr:row>
      <xdr:rowOff>111751</xdr:rowOff>
    </xdr:to>
    <xdr:sp macro="" textlink="">
      <xdr:nvSpPr>
        <xdr:cNvPr id="247498" name="フリーフォーム: 図形 247497">
          <a:extLst>
            <a:ext uri="{FF2B5EF4-FFF2-40B4-BE49-F238E27FC236}">
              <a16:creationId xmlns:a16="http://schemas.microsoft.com/office/drawing/2014/main" id="{7678915D-E1ED-4394-877C-028EBF2A3B24}"/>
            </a:ext>
          </a:extLst>
        </xdr:cNvPr>
        <xdr:cNvSpPr>
          <a:spLocks noChangeAspect="1"/>
        </xdr:cNvSpPr>
      </xdr:nvSpPr>
      <xdr:spPr>
        <a:xfrm>
          <a:off x="369720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90</xdr:row>
      <xdr:rowOff>139199</xdr:rowOff>
    </xdr:from>
    <xdr:to>
      <xdr:col>55</xdr:col>
      <xdr:colOff>207002</xdr:colOff>
      <xdr:row>91</xdr:row>
      <xdr:rowOff>111751</xdr:rowOff>
    </xdr:to>
    <xdr:sp macro="" textlink="">
      <xdr:nvSpPr>
        <xdr:cNvPr id="247499" name="フリーフォーム: 図形 247498">
          <a:extLst>
            <a:ext uri="{FF2B5EF4-FFF2-40B4-BE49-F238E27FC236}">
              <a16:creationId xmlns:a16="http://schemas.microsoft.com/office/drawing/2014/main" id="{89270AAA-3A1A-4695-9AAE-6B2FDDD2E4EE}"/>
            </a:ext>
          </a:extLst>
        </xdr:cNvPr>
        <xdr:cNvSpPr>
          <a:spLocks noChangeAspect="1"/>
        </xdr:cNvSpPr>
      </xdr:nvSpPr>
      <xdr:spPr>
        <a:xfrm>
          <a:off x="374760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86</xdr:row>
      <xdr:rowOff>51000</xdr:rowOff>
    </xdr:from>
    <xdr:to>
      <xdr:col>54</xdr:col>
      <xdr:colOff>406801</xdr:colOff>
      <xdr:row>91</xdr:row>
      <xdr:rowOff>3751</xdr:rowOff>
    </xdr:to>
    <xdr:sp macro="" textlink="">
      <xdr:nvSpPr>
        <xdr:cNvPr id="247500" name="フリーフォーム: 図形 247499">
          <a:extLst>
            <a:ext uri="{FF2B5EF4-FFF2-40B4-BE49-F238E27FC236}">
              <a16:creationId xmlns:a16="http://schemas.microsoft.com/office/drawing/2014/main" id="{DEAA1969-BE49-434B-A3F4-7C8E89810B7B}"/>
            </a:ext>
          </a:extLst>
        </xdr:cNvPr>
        <xdr:cNvSpPr>
          <a:spLocks noChangeAspect="1"/>
        </xdr:cNvSpPr>
      </xdr:nvSpPr>
      <xdr:spPr>
        <a:xfrm>
          <a:off x="371700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85</xdr:row>
      <xdr:rowOff>114450</xdr:rowOff>
    </xdr:from>
    <xdr:to>
      <xdr:col>54</xdr:col>
      <xdr:colOff>658801</xdr:colOff>
      <xdr:row>90</xdr:row>
      <xdr:rowOff>157201</xdr:rowOff>
    </xdr:to>
    <xdr:sp macro="" textlink="">
      <xdr:nvSpPr>
        <xdr:cNvPr id="247501" name="フリーフォーム: 図形 247500">
          <a:extLst>
            <a:ext uri="{FF2B5EF4-FFF2-40B4-BE49-F238E27FC236}">
              <a16:creationId xmlns:a16="http://schemas.microsoft.com/office/drawing/2014/main" id="{C1CA4487-86D4-4DA0-986E-1601A4534AD6}"/>
            </a:ext>
          </a:extLst>
        </xdr:cNvPr>
        <xdr:cNvSpPr>
          <a:spLocks noChangeAspect="1"/>
        </xdr:cNvSpPr>
      </xdr:nvSpPr>
      <xdr:spPr>
        <a:xfrm>
          <a:off x="374400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86</xdr:row>
      <xdr:rowOff>69000</xdr:rowOff>
    </xdr:from>
    <xdr:to>
      <xdr:col>55</xdr:col>
      <xdr:colOff>297000</xdr:colOff>
      <xdr:row>91</xdr:row>
      <xdr:rowOff>3751</xdr:rowOff>
    </xdr:to>
    <xdr:sp macro="" textlink="">
      <xdr:nvSpPr>
        <xdr:cNvPr id="247502" name="フリーフォーム: 図形 247501">
          <a:extLst>
            <a:ext uri="{FF2B5EF4-FFF2-40B4-BE49-F238E27FC236}">
              <a16:creationId xmlns:a16="http://schemas.microsoft.com/office/drawing/2014/main" id="{537106C3-97BA-4A73-BE90-D0D543DFF513}"/>
            </a:ext>
          </a:extLst>
        </xdr:cNvPr>
        <xdr:cNvSpPr>
          <a:spLocks noChangeAspect="1"/>
        </xdr:cNvSpPr>
      </xdr:nvSpPr>
      <xdr:spPr>
        <a:xfrm>
          <a:off x="374940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91</xdr:row>
      <xdr:rowOff>75750</xdr:rowOff>
    </xdr:from>
    <xdr:to>
      <xdr:col>55</xdr:col>
      <xdr:colOff>9002</xdr:colOff>
      <xdr:row>95</xdr:row>
      <xdr:rowOff>163951</xdr:rowOff>
    </xdr:to>
    <xdr:sp macro="" textlink="">
      <xdr:nvSpPr>
        <xdr:cNvPr id="247503" name="フリーフォーム: 図形 247502">
          <a:extLst>
            <a:ext uri="{FF2B5EF4-FFF2-40B4-BE49-F238E27FC236}">
              <a16:creationId xmlns:a16="http://schemas.microsoft.com/office/drawing/2014/main" id="{62D26253-0DFC-408D-8CF0-50FA932BB763}"/>
            </a:ext>
          </a:extLst>
        </xdr:cNvPr>
        <xdr:cNvSpPr>
          <a:spLocks noChangeAspect="1"/>
        </xdr:cNvSpPr>
      </xdr:nvSpPr>
      <xdr:spPr>
        <a:xfrm>
          <a:off x="374579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91</xdr:row>
      <xdr:rowOff>93749</xdr:rowOff>
    </xdr:from>
    <xdr:to>
      <xdr:col>54</xdr:col>
      <xdr:colOff>424800</xdr:colOff>
      <xdr:row>96</xdr:row>
      <xdr:rowOff>118501</xdr:rowOff>
    </xdr:to>
    <xdr:sp macro="" textlink="">
      <xdr:nvSpPr>
        <xdr:cNvPr id="247504" name="フリーフォーム: 図形 247503">
          <a:extLst>
            <a:ext uri="{FF2B5EF4-FFF2-40B4-BE49-F238E27FC236}">
              <a16:creationId xmlns:a16="http://schemas.microsoft.com/office/drawing/2014/main" id="{A1EDBEA0-E23D-4A87-A3E6-89DE1D7C9B97}"/>
            </a:ext>
          </a:extLst>
        </xdr:cNvPr>
        <xdr:cNvSpPr>
          <a:spLocks noChangeAspect="1"/>
        </xdr:cNvSpPr>
      </xdr:nvSpPr>
      <xdr:spPr>
        <a:xfrm>
          <a:off x="372240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91</xdr:row>
      <xdr:rowOff>75750</xdr:rowOff>
    </xdr:from>
    <xdr:to>
      <xdr:col>54</xdr:col>
      <xdr:colOff>388802</xdr:colOff>
      <xdr:row>96</xdr:row>
      <xdr:rowOff>10501</xdr:rowOff>
    </xdr:to>
    <xdr:sp macro="" textlink="">
      <xdr:nvSpPr>
        <xdr:cNvPr id="247505" name="フリーフォーム: 図形 247504">
          <a:extLst>
            <a:ext uri="{FF2B5EF4-FFF2-40B4-BE49-F238E27FC236}">
              <a16:creationId xmlns:a16="http://schemas.microsoft.com/office/drawing/2014/main" id="{CD8A4335-C0C7-47A1-97F4-B1A90979A062}"/>
            </a:ext>
          </a:extLst>
        </xdr:cNvPr>
        <xdr:cNvSpPr>
          <a:spLocks noChangeAspect="1"/>
        </xdr:cNvSpPr>
      </xdr:nvSpPr>
      <xdr:spPr>
        <a:xfrm>
          <a:off x="368999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85</xdr:row>
      <xdr:rowOff>42450</xdr:rowOff>
    </xdr:from>
    <xdr:to>
      <xdr:col>57</xdr:col>
      <xdr:colOff>322201</xdr:colOff>
      <xdr:row>86</xdr:row>
      <xdr:rowOff>15002</xdr:rowOff>
    </xdr:to>
    <xdr:sp macro="" textlink="">
      <xdr:nvSpPr>
        <xdr:cNvPr id="247506" name="フリーフォーム: 図形 247505">
          <a:extLst>
            <a:ext uri="{FF2B5EF4-FFF2-40B4-BE49-F238E27FC236}">
              <a16:creationId xmlns:a16="http://schemas.microsoft.com/office/drawing/2014/main" id="{8B379958-89DA-45B6-9601-64F69CEBB091}"/>
            </a:ext>
          </a:extLst>
        </xdr:cNvPr>
        <xdr:cNvSpPr>
          <a:spLocks noChangeAspect="1"/>
        </xdr:cNvSpPr>
      </xdr:nvSpPr>
      <xdr:spPr>
        <a:xfrm>
          <a:off x="389448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85</xdr:row>
      <xdr:rowOff>42450</xdr:rowOff>
    </xdr:from>
    <xdr:to>
      <xdr:col>58</xdr:col>
      <xdr:colOff>176400</xdr:colOff>
      <xdr:row>86</xdr:row>
      <xdr:rowOff>15002</xdr:rowOff>
    </xdr:to>
    <xdr:sp macro="" textlink="">
      <xdr:nvSpPr>
        <xdr:cNvPr id="247507" name="フリーフォーム: 図形 247506">
          <a:extLst>
            <a:ext uri="{FF2B5EF4-FFF2-40B4-BE49-F238E27FC236}">
              <a16:creationId xmlns:a16="http://schemas.microsoft.com/office/drawing/2014/main" id="{84C905A7-B81E-4FA2-B842-244870C47B12}"/>
            </a:ext>
          </a:extLst>
        </xdr:cNvPr>
        <xdr:cNvSpPr>
          <a:spLocks noChangeAspect="1"/>
        </xdr:cNvSpPr>
      </xdr:nvSpPr>
      <xdr:spPr>
        <a:xfrm>
          <a:off x="394847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85</xdr:row>
      <xdr:rowOff>114450</xdr:rowOff>
    </xdr:from>
    <xdr:to>
      <xdr:col>58</xdr:col>
      <xdr:colOff>248401</xdr:colOff>
      <xdr:row>91</xdr:row>
      <xdr:rowOff>21752</xdr:rowOff>
    </xdr:to>
    <xdr:sp macro="" textlink="">
      <xdr:nvSpPr>
        <xdr:cNvPr id="247508" name="フリーフォーム: 図形 247507">
          <a:extLst>
            <a:ext uri="{FF2B5EF4-FFF2-40B4-BE49-F238E27FC236}">
              <a16:creationId xmlns:a16="http://schemas.microsoft.com/office/drawing/2014/main" id="{518E2DDD-079F-41D6-8FAD-892AE26A4A1E}"/>
            </a:ext>
          </a:extLst>
        </xdr:cNvPr>
        <xdr:cNvSpPr>
          <a:spLocks noChangeAspect="1"/>
        </xdr:cNvSpPr>
      </xdr:nvSpPr>
      <xdr:spPr>
        <a:xfrm>
          <a:off x="397367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91</xdr:row>
      <xdr:rowOff>75750</xdr:rowOff>
    </xdr:from>
    <xdr:to>
      <xdr:col>58</xdr:col>
      <xdr:colOff>68400</xdr:colOff>
      <xdr:row>96</xdr:row>
      <xdr:rowOff>136501</xdr:rowOff>
    </xdr:to>
    <xdr:sp macro="" textlink="">
      <xdr:nvSpPr>
        <xdr:cNvPr id="247509" name="フリーフォーム: 図形 247508">
          <a:extLst>
            <a:ext uri="{FF2B5EF4-FFF2-40B4-BE49-F238E27FC236}">
              <a16:creationId xmlns:a16="http://schemas.microsoft.com/office/drawing/2014/main" id="{D24E671F-0B8F-40B2-A61A-5A86F6AFF9B2}"/>
            </a:ext>
          </a:extLst>
        </xdr:cNvPr>
        <xdr:cNvSpPr>
          <a:spLocks noChangeAspect="1"/>
        </xdr:cNvSpPr>
      </xdr:nvSpPr>
      <xdr:spPr>
        <a:xfrm>
          <a:off x="395568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96</xdr:row>
      <xdr:rowOff>64500</xdr:rowOff>
    </xdr:from>
    <xdr:to>
      <xdr:col>56</xdr:col>
      <xdr:colOff>684000</xdr:colOff>
      <xdr:row>97</xdr:row>
      <xdr:rowOff>37051</xdr:rowOff>
    </xdr:to>
    <xdr:sp macro="" textlink="">
      <xdr:nvSpPr>
        <xdr:cNvPr id="247510" name="フリーフォーム: 図形 247509">
          <a:extLst>
            <a:ext uri="{FF2B5EF4-FFF2-40B4-BE49-F238E27FC236}">
              <a16:creationId xmlns:a16="http://schemas.microsoft.com/office/drawing/2014/main" id="{7530B3F4-4DC4-4CB5-A57A-E6ED39D70A09}"/>
            </a:ext>
          </a:extLst>
        </xdr:cNvPr>
        <xdr:cNvSpPr>
          <a:spLocks noChangeAspect="1"/>
        </xdr:cNvSpPr>
      </xdr:nvSpPr>
      <xdr:spPr>
        <a:xfrm>
          <a:off x="386028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96</xdr:row>
      <xdr:rowOff>64500</xdr:rowOff>
    </xdr:from>
    <xdr:to>
      <xdr:col>57</xdr:col>
      <xdr:colOff>502200</xdr:colOff>
      <xdr:row>97</xdr:row>
      <xdr:rowOff>37051</xdr:rowOff>
    </xdr:to>
    <xdr:sp macro="" textlink="">
      <xdr:nvSpPr>
        <xdr:cNvPr id="247511" name="フリーフォーム: 図形 247510">
          <a:extLst>
            <a:ext uri="{FF2B5EF4-FFF2-40B4-BE49-F238E27FC236}">
              <a16:creationId xmlns:a16="http://schemas.microsoft.com/office/drawing/2014/main" id="{26C7AB29-C7F9-4954-95A8-062EFF4A636B}"/>
            </a:ext>
          </a:extLst>
        </xdr:cNvPr>
        <xdr:cNvSpPr>
          <a:spLocks noChangeAspect="1"/>
        </xdr:cNvSpPr>
      </xdr:nvSpPr>
      <xdr:spPr>
        <a:xfrm>
          <a:off x="391247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91</xdr:row>
      <xdr:rowOff>75750</xdr:rowOff>
    </xdr:from>
    <xdr:to>
      <xdr:col>56</xdr:col>
      <xdr:colOff>432003</xdr:colOff>
      <xdr:row>96</xdr:row>
      <xdr:rowOff>136501</xdr:rowOff>
    </xdr:to>
    <xdr:sp macro="" textlink="">
      <xdr:nvSpPr>
        <xdr:cNvPr id="247512" name="フリーフォーム: 図形 247511">
          <a:extLst>
            <a:ext uri="{FF2B5EF4-FFF2-40B4-BE49-F238E27FC236}">
              <a16:creationId xmlns:a16="http://schemas.microsoft.com/office/drawing/2014/main" id="{9ADD0B5E-BF0B-475A-BEA5-3A48C4916687}"/>
            </a:ext>
          </a:extLst>
        </xdr:cNvPr>
        <xdr:cNvSpPr>
          <a:spLocks noChangeAspect="1"/>
        </xdr:cNvSpPr>
      </xdr:nvSpPr>
      <xdr:spPr>
        <a:xfrm>
          <a:off x="385488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85</xdr:row>
      <xdr:rowOff>114450</xdr:rowOff>
    </xdr:from>
    <xdr:to>
      <xdr:col>56</xdr:col>
      <xdr:colOff>576000</xdr:colOff>
      <xdr:row>91</xdr:row>
      <xdr:rowOff>21752</xdr:rowOff>
    </xdr:to>
    <xdr:sp macro="" textlink="">
      <xdr:nvSpPr>
        <xdr:cNvPr id="247513" name="フリーフォーム: 図形 247512">
          <a:extLst>
            <a:ext uri="{FF2B5EF4-FFF2-40B4-BE49-F238E27FC236}">
              <a16:creationId xmlns:a16="http://schemas.microsoft.com/office/drawing/2014/main" id="{691D3FC9-8C77-495A-9EFB-39BD97D71582}"/>
            </a:ext>
          </a:extLst>
        </xdr:cNvPr>
        <xdr:cNvSpPr>
          <a:spLocks noChangeAspect="1"/>
        </xdr:cNvSpPr>
      </xdr:nvSpPr>
      <xdr:spPr>
        <a:xfrm>
          <a:off x="387287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90</xdr:row>
      <xdr:rowOff>139199</xdr:rowOff>
    </xdr:from>
    <xdr:to>
      <xdr:col>57</xdr:col>
      <xdr:colOff>160202</xdr:colOff>
      <xdr:row>91</xdr:row>
      <xdr:rowOff>111751</xdr:rowOff>
    </xdr:to>
    <xdr:sp macro="" textlink="">
      <xdr:nvSpPr>
        <xdr:cNvPr id="247514" name="フリーフォーム: 図形 247513">
          <a:extLst>
            <a:ext uri="{FF2B5EF4-FFF2-40B4-BE49-F238E27FC236}">
              <a16:creationId xmlns:a16="http://schemas.microsoft.com/office/drawing/2014/main" id="{E947311C-CAEA-40F1-BCF6-3D3398C20025}"/>
            </a:ext>
          </a:extLst>
        </xdr:cNvPr>
        <xdr:cNvSpPr>
          <a:spLocks noChangeAspect="1"/>
        </xdr:cNvSpPr>
      </xdr:nvSpPr>
      <xdr:spPr>
        <a:xfrm>
          <a:off x="388008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90</xdr:row>
      <xdr:rowOff>139199</xdr:rowOff>
    </xdr:from>
    <xdr:to>
      <xdr:col>57</xdr:col>
      <xdr:colOff>664202</xdr:colOff>
      <xdr:row>91</xdr:row>
      <xdr:rowOff>111751</xdr:rowOff>
    </xdr:to>
    <xdr:sp macro="" textlink="">
      <xdr:nvSpPr>
        <xdr:cNvPr id="247515" name="フリーフォーム: 図形 247514">
          <a:extLst>
            <a:ext uri="{FF2B5EF4-FFF2-40B4-BE49-F238E27FC236}">
              <a16:creationId xmlns:a16="http://schemas.microsoft.com/office/drawing/2014/main" id="{7FC86701-F652-4860-9003-55266F65D256}"/>
            </a:ext>
          </a:extLst>
        </xdr:cNvPr>
        <xdr:cNvSpPr>
          <a:spLocks noChangeAspect="1"/>
        </xdr:cNvSpPr>
      </xdr:nvSpPr>
      <xdr:spPr>
        <a:xfrm>
          <a:off x="393048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86</xdr:row>
      <xdr:rowOff>51000</xdr:rowOff>
    </xdr:from>
    <xdr:to>
      <xdr:col>57</xdr:col>
      <xdr:colOff>178201</xdr:colOff>
      <xdr:row>91</xdr:row>
      <xdr:rowOff>3751</xdr:rowOff>
    </xdr:to>
    <xdr:sp macro="" textlink="">
      <xdr:nvSpPr>
        <xdr:cNvPr id="247516" name="フリーフォーム: 図形 247515">
          <a:extLst>
            <a:ext uri="{FF2B5EF4-FFF2-40B4-BE49-F238E27FC236}">
              <a16:creationId xmlns:a16="http://schemas.microsoft.com/office/drawing/2014/main" id="{FC38A251-FAF9-470F-BBDB-FFDEC14F730C}"/>
            </a:ext>
          </a:extLst>
        </xdr:cNvPr>
        <xdr:cNvSpPr>
          <a:spLocks noChangeAspect="1"/>
        </xdr:cNvSpPr>
      </xdr:nvSpPr>
      <xdr:spPr>
        <a:xfrm>
          <a:off x="389988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85</xdr:row>
      <xdr:rowOff>114450</xdr:rowOff>
    </xdr:from>
    <xdr:to>
      <xdr:col>57</xdr:col>
      <xdr:colOff>430201</xdr:colOff>
      <xdr:row>90</xdr:row>
      <xdr:rowOff>157201</xdr:rowOff>
    </xdr:to>
    <xdr:sp macro="" textlink="">
      <xdr:nvSpPr>
        <xdr:cNvPr id="247517" name="フリーフォーム: 図形 247516">
          <a:extLst>
            <a:ext uri="{FF2B5EF4-FFF2-40B4-BE49-F238E27FC236}">
              <a16:creationId xmlns:a16="http://schemas.microsoft.com/office/drawing/2014/main" id="{DC0ED170-B721-4FD3-BFA8-F6AC4205F19E}"/>
            </a:ext>
          </a:extLst>
        </xdr:cNvPr>
        <xdr:cNvSpPr>
          <a:spLocks noChangeAspect="1"/>
        </xdr:cNvSpPr>
      </xdr:nvSpPr>
      <xdr:spPr>
        <a:xfrm>
          <a:off x="392688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86</xdr:row>
      <xdr:rowOff>69000</xdr:rowOff>
    </xdr:from>
    <xdr:to>
      <xdr:col>58</xdr:col>
      <xdr:colOff>68400</xdr:colOff>
      <xdr:row>91</xdr:row>
      <xdr:rowOff>3751</xdr:rowOff>
    </xdr:to>
    <xdr:sp macro="" textlink="">
      <xdr:nvSpPr>
        <xdr:cNvPr id="247518" name="フリーフォーム: 図形 247517">
          <a:extLst>
            <a:ext uri="{FF2B5EF4-FFF2-40B4-BE49-F238E27FC236}">
              <a16:creationId xmlns:a16="http://schemas.microsoft.com/office/drawing/2014/main" id="{43CF8BD6-F2CE-4EC7-98E7-272AF2C7FF9F}"/>
            </a:ext>
          </a:extLst>
        </xdr:cNvPr>
        <xdr:cNvSpPr>
          <a:spLocks noChangeAspect="1"/>
        </xdr:cNvSpPr>
      </xdr:nvSpPr>
      <xdr:spPr>
        <a:xfrm>
          <a:off x="393228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91</xdr:row>
      <xdr:rowOff>75750</xdr:rowOff>
    </xdr:from>
    <xdr:to>
      <xdr:col>57</xdr:col>
      <xdr:colOff>466202</xdr:colOff>
      <xdr:row>95</xdr:row>
      <xdr:rowOff>163951</xdr:rowOff>
    </xdr:to>
    <xdr:sp macro="" textlink="">
      <xdr:nvSpPr>
        <xdr:cNvPr id="247519" name="フリーフォーム: 図形 247518">
          <a:extLst>
            <a:ext uri="{FF2B5EF4-FFF2-40B4-BE49-F238E27FC236}">
              <a16:creationId xmlns:a16="http://schemas.microsoft.com/office/drawing/2014/main" id="{5669BDFD-0AA7-4D8F-8FC4-B97C4C617BDF}"/>
            </a:ext>
          </a:extLst>
        </xdr:cNvPr>
        <xdr:cNvSpPr>
          <a:spLocks noChangeAspect="1"/>
        </xdr:cNvSpPr>
      </xdr:nvSpPr>
      <xdr:spPr>
        <a:xfrm>
          <a:off x="392867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91</xdr:row>
      <xdr:rowOff>93749</xdr:rowOff>
    </xdr:from>
    <xdr:to>
      <xdr:col>57</xdr:col>
      <xdr:colOff>196200</xdr:colOff>
      <xdr:row>96</xdr:row>
      <xdr:rowOff>118501</xdr:rowOff>
    </xdr:to>
    <xdr:sp macro="" textlink="">
      <xdr:nvSpPr>
        <xdr:cNvPr id="247520" name="フリーフォーム: 図形 247519">
          <a:extLst>
            <a:ext uri="{FF2B5EF4-FFF2-40B4-BE49-F238E27FC236}">
              <a16:creationId xmlns:a16="http://schemas.microsoft.com/office/drawing/2014/main" id="{627F2543-FA7F-4DAC-9A86-C0C66908B71B}"/>
            </a:ext>
          </a:extLst>
        </xdr:cNvPr>
        <xdr:cNvSpPr>
          <a:spLocks noChangeAspect="1"/>
        </xdr:cNvSpPr>
      </xdr:nvSpPr>
      <xdr:spPr>
        <a:xfrm>
          <a:off x="390528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91</xdr:row>
      <xdr:rowOff>75750</xdr:rowOff>
    </xdr:from>
    <xdr:to>
      <xdr:col>57</xdr:col>
      <xdr:colOff>160202</xdr:colOff>
      <xdr:row>96</xdr:row>
      <xdr:rowOff>10501</xdr:rowOff>
    </xdr:to>
    <xdr:sp macro="" textlink="">
      <xdr:nvSpPr>
        <xdr:cNvPr id="247521" name="フリーフォーム: 図形 247520">
          <a:extLst>
            <a:ext uri="{FF2B5EF4-FFF2-40B4-BE49-F238E27FC236}">
              <a16:creationId xmlns:a16="http://schemas.microsoft.com/office/drawing/2014/main" id="{3F3E18EF-9EC9-4606-96FC-D613BDDCAF80}"/>
            </a:ext>
          </a:extLst>
        </xdr:cNvPr>
        <xdr:cNvSpPr>
          <a:spLocks noChangeAspect="1"/>
        </xdr:cNvSpPr>
      </xdr:nvSpPr>
      <xdr:spPr>
        <a:xfrm>
          <a:off x="387287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85</xdr:row>
      <xdr:rowOff>42450</xdr:rowOff>
    </xdr:from>
    <xdr:to>
      <xdr:col>60</xdr:col>
      <xdr:colOff>93601</xdr:colOff>
      <xdr:row>86</xdr:row>
      <xdr:rowOff>15002</xdr:rowOff>
    </xdr:to>
    <xdr:sp macro="" textlink="">
      <xdr:nvSpPr>
        <xdr:cNvPr id="247522" name="フリーフォーム: 図形 247521">
          <a:extLst>
            <a:ext uri="{FF2B5EF4-FFF2-40B4-BE49-F238E27FC236}">
              <a16:creationId xmlns:a16="http://schemas.microsoft.com/office/drawing/2014/main" id="{2DBFFF4E-0D3D-4323-A3DB-D81909ECD7D5}"/>
            </a:ext>
          </a:extLst>
        </xdr:cNvPr>
        <xdr:cNvSpPr>
          <a:spLocks noChangeAspect="1"/>
        </xdr:cNvSpPr>
      </xdr:nvSpPr>
      <xdr:spPr>
        <a:xfrm>
          <a:off x="407736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85</xdr:row>
      <xdr:rowOff>42450</xdr:rowOff>
    </xdr:from>
    <xdr:to>
      <xdr:col>60</xdr:col>
      <xdr:colOff>633600</xdr:colOff>
      <xdr:row>86</xdr:row>
      <xdr:rowOff>15002</xdr:rowOff>
    </xdr:to>
    <xdr:sp macro="" textlink="">
      <xdr:nvSpPr>
        <xdr:cNvPr id="247523" name="フリーフォーム: 図形 247522">
          <a:extLst>
            <a:ext uri="{FF2B5EF4-FFF2-40B4-BE49-F238E27FC236}">
              <a16:creationId xmlns:a16="http://schemas.microsoft.com/office/drawing/2014/main" id="{D9E88F9C-F166-43DE-932B-F7AB01447529}"/>
            </a:ext>
          </a:extLst>
        </xdr:cNvPr>
        <xdr:cNvSpPr>
          <a:spLocks noChangeAspect="1"/>
        </xdr:cNvSpPr>
      </xdr:nvSpPr>
      <xdr:spPr>
        <a:xfrm>
          <a:off x="413135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85</xdr:row>
      <xdr:rowOff>114450</xdr:rowOff>
    </xdr:from>
    <xdr:to>
      <xdr:col>61</xdr:col>
      <xdr:colOff>19801</xdr:colOff>
      <xdr:row>91</xdr:row>
      <xdr:rowOff>21752</xdr:rowOff>
    </xdr:to>
    <xdr:sp macro="" textlink="">
      <xdr:nvSpPr>
        <xdr:cNvPr id="247524" name="フリーフォーム: 図形 247523">
          <a:extLst>
            <a:ext uri="{FF2B5EF4-FFF2-40B4-BE49-F238E27FC236}">
              <a16:creationId xmlns:a16="http://schemas.microsoft.com/office/drawing/2014/main" id="{C58BE548-013F-449F-866C-46DFB20C0593}"/>
            </a:ext>
          </a:extLst>
        </xdr:cNvPr>
        <xdr:cNvSpPr>
          <a:spLocks noChangeAspect="1"/>
        </xdr:cNvSpPr>
      </xdr:nvSpPr>
      <xdr:spPr>
        <a:xfrm>
          <a:off x="415655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91</xdr:row>
      <xdr:rowOff>75750</xdr:rowOff>
    </xdr:from>
    <xdr:to>
      <xdr:col>60</xdr:col>
      <xdr:colOff>525600</xdr:colOff>
      <xdr:row>96</xdr:row>
      <xdr:rowOff>136501</xdr:rowOff>
    </xdr:to>
    <xdr:sp macro="" textlink="">
      <xdr:nvSpPr>
        <xdr:cNvPr id="247525" name="フリーフォーム: 図形 247524">
          <a:extLst>
            <a:ext uri="{FF2B5EF4-FFF2-40B4-BE49-F238E27FC236}">
              <a16:creationId xmlns:a16="http://schemas.microsoft.com/office/drawing/2014/main" id="{A787D185-6B51-46C8-ACEC-359907445E65}"/>
            </a:ext>
          </a:extLst>
        </xdr:cNvPr>
        <xdr:cNvSpPr>
          <a:spLocks noChangeAspect="1"/>
        </xdr:cNvSpPr>
      </xdr:nvSpPr>
      <xdr:spPr>
        <a:xfrm>
          <a:off x="413856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96</xdr:row>
      <xdr:rowOff>64500</xdr:rowOff>
    </xdr:from>
    <xdr:to>
      <xdr:col>59</xdr:col>
      <xdr:colOff>455400</xdr:colOff>
      <xdr:row>97</xdr:row>
      <xdr:rowOff>37051</xdr:rowOff>
    </xdr:to>
    <xdr:sp macro="" textlink="">
      <xdr:nvSpPr>
        <xdr:cNvPr id="247526" name="フリーフォーム: 図形 247525">
          <a:extLst>
            <a:ext uri="{FF2B5EF4-FFF2-40B4-BE49-F238E27FC236}">
              <a16:creationId xmlns:a16="http://schemas.microsoft.com/office/drawing/2014/main" id="{06825589-BA61-4EEE-B92E-6F2831BDF434}"/>
            </a:ext>
          </a:extLst>
        </xdr:cNvPr>
        <xdr:cNvSpPr>
          <a:spLocks noChangeAspect="1"/>
        </xdr:cNvSpPr>
      </xdr:nvSpPr>
      <xdr:spPr>
        <a:xfrm>
          <a:off x="404316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96</xdr:row>
      <xdr:rowOff>64500</xdr:rowOff>
    </xdr:from>
    <xdr:to>
      <xdr:col>60</xdr:col>
      <xdr:colOff>273600</xdr:colOff>
      <xdr:row>97</xdr:row>
      <xdr:rowOff>37051</xdr:rowOff>
    </xdr:to>
    <xdr:sp macro="" textlink="">
      <xdr:nvSpPr>
        <xdr:cNvPr id="247527" name="フリーフォーム: 図形 247526">
          <a:extLst>
            <a:ext uri="{FF2B5EF4-FFF2-40B4-BE49-F238E27FC236}">
              <a16:creationId xmlns:a16="http://schemas.microsoft.com/office/drawing/2014/main" id="{DA57BF2C-5DB5-412E-A0CB-B391A3EFB500}"/>
            </a:ext>
          </a:extLst>
        </xdr:cNvPr>
        <xdr:cNvSpPr>
          <a:spLocks noChangeAspect="1"/>
        </xdr:cNvSpPr>
      </xdr:nvSpPr>
      <xdr:spPr>
        <a:xfrm>
          <a:off x="409535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91</xdr:row>
      <xdr:rowOff>75750</xdr:rowOff>
    </xdr:from>
    <xdr:to>
      <xdr:col>59</xdr:col>
      <xdr:colOff>203403</xdr:colOff>
      <xdr:row>96</xdr:row>
      <xdr:rowOff>136501</xdr:rowOff>
    </xdr:to>
    <xdr:sp macro="" textlink="">
      <xdr:nvSpPr>
        <xdr:cNvPr id="247528" name="フリーフォーム: 図形 247527">
          <a:extLst>
            <a:ext uri="{FF2B5EF4-FFF2-40B4-BE49-F238E27FC236}">
              <a16:creationId xmlns:a16="http://schemas.microsoft.com/office/drawing/2014/main" id="{DBEB82E9-40D1-4715-A605-CA29CB22DA9E}"/>
            </a:ext>
          </a:extLst>
        </xdr:cNvPr>
        <xdr:cNvSpPr>
          <a:spLocks noChangeAspect="1"/>
        </xdr:cNvSpPr>
      </xdr:nvSpPr>
      <xdr:spPr>
        <a:xfrm>
          <a:off x="403776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85</xdr:row>
      <xdr:rowOff>114450</xdr:rowOff>
    </xdr:from>
    <xdr:to>
      <xdr:col>59</xdr:col>
      <xdr:colOff>347400</xdr:colOff>
      <xdr:row>91</xdr:row>
      <xdr:rowOff>21752</xdr:rowOff>
    </xdr:to>
    <xdr:sp macro="" textlink="">
      <xdr:nvSpPr>
        <xdr:cNvPr id="247529" name="フリーフォーム: 図形 247528">
          <a:extLst>
            <a:ext uri="{FF2B5EF4-FFF2-40B4-BE49-F238E27FC236}">
              <a16:creationId xmlns:a16="http://schemas.microsoft.com/office/drawing/2014/main" id="{2DA11ABC-2F48-49C3-9A1A-E6EE57AB2E3A}"/>
            </a:ext>
          </a:extLst>
        </xdr:cNvPr>
        <xdr:cNvSpPr>
          <a:spLocks noChangeAspect="1"/>
        </xdr:cNvSpPr>
      </xdr:nvSpPr>
      <xdr:spPr>
        <a:xfrm>
          <a:off x="405575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90</xdr:row>
      <xdr:rowOff>139199</xdr:rowOff>
    </xdr:from>
    <xdr:to>
      <xdr:col>59</xdr:col>
      <xdr:colOff>617402</xdr:colOff>
      <xdr:row>91</xdr:row>
      <xdr:rowOff>111751</xdr:rowOff>
    </xdr:to>
    <xdr:sp macro="" textlink="">
      <xdr:nvSpPr>
        <xdr:cNvPr id="247530" name="フリーフォーム: 図形 247529">
          <a:extLst>
            <a:ext uri="{FF2B5EF4-FFF2-40B4-BE49-F238E27FC236}">
              <a16:creationId xmlns:a16="http://schemas.microsoft.com/office/drawing/2014/main" id="{321E878D-AD4F-487C-AD47-37549A9F0CC1}"/>
            </a:ext>
          </a:extLst>
        </xdr:cNvPr>
        <xdr:cNvSpPr>
          <a:spLocks noChangeAspect="1"/>
        </xdr:cNvSpPr>
      </xdr:nvSpPr>
      <xdr:spPr>
        <a:xfrm>
          <a:off x="406296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90</xdr:row>
      <xdr:rowOff>139199</xdr:rowOff>
    </xdr:from>
    <xdr:to>
      <xdr:col>60</xdr:col>
      <xdr:colOff>435602</xdr:colOff>
      <xdr:row>91</xdr:row>
      <xdr:rowOff>111751</xdr:rowOff>
    </xdr:to>
    <xdr:sp macro="" textlink="">
      <xdr:nvSpPr>
        <xdr:cNvPr id="247531" name="フリーフォーム: 図形 247530">
          <a:extLst>
            <a:ext uri="{FF2B5EF4-FFF2-40B4-BE49-F238E27FC236}">
              <a16:creationId xmlns:a16="http://schemas.microsoft.com/office/drawing/2014/main" id="{711B0445-CEA3-43EF-9278-627C2167B4DC}"/>
            </a:ext>
          </a:extLst>
        </xdr:cNvPr>
        <xdr:cNvSpPr>
          <a:spLocks noChangeAspect="1"/>
        </xdr:cNvSpPr>
      </xdr:nvSpPr>
      <xdr:spPr>
        <a:xfrm>
          <a:off x="411336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86</xdr:row>
      <xdr:rowOff>51000</xdr:rowOff>
    </xdr:from>
    <xdr:to>
      <xdr:col>59</xdr:col>
      <xdr:colOff>635401</xdr:colOff>
      <xdr:row>91</xdr:row>
      <xdr:rowOff>3751</xdr:rowOff>
    </xdr:to>
    <xdr:sp macro="" textlink="">
      <xdr:nvSpPr>
        <xdr:cNvPr id="247532" name="フリーフォーム: 図形 247531">
          <a:extLst>
            <a:ext uri="{FF2B5EF4-FFF2-40B4-BE49-F238E27FC236}">
              <a16:creationId xmlns:a16="http://schemas.microsoft.com/office/drawing/2014/main" id="{E35D6093-39A1-43BF-B6A9-16FBBB9A6C0C}"/>
            </a:ext>
          </a:extLst>
        </xdr:cNvPr>
        <xdr:cNvSpPr>
          <a:spLocks noChangeAspect="1"/>
        </xdr:cNvSpPr>
      </xdr:nvSpPr>
      <xdr:spPr>
        <a:xfrm>
          <a:off x="408276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85</xdr:row>
      <xdr:rowOff>114450</xdr:rowOff>
    </xdr:from>
    <xdr:to>
      <xdr:col>60</xdr:col>
      <xdr:colOff>201601</xdr:colOff>
      <xdr:row>90</xdr:row>
      <xdr:rowOff>157201</xdr:rowOff>
    </xdr:to>
    <xdr:sp macro="" textlink="">
      <xdr:nvSpPr>
        <xdr:cNvPr id="247533" name="フリーフォーム: 図形 247532">
          <a:extLst>
            <a:ext uri="{FF2B5EF4-FFF2-40B4-BE49-F238E27FC236}">
              <a16:creationId xmlns:a16="http://schemas.microsoft.com/office/drawing/2014/main" id="{7FA1E092-543C-41F7-AC20-1DF0248E161C}"/>
            </a:ext>
          </a:extLst>
        </xdr:cNvPr>
        <xdr:cNvSpPr>
          <a:spLocks noChangeAspect="1"/>
        </xdr:cNvSpPr>
      </xdr:nvSpPr>
      <xdr:spPr>
        <a:xfrm>
          <a:off x="410976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86</xdr:row>
      <xdr:rowOff>69000</xdr:rowOff>
    </xdr:from>
    <xdr:to>
      <xdr:col>60</xdr:col>
      <xdr:colOff>525600</xdr:colOff>
      <xdr:row>91</xdr:row>
      <xdr:rowOff>3751</xdr:rowOff>
    </xdr:to>
    <xdr:sp macro="" textlink="">
      <xdr:nvSpPr>
        <xdr:cNvPr id="247534" name="フリーフォーム: 図形 247533">
          <a:extLst>
            <a:ext uri="{FF2B5EF4-FFF2-40B4-BE49-F238E27FC236}">
              <a16:creationId xmlns:a16="http://schemas.microsoft.com/office/drawing/2014/main" id="{D245F74B-79E8-410A-BE7E-E6C856908F7B}"/>
            </a:ext>
          </a:extLst>
        </xdr:cNvPr>
        <xdr:cNvSpPr>
          <a:spLocks noChangeAspect="1"/>
        </xdr:cNvSpPr>
      </xdr:nvSpPr>
      <xdr:spPr>
        <a:xfrm>
          <a:off x="411516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91</xdr:row>
      <xdr:rowOff>75750</xdr:rowOff>
    </xdr:from>
    <xdr:to>
      <xdr:col>60</xdr:col>
      <xdr:colOff>237602</xdr:colOff>
      <xdr:row>95</xdr:row>
      <xdr:rowOff>163951</xdr:rowOff>
    </xdr:to>
    <xdr:sp macro="" textlink="">
      <xdr:nvSpPr>
        <xdr:cNvPr id="247535" name="フリーフォーム: 図形 247534">
          <a:extLst>
            <a:ext uri="{FF2B5EF4-FFF2-40B4-BE49-F238E27FC236}">
              <a16:creationId xmlns:a16="http://schemas.microsoft.com/office/drawing/2014/main" id="{642370F4-041F-4334-8EB5-F6258EB14C14}"/>
            </a:ext>
          </a:extLst>
        </xdr:cNvPr>
        <xdr:cNvSpPr>
          <a:spLocks noChangeAspect="1"/>
        </xdr:cNvSpPr>
      </xdr:nvSpPr>
      <xdr:spPr>
        <a:xfrm>
          <a:off x="411155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91</xdr:row>
      <xdr:rowOff>93749</xdr:rowOff>
    </xdr:from>
    <xdr:to>
      <xdr:col>59</xdr:col>
      <xdr:colOff>653400</xdr:colOff>
      <xdr:row>96</xdr:row>
      <xdr:rowOff>118501</xdr:rowOff>
    </xdr:to>
    <xdr:sp macro="" textlink="">
      <xdr:nvSpPr>
        <xdr:cNvPr id="247536" name="フリーフォーム: 図形 247535">
          <a:extLst>
            <a:ext uri="{FF2B5EF4-FFF2-40B4-BE49-F238E27FC236}">
              <a16:creationId xmlns:a16="http://schemas.microsoft.com/office/drawing/2014/main" id="{16AD0270-F9D5-4F0C-BE09-808422BD8F91}"/>
            </a:ext>
          </a:extLst>
        </xdr:cNvPr>
        <xdr:cNvSpPr>
          <a:spLocks noChangeAspect="1"/>
        </xdr:cNvSpPr>
      </xdr:nvSpPr>
      <xdr:spPr>
        <a:xfrm>
          <a:off x="408816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91</xdr:row>
      <xdr:rowOff>75750</xdr:rowOff>
    </xdr:from>
    <xdr:to>
      <xdr:col>59</xdr:col>
      <xdr:colOff>617402</xdr:colOff>
      <xdr:row>96</xdr:row>
      <xdr:rowOff>10501</xdr:rowOff>
    </xdr:to>
    <xdr:sp macro="" textlink="">
      <xdr:nvSpPr>
        <xdr:cNvPr id="247537" name="フリーフォーム: 図形 247536">
          <a:extLst>
            <a:ext uri="{FF2B5EF4-FFF2-40B4-BE49-F238E27FC236}">
              <a16:creationId xmlns:a16="http://schemas.microsoft.com/office/drawing/2014/main" id="{A47BAA6A-AC6F-474B-B11C-EB075D83AACF}"/>
            </a:ext>
          </a:extLst>
        </xdr:cNvPr>
        <xdr:cNvSpPr>
          <a:spLocks noChangeAspect="1"/>
        </xdr:cNvSpPr>
      </xdr:nvSpPr>
      <xdr:spPr>
        <a:xfrm>
          <a:off x="405575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85</xdr:row>
      <xdr:rowOff>42450</xdr:rowOff>
    </xdr:from>
    <xdr:to>
      <xdr:col>62</xdr:col>
      <xdr:colOff>550801</xdr:colOff>
      <xdr:row>86</xdr:row>
      <xdr:rowOff>15002</xdr:rowOff>
    </xdr:to>
    <xdr:sp macro="" textlink="">
      <xdr:nvSpPr>
        <xdr:cNvPr id="247538" name="フリーフォーム: 図形 247537">
          <a:extLst>
            <a:ext uri="{FF2B5EF4-FFF2-40B4-BE49-F238E27FC236}">
              <a16:creationId xmlns:a16="http://schemas.microsoft.com/office/drawing/2014/main" id="{DE7098E9-CAA1-4A0D-8F10-E962A0689D2C}"/>
            </a:ext>
          </a:extLst>
        </xdr:cNvPr>
        <xdr:cNvSpPr>
          <a:spLocks noChangeAspect="1"/>
        </xdr:cNvSpPr>
      </xdr:nvSpPr>
      <xdr:spPr>
        <a:xfrm>
          <a:off x="426024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85</xdr:row>
      <xdr:rowOff>42450</xdr:rowOff>
    </xdr:from>
    <xdr:to>
      <xdr:col>63</xdr:col>
      <xdr:colOff>405000</xdr:colOff>
      <xdr:row>86</xdr:row>
      <xdr:rowOff>15002</xdr:rowOff>
    </xdr:to>
    <xdr:sp macro="" textlink="">
      <xdr:nvSpPr>
        <xdr:cNvPr id="247539" name="フリーフォーム: 図形 247538">
          <a:extLst>
            <a:ext uri="{FF2B5EF4-FFF2-40B4-BE49-F238E27FC236}">
              <a16:creationId xmlns:a16="http://schemas.microsoft.com/office/drawing/2014/main" id="{5B4A6919-5E18-4016-8962-6AD5CB63D266}"/>
            </a:ext>
          </a:extLst>
        </xdr:cNvPr>
        <xdr:cNvSpPr>
          <a:spLocks noChangeAspect="1"/>
        </xdr:cNvSpPr>
      </xdr:nvSpPr>
      <xdr:spPr>
        <a:xfrm>
          <a:off x="431423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85</xdr:row>
      <xdr:rowOff>114450</xdr:rowOff>
    </xdr:from>
    <xdr:to>
      <xdr:col>63</xdr:col>
      <xdr:colOff>477001</xdr:colOff>
      <xdr:row>91</xdr:row>
      <xdr:rowOff>21752</xdr:rowOff>
    </xdr:to>
    <xdr:sp macro="" textlink="">
      <xdr:nvSpPr>
        <xdr:cNvPr id="247540" name="フリーフォーム: 図形 247539">
          <a:extLst>
            <a:ext uri="{FF2B5EF4-FFF2-40B4-BE49-F238E27FC236}">
              <a16:creationId xmlns:a16="http://schemas.microsoft.com/office/drawing/2014/main" id="{55552167-AA56-49E7-9EF1-2067AF7FA9BE}"/>
            </a:ext>
          </a:extLst>
        </xdr:cNvPr>
        <xdr:cNvSpPr>
          <a:spLocks noChangeAspect="1"/>
        </xdr:cNvSpPr>
      </xdr:nvSpPr>
      <xdr:spPr>
        <a:xfrm>
          <a:off x="433943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91</xdr:row>
      <xdr:rowOff>75750</xdr:rowOff>
    </xdr:from>
    <xdr:to>
      <xdr:col>63</xdr:col>
      <xdr:colOff>297000</xdr:colOff>
      <xdr:row>96</xdr:row>
      <xdr:rowOff>136501</xdr:rowOff>
    </xdr:to>
    <xdr:sp macro="" textlink="">
      <xdr:nvSpPr>
        <xdr:cNvPr id="247541" name="フリーフォーム: 図形 247540">
          <a:extLst>
            <a:ext uri="{FF2B5EF4-FFF2-40B4-BE49-F238E27FC236}">
              <a16:creationId xmlns:a16="http://schemas.microsoft.com/office/drawing/2014/main" id="{7786B607-8DA3-4D97-8B46-93741E2A283E}"/>
            </a:ext>
          </a:extLst>
        </xdr:cNvPr>
        <xdr:cNvSpPr>
          <a:spLocks noChangeAspect="1"/>
        </xdr:cNvSpPr>
      </xdr:nvSpPr>
      <xdr:spPr>
        <a:xfrm>
          <a:off x="432144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96</xdr:row>
      <xdr:rowOff>64500</xdr:rowOff>
    </xdr:from>
    <xdr:to>
      <xdr:col>62</xdr:col>
      <xdr:colOff>226800</xdr:colOff>
      <xdr:row>97</xdr:row>
      <xdr:rowOff>37051</xdr:rowOff>
    </xdr:to>
    <xdr:sp macro="" textlink="">
      <xdr:nvSpPr>
        <xdr:cNvPr id="247542" name="フリーフォーム: 図形 247541">
          <a:extLst>
            <a:ext uri="{FF2B5EF4-FFF2-40B4-BE49-F238E27FC236}">
              <a16:creationId xmlns:a16="http://schemas.microsoft.com/office/drawing/2014/main" id="{BFCC4451-33FB-4506-905D-A8FA74005471}"/>
            </a:ext>
          </a:extLst>
        </xdr:cNvPr>
        <xdr:cNvSpPr>
          <a:spLocks noChangeAspect="1"/>
        </xdr:cNvSpPr>
      </xdr:nvSpPr>
      <xdr:spPr>
        <a:xfrm>
          <a:off x="422604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96</xdr:row>
      <xdr:rowOff>64500</xdr:rowOff>
    </xdr:from>
    <xdr:to>
      <xdr:col>63</xdr:col>
      <xdr:colOff>45000</xdr:colOff>
      <xdr:row>97</xdr:row>
      <xdr:rowOff>37051</xdr:rowOff>
    </xdr:to>
    <xdr:sp macro="" textlink="">
      <xdr:nvSpPr>
        <xdr:cNvPr id="247543" name="フリーフォーム: 図形 247542">
          <a:extLst>
            <a:ext uri="{FF2B5EF4-FFF2-40B4-BE49-F238E27FC236}">
              <a16:creationId xmlns:a16="http://schemas.microsoft.com/office/drawing/2014/main" id="{2D4CA815-EF16-4823-9BBE-58CD49EFF849}"/>
            </a:ext>
          </a:extLst>
        </xdr:cNvPr>
        <xdr:cNvSpPr>
          <a:spLocks noChangeAspect="1"/>
        </xdr:cNvSpPr>
      </xdr:nvSpPr>
      <xdr:spPr>
        <a:xfrm>
          <a:off x="427823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91</xdr:row>
      <xdr:rowOff>75750</xdr:rowOff>
    </xdr:from>
    <xdr:to>
      <xdr:col>61</xdr:col>
      <xdr:colOff>660603</xdr:colOff>
      <xdr:row>96</xdr:row>
      <xdr:rowOff>136501</xdr:rowOff>
    </xdr:to>
    <xdr:sp macro="" textlink="">
      <xdr:nvSpPr>
        <xdr:cNvPr id="247544" name="フリーフォーム: 図形 247543">
          <a:extLst>
            <a:ext uri="{FF2B5EF4-FFF2-40B4-BE49-F238E27FC236}">
              <a16:creationId xmlns:a16="http://schemas.microsoft.com/office/drawing/2014/main" id="{EDE6F115-ACF8-49A8-9D95-47AE8009DA10}"/>
            </a:ext>
          </a:extLst>
        </xdr:cNvPr>
        <xdr:cNvSpPr>
          <a:spLocks noChangeAspect="1"/>
        </xdr:cNvSpPr>
      </xdr:nvSpPr>
      <xdr:spPr>
        <a:xfrm>
          <a:off x="422064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85</xdr:row>
      <xdr:rowOff>114450</xdr:rowOff>
    </xdr:from>
    <xdr:to>
      <xdr:col>62</xdr:col>
      <xdr:colOff>118800</xdr:colOff>
      <xdr:row>91</xdr:row>
      <xdr:rowOff>21752</xdr:rowOff>
    </xdr:to>
    <xdr:sp macro="" textlink="">
      <xdr:nvSpPr>
        <xdr:cNvPr id="247545" name="フリーフォーム: 図形 247544">
          <a:extLst>
            <a:ext uri="{FF2B5EF4-FFF2-40B4-BE49-F238E27FC236}">
              <a16:creationId xmlns:a16="http://schemas.microsoft.com/office/drawing/2014/main" id="{DED4847F-0551-43ED-B4EE-A814A9A1842B}"/>
            </a:ext>
          </a:extLst>
        </xdr:cNvPr>
        <xdr:cNvSpPr>
          <a:spLocks noChangeAspect="1"/>
        </xdr:cNvSpPr>
      </xdr:nvSpPr>
      <xdr:spPr>
        <a:xfrm>
          <a:off x="423863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90</xdr:row>
      <xdr:rowOff>139199</xdr:rowOff>
    </xdr:from>
    <xdr:to>
      <xdr:col>62</xdr:col>
      <xdr:colOff>388802</xdr:colOff>
      <xdr:row>91</xdr:row>
      <xdr:rowOff>111751</xdr:rowOff>
    </xdr:to>
    <xdr:sp macro="" textlink="">
      <xdr:nvSpPr>
        <xdr:cNvPr id="247546" name="フリーフォーム: 図形 247545">
          <a:extLst>
            <a:ext uri="{FF2B5EF4-FFF2-40B4-BE49-F238E27FC236}">
              <a16:creationId xmlns:a16="http://schemas.microsoft.com/office/drawing/2014/main" id="{BF0D0DE9-FCB5-444D-AE1D-241F3ECBD6FF}"/>
            </a:ext>
          </a:extLst>
        </xdr:cNvPr>
        <xdr:cNvSpPr>
          <a:spLocks noChangeAspect="1"/>
        </xdr:cNvSpPr>
      </xdr:nvSpPr>
      <xdr:spPr>
        <a:xfrm>
          <a:off x="424584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90</xdr:row>
      <xdr:rowOff>139199</xdr:rowOff>
    </xdr:from>
    <xdr:to>
      <xdr:col>63</xdr:col>
      <xdr:colOff>207002</xdr:colOff>
      <xdr:row>91</xdr:row>
      <xdr:rowOff>111751</xdr:rowOff>
    </xdr:to>
    <xdr:sp macro="" textlink="">
      <xdr:nvSpPr>
        <xdr:cNvPr id="247547" name="フリーフォーム: 図形 247546">
          <a:extLst>
            <a:ext uri="{FF2B5EF4-FFF2-40B4-BE49-F238E27FC236}">
              <a16:creationId xmlns:a16="http://schemas.microsoft.com/office/drawing/2014/main" id="{99EF31B1-8B65-4A1C-B4ED-999CC815ED7D}"/>
            </a:ext>
          </a:extLst>
        </xdr:cNvPr>
        <xdr:cNvSpPr>
          <a:spLocks noChangeAspect="1"/>
        </xdr:cNvSpPr>
      </xdr:nvSpPr>
      <xdr:spPr>
        <a:xfrm>
          <a:off x="429624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86</xdr:row>
      <xdr:rowOff>51000</xdr:rowOff>
    </xdr:from>
    <xdr:to>
      <xdr:col>62</xdr:col>
      <xdr:colOff>406801</xdr:colOff>
      <xdr:row>91</xdr:row>
      <xdr:rowOff>3751</xdr:rowOff>
    </xdr:to>
    <xdr:sp macro="" textlink="">
      <xdr:nvSpPr>
        <xdr:cNvPr id="247548" name="フリーフォーム: 図形 247547">
          <a:extLst>
            <a:ext uri="{FF2B5EF4-FFF2-40B4-BE49-F238E27FC236}">
              <a16:creationId xmlns:a16="http://schemas.microsoft.com/office/drawing/2014/main" id="{E12F2D06-F784-47D2-A8C5-2FBFD9FFC2DB}"/>
            </a:ext>
          </a:extLst>
        </xdr:cNvPr>
        <xdr:cNvSpPr>
          <a:spLocks noChangeAspect="1"/>
        </xdr:cNvSpPr>
      </xdr:nvSpPr>
      <xdr:spPr>
        <a:xfrm>
          <a:off x="426564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85</xdr:row>
      <xdr:rowOff>114450</xdr:rowOff>
    </xdr:from>
    <xdr:to>
      <xdr:col>62</xdr:col>
      <xdr:colOff>658801</xdr:colOff>
      <xdr:row>90</xdr:row>
      <xdr:rowOff>157201</xdr:rowOff>
    </xdr:to>
    <xdr:sp macro="" textlink="">
      <xdr:nvSpPr>
        <xdr:cNvPr id="247549" name="フリーフォーム: 図形 247548">
          <a:extLst>
            <a:ext uri="{FF2B5EF4-FFF2-40B4-BE49-F238E27FC236}">
              <a16:creationId xmlns:a16="http://schemas.microsoft.com/office/drawing/2014/main" id="{349451F7-169C-42F4-81A8-82CD7EEA42DA}"/>
            </a:ext>
          </a:extLst>
        </xdr:cNvPr>
        <xdr:cNvSpPr>
          <a:spLocks noChangeAspect="1"/>
        </xdr:cNvSpPr>
      </xdr:nvSpPr>
      <xdr:spPr>
        <a:xfrm>
          <a:off x="429264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86</xdr:row>
      <xdr:rowOff>69000</xdr:rowOff>
    </xdr:from>
    <xdr:to>
      <xdr:col>63</xdr:col>
      <xdr:colOff>297000</xdr:colOff>
      <xdr:row>91</xdr:row>
      <xdr:rowOff>3751</xdr:rowOff>
    </xdr:to>
    <xdr:sp macro="" textlink="">
      <xdr:nvSpPr>
        <xdr:cNvPr id="247550" name="フリーフォーム: 図形 247549">
          <a:extLst>
            <a:ext uri="{FF2B5EF4-FFF2-40B4-BE49-F238E27FC236}">
              <a16:creationId xmlns:a16="http://schemas.microsoft.com/office/drawing/2014/main" id="{F6AE88B6-FD3C-4C3D-BB90-476DBF96CC58}"/>
            </a:ext>
          </a:extLst>
        </xdr:cNvPr>
        <xdr:cNvSpPr>
          <a:spLocks noChangeAspect="1"/>
        </xdr:cNvSpPr>
      </xdr:nvSpPr>
      <xdr:spPr>
        <a:xfrm>
          <a:off x="429804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91</xdr:row>
      <xdr:rowOff>75750</xdr:rowOff>
    </xdr:from>
    <xdr:to>
      <xdr:col>63</xdr:col>
      <xdr:colOff>9002</xdr:colOff>
      <xdr:row>95</xdr:row>
      <xdr:rowOff>163951</xdr:rowOff>
    </xdr:to>
    <xdr:sp macro="" textlink="">
      <xdr:nvSpPr>
        <xdr:cNvPr id="247551" name="フリーフォーム: 図形 247550">
          <a:extLst>
            <a:ext uri="{FF2B5EF4-FFF2-40B4-BE49-F238E27FC236}">
              <a16:creationId xmlns:a16="http://schemas.microsoft.com/office/drawing/2014/main" id="{A183DC19-52F8-4C51-82CE-1CA40817EF06}"/>
            </a:ext>
          </a:extLst>
        </xdr:cNvPr>
        <xdr:cNvSpPr>
          <a:spLocks noChangeAspect="1"/>
        </xdr:cNvSpPr>
      </xdr:nvSpPr>
      <xdr:spPr>
        <a:xfrm>
          <a:off x="429443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91</xdr:row>
      <xdr:rowOff>93749</xdr:rowOff>
    </xdr:from>
    <xdr:to>
      <xdr:col>62</xdr:col>
      <xdr:colOff>424800</xdr:colOff>
      <xdr:row>96</xdr:row>
      <xdr:rowOff>118501</xdr:rowOff>
    </xdr:to>
    <xdr:sp macro="" textlink="">
      <xdr:nvSpPr>
        <xdr:cNvPr id="247552" name="フリーフォーム: 図形 247551">
          <a:extLst>
            <a:ext uri="{FF2B5EF4-FFF2-40B4-BE49-F238E27FC236}">
              <a16:creationId xmlns:a16="http://schemas.microsoft.com/office/drawing/2014/main" id="{7416E256-C4B7-4104-B1EC-351430FD54E0}"/>
            </a:ext>
          </a:extLst>
        </xdr:cNvPr>
        <xdr:cNvSpPr>
          <a:spLocks noChangeAspect="1"/>
        </xdr:cNvSpPr>
      </xdr:nvSpPr>
      <xdr:spPr>
        <a:xfrm>
          <a:off x="427104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91</xdr:row>
      <xdr:rowOff>75750</xdr:rowOff>
    </xdr:from>
    <xdr:to>
      <xdr:col>62</xdr:col>
      <xdr:colOff>388802</xdr:colOff>
      <xdr:row>96</xdr:row>
      <xdr:rowOff>10501</xdr:rowOff>
    </xdr:to>
    <xdr:sp macro="" textlink="">
      <xdr:nvSpPr>
        <xdr:cNvPr id="247553" name="フリーフォーム: 図形 247552">
          <a:extLst>
            <a:ext uri="{FF2B5EF4-FFF2-40B4-BE49-F238E27FC236}">
              <a16:creationId xmlns:a16="http://schemas.microsoft.com/office/drawing/2014/main" id="{2511B30A-09CF-4A42-BB0C-840A8DE26F5B}"/>
            </a:ext>
          </a:extLst>
        </xdr:cNvPr>
        <xdr:cNvSpPr>
          <a:spLocks noChangeAspect="1"/>
        </xdr:cNvSpPr>
      </xdr:nvSpPr>
      <xdr:spPr>
        <a:xfrm>
          <a:off x="423863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85</xdr:row>
      <xdr:rowOff>42450</xdr:rowOff>
    </xdr:from>
    <xdr:to>
      <xdr:col>65</xdr:col>
      <xdr:colOff>322201</xdr:colOff>
      <xdr:row>86</xdr:row>
      <xdr:rowOff>15002</xdr:rowOff>
    </xdr:to>
    <xdr:sp macro="" textlink="">
      <xdr:nvSpPr>
        <xdr:cNvPr id="247554" name="フリーフォーム: 図形 247553">
          <a:extLst>
            <a:ext uri="{FF2B5EF4-FFF2-40B4-BE49-F238E27FC236}">
              <a16:creationId xmlns:a16="http://schemas.microsoft.com/office/drawing/2014/main" id="{C99601D1-A465-49D5-A7A0-7849C33D93CB}"/>
            </a:ext>
          </a:extLst>
        </xdr:cNvPr>
        <xdr:cNvSpPr>
          <a:spLocks noChangeAspect="1"/>
        </xdr:cNvSpPr>
      </xdr:nvSpPr>
      <xdr:spPr>
        <a:xfrm>
          <a:off x="444312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85</xdr:row>
      <xdr:rowOff>42450</xdr:rowOff>
    </xdr:from>
    <xdr:to>
      <xdr:col>66</xdr:col>
      <xdr:colOff>176400</xdr:colOff>
      <xdr:row>86</xdr:row>
      <xdr:rowOff>15002</xdr:rowOff>
    </xdr:to>
    <xdr:sp macro="" textlink="">
      <xdr:nvSpPr>
        <xdr:cNvPr id="247555" name="フリーフォーム: 図形 247554">
          <a:extLst>
            <a:ext uri="{FF2B5EF4-FFF2-40B4-BE49-F238E27FC236}">
              <a16:creationId xmlns:a16="http://schemas.microsoft.com/office/drawing/2014/main" id="{5C4D55B8-BB8E-4DA5-9F62-1948A8AF07AF}"/>
            </a:ext>
          </a:extLst>
        </xdr:cNvPr>
        <xdr:cNvSpPr>
          <a:spLocks noChangeAspect="1"/>
        </xdr:cNvSpPr>
      </xdr:nvSpPr>
      <xdr:spPr>
        <a:xfrm>
          <a:off x="449711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85</xdr:row>
      <xdr:rowOff>114450</xdr:rowOff>
    </xdr:from>
    <xdr:to>
      <xdr:col>66</xdr:col>
      <xdr:colOff>248401</xdr:colOff>
      <xdr:row>91</xdr:row>
      <xdr:rowOff>21752</xdr:rowOff>
    </xdr:to>
    <xdr:sp macro="" textlink="">
      <xdr:nvSpPr>
        <xdr:cNvPr id="247556" name="フリーフォーム: 図形 247555">
          <a:extLst>
            <a:ext uri="{FF2B5EF4-FFF2-40B4-BE49-F238E27FC236}">
              <a16:creationId xmlns:a16="http://schemas.microsoft.com/office/drawing/2014/main" id="{AD9CBCEB-9285-434B-BE73-8D824945C58A}"/>
            </a:ext>
          </a:extLst>
        </xdr:cNvPr>
        <xdr:cNvSpPr>
          <a:spLocks noChangeAspect="1"/>
        </xdr:cNvSpPr>
      </xdr:nvSpPr>
      <xdr:spPr>
        <a:xfrm>
          <a:off x="452231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91</xdr:row>
      <xdr:rowOff>75750</xdr:rowOff>
    </xdr:from>
    <xdr:to>
      <xdr:col>66</xdr:col>
      <xdr:colOff>68400</xdr:colOff>
      <xdr:row>96</xdr:row>
      <xdr:rowOff>136501</xdr:rowOff>
    </xdr:to>
    <xdr:sp macro="" textlink="">
      <xdr:nvSpPr>
        <xdr:cNvPr id="247557" name="フリーフォーム: 図形 247556">
          <a:extLst>
            <a:ext uri="{FF2B5EF4-FFF2-40B4-BE49-F238E27FC236}">
              <a16:creationId xmlns:a16="http://schemas.microsoft.com/office/drawing/2014/main" id="{8D3D8402-0E74-4001-B029-1236EE8BAA2E}"/>
            </a:ext>
          </a:extLst>
        </xdr:cNvPr>
        <xdr:cNvSpPr>
          <a:spLocks noChangeAspect="1"/>
        </xdr:cNvSpPr>
      </xdr:nvSpPr>
      <xdr:spPr>
        <a:xfrm>
          <a:off x="450432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96</xdr:row>
      <xdr:rowOff>64500</xdr:rowOff>
    </xdr:from>
    <xdr:to>
      <xdr:col>64</xdr:col>
      <xdr:colOff>684000</xdr:colOff>
      <xdr:row>97</xdr:row>
      <xdr:rowOff>37051</xdr:rowOff>
    </xdr:to>
    <xdr:sp macro="" textlink="">
      <xdr:nvSpPr>
        <xdr:cNvPr id="247558" name="フリーフォーム: 図形 247557">
          <a:extLst>
            <a:ext uri="{FF2B5EF4-FFF2-40B4-BE49-F238E27FC236}">
              <a16:creationId xmlns:a16="http://schemas.microsoft.com/office/drawing/2014/main" id="{D2DA4C68-6824-40A7-8DC7-2255D082835D}"/>
            </a:ext>
          </a:extLst>
        </xdr:cNvPr>
        <xdr:cNvSpPr>
          <a:spLocks noChangeAspect="1"/>
        </xdr:cNvSpPr>
      </xdr:nvSpPr>
      <xdr:spPr>
        <a:xfrm>
          <a:off x="440892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96</xdr:row>
      <xdr:rowOff>64500</xdr:rowOff>
    </xdr:from>
    <xdr:to>
      <xdr:col>65</xdr:col>
      <xdr:colOff>502200</xdr:colOff>
      <xdr:row>97</xdr:row>
      <xdr:rowOff>37051</xdr:rowOff>
    </xdr:to>
    <xdr:sp macro="" textlink="">
      <xdr:nvSpPr>
        <xdr:cNvPr id="247559" name="フリーフォーム: 図形 247558">
          <a:extLst>
            <a:ext uri="{FF2B5EF4-FFF2-40B4-BE49-F238E27FC236}">
              <a16:creationId xmlns:a16="http://schemas.microsoft.com/office/drawing/2014/main" id="{E1659C15-AE51-4F36-BD30-AE0ADAC38B11}"/>
            </a:ext>
          </a:extLst>
        </xdr:cNvPr>
        <xdr:cNvSpPr>
          <a:spLocks noChangeAspect="1"/>
        </xdr:cNvSpPr>
      </xdr:nvSpPr>
      <xdr:spPr>
        <a:xfrm>
          <a:off x="446111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91</xdr:row>
      <xdr:rowOff>75750</xdr:rowOff>
    </xdr:from>
    <xdr:to>
      <xdr:col>64</xdr:col>
      <xdr:colOff>432003</xdr:colOff>
      <xdr:row>96</xdr:row>
      <xdr:rowOff>136501</xdr:rowOff>
    </xdr:to>
    <xdr:sp macro="" textlink="">
      <xdr:nvSpPr>
        <xdr:cNvPr id="247560" name="フリーフォーム: 図形 247559">
          <a:extLst>
            <a:ext uri="{FF2B5EF4-FFF2-40B4-BE49-F238E27FC236}">
              <a16:creationId xmlns:a16="http://schemas.microsoft.com/office/drawing/2014/main" id="{924731ED-2E80-44BA-9E5C-563ECC26B735}"/>
            </a:ext>
          </a:extLst>
        </xdr:cNvPr>
        <xdr:cNvSpPr>
          <a:spLocks noChangeAspect="1"/>
        </xdr:cNvSpPr>
      </xdr:nvSpPr>
      <xdr:spPr>
        <a:xfrm>
          <a:off x="440352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85</xdr:row>
      <xdr:rowOff>114450</xdr:rowOff>
    </xdr:from>
    <xdr:to>
      <xdr:col>64</xdr:col>
      <xdr:colOff>576000</xdr:colOff>
      <xdr:row>91</xdr:row>
      <xdr:rowOff>21752</xdr:rowOff>
    </xdr:to>
    <xdr:sp macro="" textlink="">
      <xdr:nvSpPr>
        <xdr:cNvPr id="247561" name="フリーフォーム: 図形 247560">
          <a:extLst>
            <a:ext uri="{FF2B5EF4-FFF2-40B4-BE49-F238E27FC236}">
              <a16:creationId xmlns:a16="http://schemas.microsoft.com/office/drawing/2014/main" id="{DEB3707D-0944-4127-A8DC-424E0326F1EF}"/>
            </a:ext>
          </a:extLst>
        </xdr:cNvPr>
        <xdr:cNvSpPr>
          <a:spLocks noChangeAspect="1"/>
        </xdr:cNvSpPr>
      </xdr:nvSpPr>
      <xdr:spPr>
        <a:xfrm>
          <a:off x="442151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90</xdr:row>
      <xdr:rowOff>139199</xdr:rowOff>
    </xdr:from>
    <xdr:to>
      <xdr:col>65</xdr:col>
      <xdr:colOff>160202</xdr:colOff>
      <xdr:row>91</xdr:row>
      <xdr:rowOff>111751</xdr:rowOff>
    </xdr:to>
    <xdr:sp macro="" textlink="">
      <xdr:nvSpPr>
        <xdr:cNvPr id="247562" name="フリーフォーム: 図形 247561">
          <a:extLst>
            <a:ext uri="{FF2B5EF4-FFF2-40B4-BE49-F238E27FC236}">
              <a16:creationId xmlns:a16="http://schemas.microsoft.com/office/drawing/2014/main" id="{8391BCAF-EE9A-4764-BCB0-1D4DDEB2290D}"/>
            </a:ext>
          </a:extLst>
        </xdr:cNvPr>
        <xdr:cNvSpPr>
          <a:spLocks noChangeAspect="1"/>
        </xdr:cNvSpPr>
      </xdr:nvSpPr>
      <xdr:spPr>
        <a:xfrm>
          <a:off x="442872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90</xdr:row>
      <xdr:rowOff>139199</xdr:rowOff>
    </xdr:from>
    <xdr:to>
      <xdr:col>65</xdr:col>
      <xdr:colOff>664202</xdr:colOff>
      <xdr:row>91</xdr:row>
      <xdr:rowOff>111751</xdr:rowOff>
    </xdr:to>
    <xdr:sp macro="" textlink="">
      <xdr:nvSpPr>
        <xdr:cNvPr id="247563" name="フリーフォーム: 図形 247562">
          <a:extLst>
            <a:ext uri="{FF2B5EF4-FFF2-40B4-BE49-F238E27FC236}">
              <a16:creationId xmlns:a16="http://schemas.microsoft.com/office/drawing/2014/main" id="{0D2776DB-C907-4DC3-98A4-E6F5C8B4D3C5}"/>
            </a:ext>
          </a:extLst>
        </xdr:cNvPr>
        <xdr:cNvSpPr>
          <a:spLocks noChangeAspect="1"/>
        </xdr:cNvSpPr>
      </xdr:nvSpPr>
      <xdr:spPr>
        <a:xfrm>
          <a:off x="447912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86</xdr:row>
      <xdr:rowOff>51000</xdr:rowOff>
    </xdr:from>
    <xdr:to>
      <xdr:col>65</xdr:col>
      <xdr:colOff>178201</xdr:colOff>
      <xdr:row>91</xdr:row>
      <xdr:rowOff>3751</xdr:rowOff>
    </xdr:to>
    <xdr:sp macro="" textlink="">
      <xdr:nvSpPr>
        <xdr:cNvPr id="247564" name="フリーフォーム: 図形 247563">
          <a:extLst>
            <a:ext uri="{FF2B5EF4-FFF2-40B4-BE49-F238E27FC236}">
              <a16:creationId xmlns:a16="http://schemas.microsoft.com/office/drawing/2014/main" id="{8975D5BE-39AA-4230-8A04-67F75B5A138F}"/>
            </a:ext>
          </a:extLst>
        </xdr:cNvPr>
        <xdr:cNvSpPr>
          <a:spLocks noChangeAspect="1"/>
        </xdr:cNvSpPr>
      </xdr:nvSpPr>
      <xdr:spPr>
        <a:xfrm>
          <a:off x="444852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85</xdr:row>
      <xdr:rowOff>114450</xdr:rowOff>
    </xdr:from>
    <xdr:to>
      <xdr:col>65</xdr:col>
      <xdr:colOff>430201</xdr:colOff>
      <xdr:row>90</xdr:row>
      <xdr:rowOff>157201</xdr:rowOff>
    </xdr:to>
    <xdr:sp macro="" textlink="">
      <xdr:nvSpPr>
        <xdr:cNvPr id="247565" name="フリーフォーム: 図形 247564">
          <a:extLst>
            <a:ext uri="{FF2B5EF4-FFF2-40B4-BE49-F238E27FC236}">
              <a16:creationId xmlns:a16="http://schemas.microsoft.com/office/drawing/2014/main" id="{1710B45E-C8C4-453B-A5EB-E9DC5BD6A444}"/>
            </a:ext>
          </a:extLst>
        </xdr:cNvPr>
        <xdr:cNvSpPr>
          <a:spLocks noChangeAspect="1"/>
        </xdr:cNvSpPr>
      </xdr:nvSpPr>
      <xdr:spPr>
        <a:xfrm>
          <a:off x="447552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86</xdr:row>
      <xdr:rowOff>69000</xdr:rowOff>
    </xdr:from>
    <xdr:to>
      <xdr:col>66</xdr:col>
      <xdr:colOff>68400</xdr:colOff>
      <xdr:row>91</xdr:row>
      <xdr:rowOff>3751</xdr:rowOff>
    </xdr:to>
    <xdr:sp macro="" textlink="">
      <xdr:nvSpPr>
        <xdr:cNvPr id="247566" name="フリーフォーム: 図形 247565">
          <a:extLst>
            <a:ext uri="{FF2B5EF4-FFF2-40B4-BE49-F238E27FC236}">
              <a16:creationId xmlns:a16="http://schemas.microsoft.com/office/drawing/2014/main" id="{AD20AFC5-C9FA-41ED-A034-163163B21B33}"/>
            </a:ext>
          </a:extLst>
        </xdr:cNvPr>
        <xdr:cNvSpPr>
          <a:spLocks noChangeAspect="1"/>
        </xdr:cNvSpPr>
      </xdr:nvSpPr>
      <xdr:spPr>
        <a:xfrm>
          <a:off x="448092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91</xdr:row>
      <xdr:rowOff>75750</xdr:rowOff>
    </xdr:from>
    <xdr:to>
      <xdr:col>65</xdr:col>
      <xdr:colOff>466202</xdr:colOff>
      <xdr:row>95</xdr:row>
      <xdr:rowOff>163951</xdr:rowOff>
    </xdr:to>
    <xdr:sp macro="" textlink="">
      <xdr:nvSpPr>
        <xdr:cNvPr id="247567" name="フリーフォーム: 図形 247566">
          <a:extLst>
            <a:ext uri="{FF2B5EF4-FFF2-40B4-BE49-F238E27FC236}">
              <a16:creationId xmlns:a16="http://schemas.microsoft.com/office/drawing/2014/main" id="{E3CCA9F1-E52A-4CD4-A622-BE5F30E9F354}"/>
            </a:ext>
          </a:extLst>
        </xdr:cNvPr>
        <xdr:cNvSpPr>
          <a:spLocks noChangeAspect="1"/>
        </xdr:cNvSpPr>
      </xdr:nvSpPr>
      <xdr:spPr>
        <a:xfrm>
          <a:off x="447731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91</xdr:row>
      <xdr:rowOff>93749</xdr:rowOff>
    </xdr:from>
    <xdr:to>
      <xdr:col>65</xdr:col>
      <xdr:colOff>196200</xdr:colOff>
      <xdr:row>96</xdr:row>
      <xdr:rowOff>118501</xdr:rowOff>
    </xdr:to>
    <xdr:sp macro="" textlink="">
      <xdr:nvSpPr>
        <xdr:cNvPr id="247568" name="フリーフォーム: 図形 247567">
          <a:extLst>
            <a:ext uri="{FF2B5EF4-FFF2-40B4-BE49-F238E27FC236}">
              <a16:creationId xmlns:a16="http://schemas.microsoft.com/office/drawing/2014/main" id="{7F15F064-8DCA-488F-BD07-F1F19E08443D}"/>
            </a:ext>
          </a:extLst>
        </xdr:cNvPr>
        <xdr:cNvSpPr>
          <a:spLocks noChangeAspect="1"/>
        </xdr:cNvSpPr>
      </xdr:nvSpPr>
      <xdr:spPr>
        <a:xfrm>
          <a:off x="445392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91</xdr:row>
      <xdr:rowOff>75750</xdr:rowOff>
    </xdr:from>
    <xdr:to>
      <xdr:col>65</xdr:col>
      <xdr:colOff>160202</xdr:colOff>
      <xdr:row>96</xdr:row>
      <xdr:rowOff>10501</xdr:rowOff>
    </xdr:to>
    <xdr:sp macro="" textlink="">
      <xdr:nvSpPr>
        <xdr:cNvPr id="247569" name="フリーフォーム: 図形 247568">
          <a:extLst>
            <a:ext uri="{FF2B5EF4-FFF2-40B4-BE49-F238E27FC236}">
              <a16:creationId xmlns:a16="http://schemas.microsoft.com/office/drawing/2014/main" id="{7F948A0D-CCBB-4449-B760-118FB656C7BD}"/>
            </a:ext>
          </a:extLst>
        </xdr:cNvPr>
        <xdr:cNvSpPr>
          <a:spLocks noChangeAspect="1"/>
        </xdr:cNvSpPr>
      </xdr:nvSpPr>
      <xdr:spPr>
        <a:xfrm>
          <a:off x="442151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85</xdr:row>
      <xdr:rowOff>42450</xdr:rowOff>
    </xdr:from>
    <xdr:to>
      <xdr:col>68</xdr:col>
      <xdr:colOff>93601</xdr:colOff>
      <xdr:row>86</xdr:row>
      <xdr:rowOff>15002</xdr:rowOff>
    </xdr:to>
    <xdr:sp macro="" textlink="">
      <xdr:nvSpPr>
        <xdr:cNvPr id="247570" name="フリーフォーム: 図形 247569">
          <a:extLst>
            <a:ext uri="{FF2B5EF4-FFF2-40B4-BE49-F238E27FC236}">
              <a16:creationId xmlns:a16="http://schemas.microsoft.com/office/drawing/2014/main" id="{95A2D1E9-F502-4440-A1D1-B7EC8B86EAB7}"/>
            </a:ext>
          </a:extLst>
        </xdr:cNvPr>
        <xdr:cNvSpPr>
          <a:spLocks noChangeAspect="1"/>
        </xdr:cNvSpPr>
      </xdr:nvSpPr>
      <xdr:spPr>
        <a:xfrm>
          <a:off x="462600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85</xdr:row>
      <xdr:rowOff>42450</xdr:rowOff>
    </xdr:from>
    <xdr:to>
      <xdr:col>68</xdr:col>
      <xdr:colOff>633600</xdr:colOff>
      <xdr:row>86</xdr:row>
      <xdr:rowOff>15002</xdr:rowOff>
    </xdr:to>
    <xdr:sp macro="" textlink="">
      <xdr:nvSpPr>
        <xdr:cNvPr id="247571" name="フリーフォーム: 図形 247570">
          <a:extLst>
            <a:ext uri="{FF2B5EF4-FFF2-40B4-BE49-F238E27FC236}">
              <a16:creationId xmlns:a16="http://schemas.microsoft.com/office/drawing/2014/main" id="{6DA193B3-7897-4EBB-AEE2-B57B24D082DE}"/>
            </a:ext>
          </a:extLst>
        </xdr:cNvPr>
        <xdr:cNvSpPr>
          <a:spLocks noChangeAspect="1"/>
        </xdr:cNvSpPr>
      </xdr:nvSpPr>
      <xdr:spPr>
        <a:xfrm>
          <a:off x="467999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85</xdr:row>
      <xdr:rowOff>114450</xdr:rowOff>
    </xdr:from>
    <xdr:to>
      <xdr:col>69</xdr:col>
      <xdr:colOff>19801</xdr:colOff>
      <xdr:row>91</xdr:row>
      <xdr:rowOff>21752</xdr:rowOff>
    </xdr:to>
    <xdr:sp macro="" textlink="">
      <xdr:nvSpPr>
        <xdr:cNvPr id="247572" name="フリーフォーム: 図形 247571">
          <a:extLst>
            <a:ext uri="{FF2B5EF4-FFF2-40B4-BE49-F238E27FC236}">
              <a16:creationId xmlns:a16="http://schemas.microsoft.com/office/drawing/2014/main" id="{17AF8D60-3DE7-40F1-A471-110160687F4A}"/>
            </a:ext>
          </a:extLst>
        </xdr:cNvPr>
        <xdr:cNvSpPr>
          <a:spLocks noChangeAspect="1"/>
        </xdr:cNvSpPr>
      </xdr:nvSpPr>
      <xdr:spPr>
        <a:xfrm>
          <a:off x="470519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91</xdr:row>
      <xdr:rowOff>75750</xdr:rowOff>
    </xdr:from>
    <xdr:to>
      <xdr:col>68</xdr:col>
      <xdr:colOff>525600</xdr:colOff>
      <xdr:row>96</xdr:row>
      <xdr:rowOff>136501</xdr:rowOff>
    </xdr:to>
    <xdr:sp macro="" textlink="">
      <xdr:nvSpPr>
        <xdr:cNvPr id="247573" name="フリーフォーム: 図形 247572">
          <a:extLst>
            <a:ext uri="{FF2B5EF4-FFF2-40B4-BE49-F238E27FC236}">
              <a16:creationId xmlns:a16="http://schemas.microsoft.com/office/drawing/2014/main" id="{E550C277-9C05-4279-B605-DE0874B73D10}"/>
            </a:ext>
          </a:extLst>
        </xdr:cNvPr>
        <xdr:cNvSpPr>
          <a:spLocks noChangeAspect="1"/>
        </xdr:cNvSpPr>
      </xdr:nvSpPr>
      <xdr:spPr>
        <a:xfrm>
          <a:off x="468720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96</xdr:row>
      <xdr:rowOff>64500</xdr:rowOff>
    </xdr:from>
    <xdr:to>
      <xdr:col>67</xdr:col>
      <xdr:colOff>455400</xdr:colOff>
      <xdr:row>97</xdr:row>
      <xdr:rowOff>37051</xdr:rowOff>
    </xdr:to>
    <xdr:sp macro="" textlink="">
      <xdr:nvSpPr>
        <xdr:cNvPr id="247574" name="フリーフォーム: 図形 247573">
          <a:extLst>
            <a:ext uri="{FF2B5EF4-FFF2-40B4-BE49-F238E27FC236}">
              <a16:creationId xmlns:a16="http://schemas.microsoft.com/office/drawing/2014/main" id="{70A6FF60-BFC2-43A1-BFD4-1FD6B0F0913F}"/>
            </a:ext>
          </a:extLst>
        </xdr:cNvPr>
        <xdr:cNvSpPr>
          <a:spLocks noChangeAspect="1"/>
        </xdr:cNvSpPr>
      </xdr:nvSpPr>
      <xdr:spPr>
        <a:xfrm>
          <a:off x="459180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96</xdr:row>
      <xdr:rowOff>64500</xdr:rowOff>
    </xdr:from>
    <xdr:to>
      <xdr:col>68</xdr:col>
      <xdr:colOff>273600</xdr:colOff>
      <xdr:row>97</xdr:row>
      <xdr:rowOff>37051</xdr:rowOff>
    </xdr:to>
    <xdr:sp macro="" textlink="">
      <xdr:nvSpPr>
        <xdr:cNvPr id="247575" name="フリーフォーム: 図形 247574">
          <a:extLst>
            <a:ext uri="{FF2B5EF4-FFF2-40B4-BE49-F238E27FC236}">
              <a16:creationId xmlns:a16="http://schemas.microsoft.com/office/drawing/2014/main" id="{8B931D3F-755E-4756-B8CA-D2B0F398EE30}"/>
            </a:ext>
          </a:extLst>
        </xdr:cNvPr>
        <xdr:cNvSpPr>
          <a:spLocks noChangeAspect="1"/>
        </xdr:cNvSpPr>
      </xdr:nvSpPr>
      <xdr:spPr>
        <a:xfrm>
          <a:off x="464399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91</xdr:row>
      <xdr:rowOff>75750</xdr:rowOff>
    </xdr:from>
    <xdr:to>
      <xdr:col>67</xdr:col>
      <xdr:colOff>203403</xdr:colOff>
      <xdr:row>96</xdr:row>
      <xdr:rowOff>136501</xdr:rowOff>
    </xdr:to>
    <xdr:sp macro="" textlink="">
      <xdr:nvSpPr>
        <xdr:cNvPr id="247576" name="フリーフォーム: 図形 247575">
          <a:extLst>
            <a:ext uri="{FF2B5EF4-FFF2-40B4-BE49-F238E27FC236}">
              <a16:creationId xmlns:a16="http://schemas.microsoft.com/office/drawing/2014/main" id="{E66F7E49-1D7B-40E0-9656-B1CAB6CCA34F}"/>
            </a:ext>
          </a:extLst>
        </xdr:cNvPr>
        <xdr:cNvSpPr>
          <a:spLocks noChangeAspect="1"/>
        </xdr:cNvSpPr>
      </xdr:nvSpPr>
      <xdr:spPr>
        <a:xfrm>
          <a:off x="458640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85</xdr:row>
      <xdr:rowOff>114450</xdr:rowOff>
    </xdr:from>
    <xdr:to>
      <xdr:col>67</xdr:col>
      <xdr:colOff>347400</xdr:colOff>
      <xdr:row>91</xdr:row>
      <xdr:rowOff>21752</xdr:rowOff>
    </xdr:to>
    <xdr:sp macro="" textlink="">
      <xdr:nvSpPr>
        <xdr:cNvPr id="247577" name="フリーフォーム: 図形 247576">
          <a:extLst>
            <a:ext uri="{FF2B5EF4-FFF2-40B4-BE49-F238E27FC236}">
              <a16:creationId xmlns:a16="http://schemas.microsoft.com/office/drawing/2014/main" id="{CDD63CEA-ADCA-4AB4-A128-312EAD0C0D86}"/>
            </a:ext>
          </a:extLst>
        </xdr:cNvPr>
        <xdr:cNvSpPr>
          <a:spLocks noChangeAspect="1"/>
        </xdr:cNvSpPr>
      </xdr:nvSpPr>
      <xdr:spPr>
        <a:xfrm>
          <a:off x="460439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90</xdr:row>
      <xdr:rowOff>139199</xdr:rowOff>
    </xdr:from>
    <xdr:to>
      <xdr:col>67</xdr:col>
      <xdr:colOff>617402</xdr:colOff>
      <xdr:row>91</xdr:row>
      <xdr:rowOff>111751</xdr:rowOff>
    </xdr:to>
    <xdr:sp macro="" textlink="">
      <xdr:nvSpPr>
        <xdr:cNvPr id="247578" name="フリーフォーム: 図形 247577">
          <a:extLst>
            <a:ext uri="{FF2B5EF4-FFF2-40B4-BE49-F238E27FC236}">
              <a16:creationId xmlns:a16="http://schemas.microsoft.com/office/drawing/2014/main" id="{C387DB48-2666-4555-AA5B-8D04BBD56721}"/>
            </a:ext>
          </a:extLst>
        </xdr:cNvPr>
        <xdr:cNvSpPr>
          <a:spLocks noChangeAspect="1"/>
        </xdr:cNvSpPr>
      </xdr:nvSpPr>
      <xdr:spPr>
        <a:xfrm>
          <a:off x="461160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90</xdr:row>
      <xdr:rowOff>139199</xdr:rowOff>
    </xdr:from>
    <xdr:to>
      <xdr:col>68</xdr:col>
      <xdr:colOff>435602</xdr:colOff>
      <xdr:row>91</xdr:row>
      <xdr:rowOff>111751</xdr:rowOff>
    </xdr:to>
    <xdr:sp macro="" textlink="">
      <xdr:nvSpPr>
        <xdr:cNvPr id="247579" name="フリーフォーム: 図形 247578">
          <a:extLst>
            <a:ext uri="{FF2B5EF4-FFF2-40B4-BE49-F238E27FC236}">
              <a16:creationId xmlns:a16="http://schemas.microsoft.com/office/drawing/2014/main" id="{25907D36-2B8F-42AC-A26B-471FF13109EA}"/>
            </a:ext>
          </a:extLst>
        </xdr:cNvPr>
        <xdr:cNvSpPr>
          <a:spLocks noChangeAspect="1"/>
        </xdr:cNvSpPr>
      </xdr:nvSpPr>
      <xdr:spPr>
        <a:xfrm>
          <a:off x="466200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86</xdr:row>
      <xdr:rowOff>51000</xdr:rowOff>
    </xdr:from>
    <xdr:to>
      <xdr:col>67</xdr:col>
      <xdr:colOff>635401</xdr:colOff>
      <xdr:row>91</xdr:row>
      <xdr:rowOff>3751</xdr:rowOff>
    </xdr:to>
    <xdr:sp macro="" textlink="">
      <xdr:nvSpPr>
        <xdr:cNvPr id="247580" name="フリーフォーム: 図形 247579">
          <a:extLst>
            <a:ext uri="{FF2B5EF4-FFF2-40B4-BE49-F238E27FC236}">
              <a16:creationId xmlns:a16="http://schemas.microsoft.com/office/drawing/2014/main" id="{6D3F7D08-C33E-43ED-827E-1DB64E20C59D}"/>
            </a:ext>
          </a:extLst>
        </xdr:cNvPr>
        <xdr:cNvSpPr>
          <a:spLocks noChangeAspect="1"/>
        </xdr:cNvSpPr>
      </xdr:nvSpPr>
      <xdr:spPr>
        <a:xfrm>
          <a:off x="463140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85</xdr:row>
      <xdr:rowOff>114450</xdr:rowOff>
    </xdr:from>
    <xdr:to>
      <xdr:col>68</xdr:col>
      <xdr:colOff>201601</xdr:colOff>
      <xdr:row>90</xdr:row>
      <xdr:rowOff>157201</xdr:rowOff>
    </xdr:to>
    <xdr:sp macro="" textlink="">
      <xdr:nvSpPr>
        <xdr:cNvPr id="247581" name="フリーフォーム: 図形 247580">
          <a:extLst>
            <a:ext uri="{FF2B5EF4-FFF2-40B4-BE49-F238E27FC236}">
              <a16:creationId xmlns:a16="http://schemas.microsoft.com/office/drawing/2014/main" id="{EE0524E9-244C-4F60-857B-EE82D5426293}"/>
            </a:ext>
          </a:extLst>
        </xdr:cNvPr>
        <xdr:cNvSpPr>
          <a:spLocks noChangeAspect="1"/>
        </xdr:cNvSpPr>
      </xdr:nvSpPr>
      <xdr:spPr>
        <a:xfrm>
          <a:off x="465840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86</xdr:row>
      <xdr:rowOff>69000</xdr:rowOff>
    </xdr:from>
    <xdr:to>
      <xdr:col>68</xdr:col>
      <xdr:colOff>525600</xdr:colOff>
      <xdr:row>91</xdr:row>
      <xdr:rowOff>3751</xdr:rowOff>
    </xdr:to>
    <xdr:sp macro="" textlink="">
      <xdr:nvSpPr>
        <xdr:cNvPr id="247582" name="フリーフォーム: 図形 247581">
          <a:extLst>
            <a:ext uri="{FF2B5EF4-FFF2-40B4-BE49-F238E27FC236}">
              <a16:creationId xmlns:a16="http://schemas.microsoft.com/office/drawing/2014/main" id="{A83C2E02-8832-4609-9407-21F272270D46}"/>
            </a:ext>
          </a:extLst>
        </xdr:cNvPr>
        <xdr:cNvSpPr>
          <a:spLocks noChangeAspect="1"/>
        </xdr:cNvSpPr>
      </xdr:nvSpPr>
      <xdr:spPr>
        <a:xfrm>
          <a:off x="466380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91</xdr:row>
      <xdr:rowOff>75750</xdr:rowOff>
    </xdr:from>
    <xdr:to>
      <xdr:col>68</xdr:col>
      <xdr:colOff>237602</xdr:colOff>
      <xdr:row>95</xdr:row>
      <xdr:rowOff>163951</xdr:rowOff>
    </xdr:to>
    <xdr:sp macro="" textlink="">
      <xdr:nvSpPr>
        <xdr:cNvPr id="247583" name="フリーフォーム: 図形 247582">
          <a:extLst>
            <a:ext uri="{FF2B5EF4-FFF2-40B4-BE49-F238E27FC236}">
              <a16:creationId xmlns:a16="http://schemas.microsoft.com/office/drawing/2014/main" id="{68EC433C-177F-4D13-BA1A-E63FA190A305}"/>
            </a:ext>
          </a:extLst>
        </xdr:cNvPr>
        <xdr:cNvSpPr>
          <a:spLocks noChangeAspect="1"/>
        </xdr:cNvSpPr>
      </xdr:nvSpPr>
      <xdr:spPr>
        <a:xfrm>
          <a:off x="466019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91</xdr:row>
      <xdr:rowOff>93749</xdr:rowOff>
    </xdr:from>
    <xdr:to>
      <xdr:col>67</xdr:col>
      <xdr:colOff>653400</xdr:colOff>
      <xdr:row>96</xdr:row>
      <xdr:rowOff>118501</xdr:rowOff>
    </xdr:to>
    <xdr:sp macro="" textlink="">
      <xdr:nvSpPr>
        <xdr:cNvPr id="247584" name="フリーフォーム: 図形 247583">
          <a:extLst>
            <a:ext uri="{FF2B5EF4-FFF2-40B4-BE49-F238E27FC236}">
              <a16:creationId xmlns:a16="http://schemas.microsoft.com/office/drawing/2014/main" id="{CF3A13A1-D893-442C-B7F3-3262547C87A7}"/>
            </a:ext>
          </a:extLst>
        </xdr:cNvPr>
        <xdr:cNvSpPr>
          <a:spLocks noChangeAspect="1"/>
        </xdr:cNvSpPr>
      </xdr:nvSpPr>
      <xdr:spPr>
        <a:xfrm>
          <a:off x="463680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91</xdr:row>
      <xdr:rowOff>75750</xdr:rowOff>
    </xdr:from>
    <xdr:to>
      <xdr:col>67</xdr:col>
      <xdr:colOff>617402</xdr:colOff>
      <xdr:row>96</xdr:row>
      <xdr:rowOff>10501</xdr:rowOff>
    </xdr:to>
    <xdr:sp macro="" textlink="">
      <xdr:nvSpPr>
        <xdr:cNvPr id="247585" name="フリーフォーム: 図形 247584">
          <a:extLst>
            <a:ext uri="{FF2B5EF4-FFF2-40B4-BE49-F238E27FC236}">
              <a16:creationId xmlns:a16="http://schemas.microsoft.com/office/drawing/2014/main" id="{013579BB-B582-48F1-B0E2-2C350DBA823F}"/>
            </a:ext>
          </a:extLst>
        </xdr:cNvPr>
        <xdr:cNvSpPr>
          <a:spLocks noChangeAspect="1"/>
        </xdr:cNvSpPr>
      </xdr:nvSpPr>
      <xdr:spPr>
        <a:xfrm>
          <a:off x="460439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85</xdr:row>
      <xdr:rowOff>42450</xdr:rowOff>
    </xdr:from>
    <xdr:to>
      <xdr:col>70</xdr:col>
      <xdr:colOff>550801</xdr:colOff>
      <xdr:row>86</xdr:row>
      <xdr:rowOff>15002</xdr:rowOff>
    </xdr:to>
    <xdr:sp macro="" textlink="">
      <xdr:nvSpPr>
        <xdr:cNvPr id="247586" name="フリーフォーム: 図形 247585">
          <a:extLst>
            <a:ext uri="{FF2B5EF4-FFF2-40B4-BE49-F238E27FC236}">
              <a16:creationId xmlns:a16="http://schemas.microsoft.com/office/drawing/2014/main" id="{9AF26499-F761-49AF-8E62-339CB9622764}"/>
            </a:ext>
          </a:extLst>
        </xdr:cNvPr>
        <xdr:cNvSpPr>
          <a:spLocks noChangeAspect="1"/>
        </xdr:cNvSpPr>
      </xdr:nvSpPr>
      <xdr:spPr>
        <a:xfrm>
          <a:off x="480888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85</xdr:row>
      <xdr:rowOff>42450</xdr:rowOff>
    </xdr:from>
    <xdr:to>
      <xdr:col>71</xdr:col>
      <xdr:colOff>405000</xdr:colOff>
      <xdr:row>86</xdr:row>
      <xdr:rowOff>15002</xdr:rowOff>
    </xdr:to>
    <xdr:sp macro="" textlink="">
      <xdr:nvSpPr>
        <xdr:cNvPr id="247587" name="フリーフォーム: 図形 247586">
          <a:extLst>
            <a:ext uri="{FF2B5EF4-FFF2-40B4-BE49-F238E27FC236}">
              <a16:creationId xmlns:a16="http://schemas.microsoft.com/office/drawing/2014/main" id="{B0278C8E-904C-40B3-89FC-F13CC44075C3}"/>
            </a:ext>
          </a:extLst>
        </xdr:cNvPr>
        <xdr:cNvSpPr>
          <a:spLocks noChangeAspect="1"/>
        </xdr:cNvSpPr>
      </xdr:nvSpPr>
      <xdr:spPr>
        <a:xfrm>
          <a:off x="486287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85</xdr:row>
      <xdr:rowOff>114450</xdr:rowOff>
    </xdr:from>
    <xdr:to>
      <xdr:col>71</xdr:col>
      <xdr:colOff>477001</xdr:colOff>
      <xdr:row>91</xdr:row>
      <xdr:rowOff>21752</xdr:rowOff>
    </xdr:to>
    <xdr:sp macro="" textlink="">
      <xdr:nvSpPr>
        <xdr:cNvPr id="247588" name="フリーフォーム: 図形 247587">
          <a:extLst>
            <a:ext uri="{FF2B5EF4-FFF2-40B4-BE49-F238E27FC236}">
              <a16:creationId xmlns:a16="http://schemas.microsoft.com/office/drawing/2014/main" id="{B8F0655D-AC86-40F3-8419-C21B9FEEAC7E}"/>
            </a:ext>
          </a:extLst>
        </xdr:cNvPr>
        <xdr:cNvSpPr>
          <a:spLocks noChangeAspect="1"/>
        </xdr:cNvSpPr>
      </xdr:nvSpPr>
      <xdr:spPr>
        <a:xfrm>
          <a:off x="488807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91</xdr:row>
      <xdr:rowOff>75750</xdr:rowOff>
    </xdr:from>
    <xdr:to>
      <xdr:col>71</xdr:col>
      <xdr:colOff>297000</xdr:colOff>
      <xdr:row>96</xdr:row>
      <xdr:rowOff>136501</xdr:rowOff>
    </xdr:to>
    <xdr:sp macro="" textlink="">
      <xdr:nvSpPr>
        <xdr:cNvPr id="247589" name="フリーフォーム: 図形 247588">
          <a:extLst>
            <a:ext uri="{FF2B5EF4-FFF2-40B4-BE49-F238E27FC236}">
              <a16:creationId xmlns:a16="http://schemas.microsoft.com/office/drawing/2014/main" id="{C43FBCD0-DD70-4722-B622-AA198D5F3C0F}"/>
            </a:ext>
          </a:extLst>
        </xdr:cNvPr>
        <xdr:cNvSpPr>
          <a:spLocks noChangeAspect="1"/>
        </xdr:cNvSpPr>
      </xdr:nvSpPr>
      <xdr:spPr>
        <a:xfrm>
          <a:off x="487008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96</xdr:row>
      <xdr:rowOff>64500</xdr:rowOff>
    </xdr:from>
    <xdr:to>
      <xdr:col>70</xdr:col>
      <xdr:colOff>226800</xdr:colOff>
      <xdr:row>97</xdr:row>
      <xdr:rowOff>37051</xdr:rowOff>
    </xdr:to>
    <xdr:sp macro="" textlink="">
      <xdr:nvSpPr>
        <xdr:cNvPr id="247590" name="フリーフォーム: 図形 247589">
          <a:extLst>
            <a:ext uri="{FF2B5EF4-FFF2-40B4-BE49-F238E27FC236}">
              <a16:creationId xmlns:a16="http://schemas.microsoft.com/office/drawing/2014/main" id="{B083685B-E133-4BF2-8692-D7BBE9A5FD3D}"/>
            </a:ext>
          </a:extLst>
        </xdr:cNvPr>
        <xdr:cNvSpPr>
          <a:spLocks noChangeAspect="1"/>
        </xdr:cNvSpPr>
      </xdr:nvSpPr>
      <xdr:spPr>
        <a:xfrm>
          <a:off x="477468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96</xdr:row>
      <xdr:rowOff>64500</xdr:rowOff>
    </xdr:from>
    <xdr:to>
      <xdr:col>71</xdr:col>
      <xdr:colOff>45000</xdr:colOff>
      <xdr:row>97</xdr:row>
      <xdr:rowOff>37051</xdr:rowOff>
    </xdr:to>
    <xdr:sp macro="" textlink="">
      <xdr:nvSpPr>
        <xdr:cNvPr id="247591" name="フリーフォーム: 図形 247590">
          <a:extLst>
            <a:ext uri="{FF2B5EF4-FFF2-40B4-BE49-F238E27FC236}">
              <a16:creationId xmlns:a16="http://schemas.microsoft.com/office/drawing/2014/main" id="{3B75D743-157C-467F-8EEC-74EE6735AF1F}"/>
            </a:ext>
          </a:extLst>
        </xdr:cNvPr>
        <xdr:cNvSpPr>
          <a:spLocks noChangeAspect="1"/>
        </xdr:cNvSpPr>
      </xdr:nvSpPr>
      <xdr:spPr>
        <a:xfrm>
          <a:off x="482687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91</xdr:row>
      <xdr:rowOff>75750</xdr:rowOff>
    </xdr:from>
    <xdr:to>
      <xdr:col>69</xdr:col>
      <xdr:colOff>660603</xdr:colOff>
      <xdr:row>96</xdr:row>
      <xdr:rowOff>136501</xdr:rowOff>
    </xdr:to>
    <xdr:sp macro="" textlink="">
      <xdr:nvSpPr>
        <xdr:cNvPr id="247592" name="フリーフォーム: 図形 247591">
          <a:extLst>
            <a:ext uri="{FF2B5EF4-FFF2-40B4-BE49-F238E27FC236}">
              <a16:creationId xmlns:a16="http://schemas.microsoft.com/office/drawing/2014/main" id="{41D64BAC-8184-4097-9330-13BD5AF72988}"/>
            </a:ext>
          </a:extLst>
        </xdr:cNvPr>
        <xdr:cNvSpPr>
          <a:spLocks noChangeAspect="1"/>
        </xdr:cNvSpPr>
      </xdr:nvSpPr>
      <xdr:spPr>
        <a:xfrm>
          <a:off x="476928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85</xdr:row>
      <xdr:rowOff>114450</xdr:rowOff>
    </xdr:from>
    <xdr:to>
      <xdr:col>70</xdr:col>
      <xdr:colOff>118800</xdr:colOff>
      <xdr:row>91</xdr:row>
      <xdr:rowOff>21752</xdr:rowOff>
    </xdr:to>
    <xdr:sp macro="" textlink="">
      <xdr:nvSpPr>
        <xdr:cNvPr id="247593" name="フリーフォーム: 図形 247592">
          <a:extLst>
            <a:ext uri="{FF2B5EF4-FFF2-40B4-BE49-F238E27FC236}">
              <a16:creationId xmlns:a16="http://schemas.microsoft.com/office/drawing/2014/main" id="{A19C3D3D-BBE5-446F-9AAA-C31C54F8D723}"/>
            </a:ext>
          </a:extLst>
        </xdr:cNvPr>
        <xdr:cNvSpPr>
          <a:spLocks noChangeAspect="1"/>
        </xdr:cNvSpPr>
      </xdr:nvSpPr>
      <xdr:spPr>
        <a:xfrm>
          <a:off x="478727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90</xdr:row>
      <xdr:rowOff>139199</xdr:rowOff>
    </xdr:from>
    <xdr:to>
      <xdr:col>70</xdr:col>
      <xdr:colOff>388802</xdr:colOff>
      <xdr:row>91</xdr:row>
      <xdr:rowOff>111751</xdr:rowOff>
    </xdr:to>
    <xdr:sp macro="" textlink="">
      <xdr:nvSpPr>
        <xdr:cNvPr id="247594" name="フリーフォーム: 図形 247593">
          <a:extLst>
            <a:ext uri="{FF2B5EF4-FFF2-40B4-BE49-F238E27FC236}">
              <a16:creationId xmlns:a16="http://schemas.microsoft.com/office/drawing/2014/main" id="{80DD938C-56CE-4344-AD3C-A951E38D835D}"/>
            </a:ext>
          </a:extLst>
        </xdr:cNvPr>
        <xdr:cNvSpPr>
          <a:spLocks noChangeAspect="1"/>
        </xdr:cNvSpPr>
      </xdr:nvSpPr>
      <xdr:spPr>
        <a:xfrm>
          <a:off x="479448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90</xdr:row>
      <xdr:rowOff>139199</xdr:rowOff>
    </xdr:from>
    <xdr:to>
      <xdr:col>71</xdr:col>
      <xdr:colOff>207002</xdr:colOff>
      <xdr:row>91</xdr:row>
      <xdr:rowOff>111751</xdr:rowOff>
    </xdr:to>
    <xdr:sp macro="" textlink="">
      <xdr:nvSpPr>
        <xdr:cNvPr id="247595" name="フリーフォーム: 図形 247594">
          <a:extLst>
            <a:ext uri="{FF2B5EF4-FFF2-40B4-BE49-F238E27FC236}">
              <a16:creationId xmlns:a16="http://schemas.microsoft.com/office/drawing/2014/main" id="{1437EAD3-DB35-40BF-890B-C71DD24E7670}"/>
            </a:ext>
          </a:extLst>
        </xdr:cNvPr>
        <xdr:cNvSpPr>
          <a:spLocks noChangeAspect="1"/>
        </xdr:cNvSpPr>
      </xdr:nvSpPr>
      <xdr:spPr>
        <a:xfrm>
          <a:off x="484488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86</xdr:row>
      <xdr:rowOff>51000</xdr:rowOff>
    </xdr:from>
    <xdr:to>
      <xdr:col>70</xdr:col>
      <xdr:colOff>406801</xdr:colOff>
      <xdr:row>91</xdr:row>
      <xdr:rowOff>3751</xdr:rowOff>
    </xdr:to>
    <xdr:sp macro="" textlink="">
      <xdr:nvSpPr>
        <xdr:cNvPr id="247596" name="フリーフォーム: 図形 247595">
          <a:extLst>
            <a:ext uri="{FF2B5EF4-FFF2-40B4-BE49-F238E27FC236}">
              <a16:creationId xmlns:a16="http://schemas.microsoft.com/office/drawing/2014/main" id="{705D6B65-3160-40A3-97D7-DAA66B7DEB5C}"/>
            </a:ext>
          </a:extLst>
        </xdr:cNvPr>
        <xdr:cNvSpPr>
          <a:spLocks noChangeAspect="1"/>
        </xdr:cNvSpPr>
      </xdr:nvSpPr>
      <xdr:spPr>
        <a:xfrm>
          <a:off x="481428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85</xdr:row>
      <xdr:rowOff>114450</xdr:rowOff>
    </xdr:from>
    <xdr:to>
      <xdr:col>70</xdr:col>
      <xdr:colOff>658801</xdr:colOff>
      <xdr:row>90</xdr:row>
      <xdr:rowOff>157201</xdr:rowOff>
    </xdr:to>
    <xdr:sp macro="" textlink="">
      <xdr:nvSpPr>
        <xdr:cNvPr id="247597" name="フリーフォーム: 図形 247596">
          <a:extLst>
            <a:ext uri="{FF2B5EF4-FFF2-40B4-BE49-F238E27FC236}">
              <a16:creationId xmlns:a16="http://schemas.microsoft.com/office/drawing/2014/main" id="{1181C6FB-A323-47A5-9FE7-02D752E27BCB}"/>
            </a:ext>
          </a:extLst>
        </xdr:cNvPr>
        <xdr:cNvSpPr>
          <a:spLocks noChangeAspect="1"/>
        </xdr:cNvSpPr>
      </xdr:nvSpPr>
      <xdr:spPr>
        <a:xfrm>
          <a:off x="484128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86</xdr:row>
      <xdr:rowOff>69000</xdr:rowOff>
    </xdr:from>
    <xdr:to>
      <xdr:col>71</xdr:col>
      <xdr:colOff>297000</xdr:colOff>
      <xdr:row>91</xdr:row>
      <xdr:rowOff>3751</xdr:rowOff>
    </xdr:to>
    <xdr:sp macro="" textlink="">
      <xdr:nvSpPr>
        <xdr:cNvPr id="247598" name="フリーフォーム: 図形 247597">
          <a:extLst>
            <a:ext uri="{FF2B5EF4-FFF2-40B4-BE49-F238E27FC236}">
              <a16:creationId xmlns:a16="http://schemas.microsoft.com/office/drawing/2014/main" id="{1DADA9E3-514A-4D96-98AA-74973F080E25}"/>
            </a:ext>
          </a:extLst>
        </xdr:cNvPr>
        <xdr:cNvSpPr>
          <a:spLocks noChangeAspect="1"/>
        </xdr:cNvSpPr>
      </xdr:nvSpPr>
      <xdr:spPr>
        <a:xfrm>
          <a:off x="484668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91</xdr:row>
      <xdr:rowOff>75750</xdr:rowOff>
    </xdr:from>
    <xdr:to>
      <xdr:col>71</xdr:col>
      <xdr:colOff>9002</xdr:colOff>
      <xdr:row>95</xdr:row>
      <xdr:rowOff>163951</xdr:rowOff>
    </xdr:to>
    <xdr:sp macro="" textlink="">
      <xdr:nvSpPr>
        <xdr:cNvPr id="247599" name="フリーフォーム: 図形 247598">
          <a:extLst>
            <a:ext uri="{FF2B5EF4-FFF2-40B4-BE49-F238E27FC236}">
              <a16:creationId xmlns:a16="http://schemas.microsoft.com/office/drawing/2014/main" id="{4E7E2B04-3DBA-4CFE-A5BC-A05A16F3F864}"/>
            </a:ext>
          </a:extLst>
        </xdr:cNvPr>
        <xdr:cNvSpPr>
          <a:spLocks noChangeAspect="1"/>
        </xdr:cNvSpPr>
      </xdr:nvSpPr>
      <xdr:spPr>
        <a:xfrm>
          <a:off x="484307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91</xdr:row>
      <xdr:rowOff>93749</xdr:rowOff>
    </xdr:from>
    <xdr:to>
      <xdr:col>70</xdr:col>
      <xdr:colOff>424800</xdr:colOff>
      <xdr:row>96</xdr:row>
      <xdr:rowOff>118501</xdr:rowOff>
    </xdr:to>
    <xdr:sp macro="" textlink="">
      <xdr:nvSpPr>
        <xdr:cNvPr id="247600" name="フリーフォーム: 図形 247599">
          <a:extLst>
            <a:ext uri="{FF2B5EF4-FFF2-40B4-BE49-F238E27FC236}">
              <a16:creationId xmlns:a16="http://schemas.microsoft.com/office/drawing/2014/main" id="{EB7B638B-B8F4-4B05-B233-0FF2FB65AB08}"/>
            </a:ext>
          </a:extLst>
        </xdr:cNvPr>
        <xdr:cNvSpPr>
          <a:spLocks noChangeAspect="1"/>
        </xdr:cNvSpPr>
      </xdr:nvSpPr>
      <xdr:spPr>
        <a:xfrm>
          <a:off x="481968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91</xdr:row>
      <xdr:rowOff>75750</xdr:rowOff>
    </xdr:from>
    <xdr:to>
      <xdr:col>70</xdr:col>
      <xdr:colOff>388802</xdr:colOff>
      <xdr:row>96</xdr:row>
      <xdr:rowOff>10501</xdr:rowOff>
    </xdr:to>
    <xdr:sp macro="" textlink="">
      <xdr:nvSpPr>
        <xdr:cNvPr id="247601" name="フリーフォーム: 図形 247600">
          <a:extLst>
            <a:ext uri="{FF2B5EF4-FFF2-40B4-BE49-F238E27FC236}">
              <a16:creationId xmlns:a16="http://schemas.microsoft.com/office/drawing/2014/main" id="{15E149D7-DE8D-41F2-BC49-5C052F5020ED}"/>
            </a:ext>
          </a:extLst>
        </xdr:cNvPr>
        <xdr:cNvSpPr>
          <a:spLocks noChangeAspect="1"/>
        </xdr:cNvSpPr>
      </xdr:nvSpPr>
      <xdr:spPr>
        <a:xfrm>
          <a:off x="478727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85</xdr:row>
      <xdr:rowOff>42450</xdr:rowOff>
    </xdr:from>
    <xdr:to>
      <xdr:col>73</xdr:col>
      <xdr:colOff>322201</xdr:colOff>
      <xdr:row>86</xdr:row>
      <xdr:rowOff>15002</xdr:rowOff>
    </xdr:to>
    <xdr:sp macro="" textlink="">
      <xdr:nvSpPr>
        <xdr:cNvPr id="247602" name="フリーフォーム: 図形 247601">
          <a:extLst>
            <a:ext uri="{FF2B5EF4-FFF2-40B4-BE49-F238E27FC236}">
              <a16:creationId xmlns:a16="http://schemas.microsoft.com/office/drawing/2014/main" id="{A93DE135-6C39-40DE-B931-8C984E9ADFE3}"/>
            </a:ext>
          </a:extLst>
        </xdr:cNvPr>
        <xdr:cNvSpPr>
          <a:spLocks noChangeAspect="1"/>
        </xdr:cNvSpPr>
      </xdr:nvSpPr>
      <xdr:spPr>
        <a:xfrm>
          <a:off x="49917601" y="148824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85</xdr:row>
      <xdr:rowOff>42450</xdr:rowOff>
    </xdr:from>
    <xdr:to>
      <xdr:col>74</xdr:col>
      <xdr:colOff>176400</xdr:colOff>
      <xdr:row>86</xdr:row>
      <xdr:rowOff>15002</xdr:rowOff>
    </xdr:to>
    <xdr:sp macro="" textlink="">
      <xdr:nvSpPr>
        <xdr:cNvPr id="247603" name="フリーフォーム: 図形 247602">
          <a:extLst>
            <a:ext uri="{FF2B5EF4-FFF2-40B4-BE49-F238E27FC236}">
              <a16:creationId xmlns:a16="http://schemas.microsoft.com/office/drawing/2014/main" id="{65F73C07-48F0-4F0B-8E50-34054B6EBAEE}"/>
            </a:ext>
          </a:extLst>
        </xdr:cNvPr>
        <xdr:cNvSpPr>
          <a:spLocks noChangeAspect="1"/>
        </xdr:cNvSpPr>
      </xdr:nvSpPr>
      <xdr:spPr>
        <a:xfrm>
          <a:off x="50457599" y="148824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85</xdr:row>
      <xdr:rowOff>114450</xdr:rowOff>
    </xdr:from>
    <xdr:to>
      <xdr:col>74</xdr:col>
      <xdr:colOff>248401</xdr:colOff>
      <xdr:row>91</xdr:row>
      <xdr:rowOff>21752</xdr:rowOff>
    </xdr:to>
    <xdr:sp macro="" textlink="">
      <xdr:nvSpPr>
        <xdr:cNvPr id="247604" name="フリーフォーム: 図形 247603">
          <a:extLst>
            <a:ext uri="{FF2B5EF4-FFF2-40B4-BE49-F238E27FC236}">
              <a16:creationId xmlns:a16="http://schemas.microsoft.com/office/drawing/2014/main" id="{89E754C4-C2E0-4FA7-8530-651448094FE4}"/>
            </a:ext>
          </a:extLst>
        </xdr:cNvPr>
        <xdr:cNvSpPr>
          <a:spLocks noChangeAspect="1"/>
        </xdr:cNvSpPr>
      </xdr:nvSpPr>
      <xdr:spPr>
        <a:xfrm>
          <a:off x="50709599" y="149544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91</xdr:row>
      <xdr:rowOff>75750</xdr:rowOff>
    </xdr:from>
    <xdr:to>
      <xdr:col>74</xdr:col>
      <xdr:colOff>68400</xdr:colOff>
      <xdr:row>96</xdr:row>
      <xdr:rowOff>136501</xdr:rowOff>
    </xdr:to>
    <xdr:sp macro="" textlink="">
      <xdr:nvSpPr>
        <xdr:cNvPr id="247605" name="フリーフォーム: 図形 247604">
          <a:extLst>
            <a:ext uri="{FF2B5EF4-FFF2-40B4-BE49-F238E27FC236}">
              <a16:creationId xmlns:a16="http://schemas.microsoft.com/office/drawing/2014/main" id="{5EAA59C3-FDB4-4D86-BE8B-4005063B9108}"/>
            </a:ext>
          </a:extLst>
        </xdr:cNvPr>
        <xdr:cNvSpPr>
          <a:spLocks noChangeAspect="1"/>
        </xdr:cNvSpPr>
      </xdr:nvSpPr>
      <xdr:spPr>
        <a:xfrm>
          <a:off x="50529601" y="159444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96</xdr:row>
      <xdr:rowOff>64500</xdr:rowOff>
    </xdr:from>
    <xdr:to>
      <xdr:col>72</xdr:col>
      <xdr:colOff>684000</xdr:colOff>
      <xdr:row>97</xdr:row>
      <xdr:rowOff>37051</xdr:rowOff>
    </xdr:to>
    <xdr:sp macro="" textlink="">
      <xdr:nvSpPr>
        <xdr:cNvPr id="247606" name="フリーフォーム: 図形 247605">
          <a:extLst>
            <a:ext uri="{FF2B5EF4-FFF2-40B4-BE49-F238E27FC236}">
              <a16:creationId xmlns:a16="http://schemas.microsoft.com/office/drawing/2014/main" id="{41998703-2399-443B-BF77-33184089C4C0}"/>
            </a:ext>
          </a:extLst>
        </xdr:cNvPr>
        <xdr:cNvSpPr>
          <a:spLocks noChangeAspect="1"/>
        </xdr:cNvSpPr>
      </xdr:nvSpPr>
      <xdr:spPr>
        <a:xfrm>
          <a:off x="495756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96</xdr:row>
      <xdr:rowOff>64500</xdr:rowOff>
    </xdr:from>
    <xdr:to>
      <xdr:col>73</xdr:col>
      <xdr:colOff>502200</xdr:colOff>
      <xdr:row>97</xdr:row>
      <xdr:rowOff>37051</xdr:rowOff>
    </xdr:to>
    <xdr:sp macro="" textlink="">
      <xdr:nvSpPr>
        <xdr:cNvPr id="247607" name="フリーフォーム: 図形 247606">
          <a:extLst>
            <a:ext uri="{FF2B5EF4-FFF2-40B4-BE49-F238E27FC236}">
              <a16:creationId xmlns:a16="http://schemas.microsoft.com/office/drawing/2014/main" id="{A35711B8-8ABD-4231-A00B-B1F743ABF778}"/>
            </a:ext>
          </a:extLst>
        </xdr:cNvPr>
        <xdr:cNvSpPr>
          <a:spLocks noChangeAspect="1"/>
        </xdr:cNvSpPr>
      </xdr:nvSpPr>
      <xdr:spPr>
        <a:xfrm>
          <a:off x="50097599" y="167904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91</xdr:row>
      <xdr:rowOff>75750</xdr:rowOff>
    </xdr:from>
    <xdr:to>
      <xdr:col>72</xdr:col>
      <xdr:colOff>432003</xdr:colOff>
      <xdr:row>96</xdr:row>
      <xdr:rowOff>136501</xdr:rowOff>
    </xdr:to>
    <xdr:sp macro="" textlink="">
      <xdr:nvSpPr>
        <xdr:cNvPr id="247608" name="フリーフォーム: 図形 247607">
          <a:extLst>
            <a:ext uri="{FF2B5EF4-FFF2-40B4-BE49-F238E27FC236}">
              <a16:creationId xmlns:a16="http://schemas.microsoft.com/office/drawing/2014/main" id="{B31B8ECD-D2D2-4EDC-9E58-594A65223B89}"/>
            </a:ext>
          </a:extLst>
        </xdr:cNvPr>
        <xdr:cNvSpPr>
          <a:spLocks noChangeAspect="1"/>
        </xdr:cNvSpPr>
      </xdr:nvSpPr>
      <xdr:spPr>
        <a:xfrm>
          <a:off x="495216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85</xdr:row>
      <xdr:rowOff>114450</xdr:rowOff>
    </xdr:from>
    <xdr:to>
      <xdr:col>72</xdr:col>
      <xdr:colOff>576000</xdr:colOff>
      <xdr:row>91</xdr:row>
      <xdr:rowOff>21752</xdr:rowOff>
    </xdr:to>
    <xdr:sp macro="" textlink="">
      <xdr:nvSpPr>
        <xdr:cNvPr id="247609" name="フリーフォーム: 図形 247608">
          <a:extLst>
            <a:ext uri="{FF2B5EF4-FFF2-40B4-BE49-F238E27FC236}">
              <a16:creationId xmlns:a16="http://schemas.microsoft.com/office/drawing/2014/main" id="{ECEF602F-BD6E-43B9-9F8E-0CDEC263A44B}"/>
            </a:ext>
          </a:extLst>
        </xdr:cNvPr>
        <xdr:cNvSpPr>
          <a:spLocks noChangeAspect="1"/>
        </xdr:cNvSpPr>
      </xdr:nvSpPr>
      <xdr:spPr>
        <a:xfrm>
          <a:off x="497015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90</xdr:row>
      <xdr:rowOff>139199</xdr:rowOff>
    </xdr:from>
    <xdr:to>
      <xdr:col>73</xdr:col>
      <xdr:colOff>160202</xdr:colOff>
      <xdr:row>91</xdr:row>
      <xdr:rowOff>111751</xdr:rowOff>
    </xdr:to>
    <xdr:sp macro="" textlink="">
      <xdr:nvSpPr>
        <xdr:cNvPr id="247610" name="フリーフォーム: 図形 247609">
          <a:extLst>
            <a:ext uri="{FF2B5EF4-FFF2-40B4-BE49-F238E27FC236}">
              <a16:creationId xmlns:a16="http://schemas.microsoft.com/office/drawing/2014/main" id="{0D406D5B-D48E-4070-BC07-9FFAF9CD0427}"/>
            </a:ext>
          </a:extLst>
        </xdr:cNvPr>
        <xdr:cNvSpPr>
          <a:spLocks noChangeAspect="1"/>
        </xdr:cNvSpPr>
      </xdr:nvSpPr>
      <xdr:spPr>
        <a:xfrm>
          <a:off x="497736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90</xdr:row>
      <xdr:rowOff>139199</xdr:rowOff>
    </xdr:from>
    <xdr:to>
      <xdr:col>73</xdr:col>
      <xdr:colOff>664202</xdr:colOff>
      <xdr:row>91</xdr:row>
      <xdr:rowOff>111751</xdr:rowOff>
    </xdr:to>
    <xdr:sp macro="" textlink="">
      <xdr:nvSpPr>
        <xdr:cNvPr id="247611" name="フリーフォーム: 図形 247610">
          <a:extLst>
            <a:ext uri="{FF2B5EF4-FFF2-40B4-BE49-F238E27FC236}">
              <a16:creationId xmlns:a16="http://schemas.microsoft.com/office/drawing/2014/main" id="{FF6D1959-45B5-44AB-8C76-40205D967333}"/>
            </a:ext>
          </a:extLst>
        </xdr:cNvPr>
        <xdr:cNvSpPr>
          <a:spLocks noChangeAspect="1"/>
        </xdr:cNvSpPr>
      </xdr:nvSpPr>
      <xdr:spPr>
        <a:xfrm>
          <a:off x="50277601" y="158363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86</xdr:row>
      <xdr:rowOff>51000</xdr:rowOff>
    </xdr:from>
    <xdr:to>
      <xdr:col>73</xdr:col>
      <xdr:colOff>178201</xdr:colOff>
      <xdr:row>91</xdr:row>
      <xdr:rowOff>3751</xdr:rowOff>
    </xdr:to>
    <xdr:sp macro="" textlink="">
      <xdr:nvSpPr>
        <xdr:cNvPr id="247612" name="フリーフォーム: 図形 247611">
          <a:extLst>
            <a:ext uri="{FF2B5EF4-FFF2-40B4-BE49-F238E27FC236}">
              <a16:creationId xmlns:a16="http://schemas.microsoft.com/office/drawing/2014/main" id="{49AB185E-D7DF-45E8-B051-F03AAA115C5B}"/>
            </a:ext>
          </a:extLst>
        </xdr:cNvPr>
        <xdr:cNvSpPr>
          <a:spLocks noChangeAspect="1"/>
        </xdr:cNvSpPr>
      </xdr:nvSpPr>
      <xdr:spPr>
        <a:xfrm>
          <a:off x="49971601" y="150624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85</xdr:row>
      <xdr:rowOff>114450</xdr:rowOff>
    </xdr:from>
    <xdr:to>
      <xdr:col>73</xdr:col>
      <xdr:colOff>430201</xdr:colOff>
      <xdr:row>90</xdr:row>
      <xdr:rowOff>157201</xdr:rowOff>
    </xdr:to>
    <xdr:sp macro="" textlink="">
      <xdr:nvSpPr>
        <xdr:cNvPr id="247613" name="フリーフォーム: 図形 247612">
          <a:extLst>
            <a:ext uri="{FF2B5EF4-FFF2-40B4-BE49-F238E27FC236}">
              <a16:creationId xmlns:a16="http://schemas.microsoft.com/office/drawing/2014/main" id="{FEAC5933-BF6C-42D8-B933-0A564CE73D3A}"/>
            </a:ext>
          </a:extLst>
        </xdr:cNvPr>
        <xdr:cNvSpPr>
          <a:spLocks noChangeAspect="1"/>
        </xdr:cNvSpPr>
      </xdr:nvSpPr>
      <xdr:spPr>
        <a:xfrm>
          <a:off x="50241600" y="149544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86</xdr:row>
      <xdr:rowOff>69000</xdr:rowOff>
    </xdr:from>
    <xdr:to>
      <xdr:col>74</xdr:col>
      <xdr:colOff>68400</xdr:colOff>
      <xdr:row>91</xdr:row>
      <xdr:rowOff>3751</xdr:rowOff>
    </xdr:to>
    <xdr:sp macro="" textlink="">
      <xdr:nvSpPr>
        <xdr:cNvPr id="247614" name="フリーフォーム: 図形 247613">
          <a:extLst>
            <a:ext uri="{FF2B5EF4-FFF2-40B4-BE49-F238E27FC236}">
              <a16:creationId xmlns:a16="http://schemas.microsoft.com/office/drawing/2014/main" id="{A9AEF2B7-54DD-43CA-9933-E23684CD5068}"/>
            </a:ext>
          </a:extLst>
        </xdr:cNvPr>
        <xdr:cNvSpPr>
          <a:spLocks noChangeAspect="1"/>
        </xdr:cNvSpPr>
      </xdr:nvSpPr>
      <xdr:spPr>
        <a:xfrm>
          <a:off x="50295600" y="150804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91</xdr:row>
      <xdr:rowOff>75750</xdr:rowOff>
    </xdr:from>
    <xdr:to>
      <xdr:col>73</xdr:col>
      <xdr:colOff>466202</xdr:colOff>
      <xdr:row>95</xdr:row>
      <xdr:rowOff>163951</xdr:rowOff>
    </xdr:to>
    <xdr:sp macro="" textlink="">
      <xdr:nvSpPr>
        <xdr:cNvPr id="247615" name="フリーフォーム: 図形 247614">
          <a:extLst>
            <a:ext uri="{FF2B5EF4-FFF2-40B4-BE49-F238E27FC236}">
              <a16:creationId xmlns:a16="http://schemas.microsoft.com/office/drawing/2014/main" id="{8251F9DB-C340-43AB-B144-BD7E4D4917AA}"/>
            </a:ext>
          </a:extLst>
        </xdr:cNvPr>
        <xdr:cNvSpPr>
          <a:spLocks noChangeAspect="1"/>
        </xdr:cNvSpPr>
      </xdr:nvSpPr>
      <xdr:spPr>
        <a:xfrm>
          <a:off x="50259599" y="159444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91</xdr:row>
      <xdr:rowOff>93749</xdr:rowOff>
    </xdr:from>
    <xdr:to>
      <xdr:col>73</xdr:col>
      <xdr:colOff>196200</xdr:colOff>
      <xdr:row>96</xdr:row>
      <xdr:rowOff>118501</xdr:rowOff>
    </xdr:to>
    <xdr:sp macro="" textlink="">
      <xdr:nvSpPr>
        <xdr:cNvPr id="247616" name="フリーフォーム: 図形 247615">
          <a:extLst>
            <a:ext uri="{FF2B5EF4-FFF2-40B4-BE49-F238E27FC236}">
              <a16:creationId xmlns:a16="http://schemas.microsoft.com/office/drawing/2014/main" id="{3F2F7135-F996-4D7D-8599-6F628BF5A087}"/>
            </a:ext>
          </a:extLst>
        </xdr:cNvPr>
        <xdr:cNvSpPr>
          <a:spLocks noChangeAspect="1"/>
        </xdr:cNvSpPr>
      </xdr:nvSpPr>
      <xdr:spPr>
        <a:xfrm>
          <a:off x="50025601" y="159623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91</xdr:row>
      <xdr:rowOff>75750</xdr:rowOff>
    </xdr:from>
    <xdr:to>
      <xdr:col>73</xdr:col>
      <xdr:colOff>160202</xdr:colOff>
      <xdr:row>96</xdr:row>
      <xdr:rowOff>10501</xdr:rowOff>
    </xdr:to>
    <xdr:sp macro="" textlink="">
      <xdr:nvSpPr>
        <xdr:cNvPr id="247617" name="フリーフォーム: 図形 247616">
          <a:extLst>
            <a:ext uri="{FF2B5EF4-FFF2-40B4-BE49-F238E27FC236}">
              <a16:creationId xmlns:a16="http://schemas.microsoft.com/office/drawing/2014/main" id="{5495C664-7391-4971-8B32-A17EF7E33B29}"/>
            </a:ext>
          </a:extLst>
        </xdr:cNvPr>
        <xdr:cNvSpPr>
          <a:spLocks noChangeAspect="1"/>
        </xdr:cNvSpPr>
      </xdr:nvSpPr>
      <xdr:spPr>
        <a:xfrm>
          <a:off x="497015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85</xdr:row>
      <xdr:rowOff>42450</xdr:rowOff>
    </xdr:from>
    <xdr:to>
      <xdr:col>76</xdr:col>
      <xdr:colOff>93601</xdr:colOff>
      <xdr:row>86</xdr:row>
      <xdr:rowOff>15002</xdr:rowOff>
    </xdr:to>
    <xdr:sp macro="" textlink="">
      <xdr:nvSpPr>
        <xdr:cNvPr id="247618" name="フリーフォーム: 図形 247617">
          <a:extLst>
            <a:ext uri="{FF2B5EF4-FFF2-40B4-BE49-F238E27FC236}">
              <a16:creationId xmlns:a16="http://schemas.microsoft.com/office/drawing/2014/main" id="{CC74BB79-ABB8-4B4F-BC83-F1D4C4873670}"/>
            </a:ext>
          </a:extLst>
        </xdr:cNvPr>
        <xdr:cNvSpPr>
          <a:spLocks noChangeAspect="1"/>
        </xdr:cNvSpPr>
      </xdr:nvSpPr>
      <xdr:spPr>
        <a:xfrm>
          <a:off x="51746401" y="14882400"/>
          <a:ext cx="468000" cy="144002"/>
        </a:xfrm>
        <a:custGeom>
          <a:avLst/>
          <a:gdLst/>
          <a:ahLst/>
          <a:cxnLst/>
          <a:rect l="0" t="0" r="0" b="0"/>
          <a:pathLst>
            <a:path w="468000" h="144002">
              <a:moveTo>
                <a:pt x="71999" y="0"/>
              </a:moveTo>
              <a:lnTo>
                <a:pt x="432002"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85</xdr:row>
      <xdr:rowOff>42450</xdr:rowOff>
    </xdr:from>
    <xdr:to>
      <xdr:col>76</xdr:col>
      <xdr:colOff>633600</xdr:colOff>
      <xdr:row>86</xdr:row>
      <xdr:rowOff>15002</xdr:rowOff>
    </xdr:to>
    <xdr:sp macro="" textlink="">
      <xdr:nvSpPr>
        <xdr:cNvPr id="247619" name="フリーフォーム: 図形 247618">
          <a:extLst>
            <a:ext uri="{FF2B5EF4-FFF2-40B4-BE49-F238E27FC236}">
              <a16:creationId xmlns:a16="http://schemas.microsoft.com/office/drawing/2014/main" id="{4D2FE631-E075-42D5-95C6-958A9E968142}"/>
            </a:ext>
          </a:extLst>
        </xdr:cNvPr>
        <xdr:cNvSpPr>
          <a:spLocks noChangeAspect="1"/>
        </xdr:cNvSpPr>
      </xdr:nvSpPr>
      <xdr:spPr>
        <a:xfrm>
          <a:off x="52286402" y="148824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85</xdr:row>
      <xdr:rowOff>114450</xdr:rowOff>
    </xdr:from>
    <xdr:to>
      <xdr:col>77</xdr:col>
      <xdr:colOff>19801</xdr:colOff>
      <xdr:row>91</xdr:row>
      <xdr:rowOff>21752</xdr:rowOff>
    </xdr:to>
    <xdr:sp macro="" textlink="">
      <xdr:nvSpPr>
        <xdr:cNvPr id="247620" name="フリーフォーム: 図形 247619">
          <a:extLst>
            <a:ext uri="{FF2B5EF4-FFF2-40B4-BE49-F238E27FC236}">
              <a16:creationId xmlns:a16="http://schemas.microsoft.com/office/drawing/2014/main" id="{E89011CF-F0AE-4B90-93EC-36BB0D5B5BE9}"/>
            </a:ext>
          </a:extLst>
        </xdr:cNvPr>
        <xdr:cNvSpPr>
          <a:spLocks noChangeAspect="1"/>
        </xdr:cNvSpPr>
      </xdr:nvSpPr>
      <xdr:spPr>
        <a:xfrm>
          <a:off x="52538399" y="149544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91</xdr:row>
      <xdr:rowOff>75750</xdr:rowOff>
    </xdr:from>
    <xdr:to>
      <xdr:col>76</xdr:col>
      <xdr:colOff>525600</xdr:colOff>
      <xdr:row>96</xdr:row>
      <xdr:rowOff>136501</xdr:rowOff>
    </xdr:to>
    <xdr:sp macro="" textlink="">
      <xdr:nvSpPr>
        <xdr:cNvPr id="247621" name="フリーフォーム: 図形 247620">
          <a:extLst>
            <a:ext uri="{FF2B5EF4-FFF2-40B4-BE49-F238E27FC236}">
              <a16:creationId xmlns:a16="http://schemas.microsoft.com/office/drawing/2014/main" id="{55F03491-832E-46C3-9D0E-18FF450BE203}"/>
            </a:ext>
          </a:extLst>
        </xdr:cNvPr>
        <xdr:cNvSpPr>
          <a:spLocks noChangeAspect="1"/>
        </xdr:cNvSpPr>
      </xdr:nvSpPr>
      <xdr:spPr>
        <a:xfrm>
          <a:off x="52358398" y="159444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96</xdr:row>
      <xdr:rowOff>64500</xdr:rowOff>
    </xdr:from>
    <xdr:to>
      <xdr:col>75</xdr:col>
      <xdr:colOff>455400</xdr:colOff>
      <xdr:row>97</xdr:row>
      <xdr:rowOff>37051</xdr:rowOff>
    </xdr:to>
    <xdr:sp macro="" textlink="">
      <xdr:nvSpPr>
        <xdr:cNvPr id="247622" name="フリーフォーム: 図形 247621">
          <a:extLst>
            <a:ext uri="{FF2B5EF4-FFF2-40B4-BE49-F238E27FC236}">
              <a16:creationId xmlns:a16="http://schemas.microsoft.com/office/drawing/2014/main" id="{02C92515-5B3B-42CF-B51C-ADB5C8F52577}"/>
            </a:ext>
          </a:extLst>
        </xdr:cNvPr>
        <xdr:cNvSpPr>
          <a:spLocks noChangeAspect="1"/>
        </xdr:cNvSpPr>
      </xdr:nvSpPr>
      <xdr:spPr>
        <a:xfrm>
          <a:off x="51404400" y="167904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96</xdr:row>
      <xdr:rowOff>64500</xdr:rowOff>
    </xdr:from>
    <xdr:to>
      <xdr:col>76</xdr:col>
      <xdr:colOff>273603</xdr:colOff>
      <xdr:row>97</xdr:row>
      <xdr:rowOff>37051</xdr:rowOff>
    </xdr:to>
    <xdr:sp macro="" textlink="">
      <xdr:nvSpPr>
        <xdr:cNvPr id="247623" name="フリーフォーム: 図形 247622">
          <a:extLst>
            <a:ext uri="{FF2B5EF4-FFF2-40B4-BE49-F238E27FC236}">
              <a16:creationId xmlns:a16="http://schemas.microsoft.com/office/drawing/2014/main" id="{527B13BA-1902-4C06-8B4E-079649D59299}"/>
            </a:ext>
          </a:extLst>
        </xdr:cNvPr>
        <xdr:cNvSpPr>
          <a:spLocks noChangeAspect="1"/>
        </xdr:cNvSpPr>
      </xdr:nvSpPr>
      <xdr:spPr>
        <a:xfrm>
          <a:off x="51926399" y="167904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91</xdr:row>
      <xdr:rowOff>75750</xdr:rowOff>
    </xdr:from>
    <xdr:to>
      <xdr:col>75</xdr:col>
      <xdr:colOff>203403</xdr:colOff>
      <xdr:row>96</xdr:row>
      <xdr:rowOff>136501</xdr:rowOff>
    </xdr:to>
    <xdr:sp macro="" textlink="">
      <xdr:nvSpPr>
        <xdr:cNvPr id="247624" name="フリーフォーム: 図形 247623">
          <a:extLst>
            <a:ext uri="{FF2B5EF4-FFF2-40B4-BE49-F238E27FC236}">
              <a16:creationId xmlns:a16="http://schemas.microsoft.com/office/drawing/2014/main" id="{1DB96CAA-859F-4429-BDE3-BC7F23CDB627}"/>
            </a:ext>
          </a:extLst>
        </xdr:cNvPr>
        <xdr:cNvSpPr>
          <a:spLocks noChangeAspect="1"/>
        </xdr:cNvSpPr>
      </xdr:nvSpPr>
      <xdr:spPr>
        <a:xfrm>
          <a:off x="51350401" y="159444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85</xdr:row>
      <xdr:rowOff>114450</xdr:rowOff>
    </xdr:from>
    <xdr:to>
      <xdr:col>75</xdr:col>
      <xdr:colOff>347400</xdr:colOff>
      <xdr:row>91</xdr:row>
      <xdr:rowOff>21752</xdr:rowOff>
    </xdr:to>
    <xdr:sp macro="" textlink="">
      <xdr:nvSpPr>
        <xdr:cNvPr id="247625" name="フリーフォーム: 図形 247624">
          <a:extLst>
            <a:ext uri="{FF2B5EF4-FFF2-40B4-BE49-F238E27FC236}">
              <a16:creationId xmlns:a16="http://schemas.microsoft.com/office/drawing/2014/main" id="{795B274C-3644-4A9F-AA7A-E04BD2341074}"/>
            </a:ext>
          </a:extLst>
        </xdr:cNvPr>
        <xdr:cNvSpPr>
          <a:spLocks noChangeAspect="1"/>
        </xdr:cNvSpPr>
      </xdr:nvSpPr>
      <xdr:spPr>
        <a:xfrm>
          <a:off x="51530399" y="149544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90</xdr:row>
      <xdr:rowOff>139199</xdr:rowOff>
    </xdr:from>
    <xdr:to>
      <xdr:col>75</xdr:col>
      <xdr:colOff>617402</xdr:colOff>
      <xdr:row>91</xdr:row>
      <xdr:rowOff>111751</xdr:rowOff>
    </xdr:to>
    <xdr:sp macro="" textlink="">
      <xdr:nvSpPr>
        <xdr:cNvPr id="247626" name="フリーフォーム: 図形 247625">
          <a:extLst>
            <a:ext uri="{FF2B5EF4-FFF2-40B4-BE49-F238E27FC236}">
              <a16:creationId xmlns:a16="http://schemas.microsoft.com/office/drawing/2014/main" id="{1CA8A805-8961-4DF0-8F61-49F9DAB90726}"/>
            </a:ext>
          </a:extLst>
        </xdr:cNvPr>
        <xdr:cNvSpPr>
          <a:spLocks noChangeAspect="1"/>
        </xdr:cNvSpPr>
      </xdr:nvSpPr>
      <xdr:spPr>
        <a:xfrm>
          <a:off x="51602401" y="158363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90</xdr:row>
      <xdr:rowOff>139199</xdr:rowOff>
    </xdr:from>
    <xdr:to>
      <xdr:col>76</xdr:col>
      <xdr:colOff>435602</xdr:colOff>
      <xdr:row>91</xdr:row>
      <xdr:rowOff>111751</xdr:rowOff>
    </xdr:to>
    <xdr:sp macro="" textlink="">
      <xdr:nvSpPr>
        <xdr:cNvPr id="247627" name="フリーフォーム: 図形 247626">
          <a:extLst>
            <a:ext uri="{FF2B5EF4-FFF2-40B4-BE49-F238E27FC236}">
              <a16:creationId xmlns:a16="http://schemas.microsoft.com/office/drawing/2014/main" id="{27EB311E-C6E8-48E2-9F8A-90A5ACE5B866}"/>
            </a:ext>
          </a:extLst>
        </xdr:cNvPr>
        <xdr:cNvSpPr>
          <a:spLocks noChangeAspect="1"/>
        </xdr:cNvSpPr>
      </xdr:nvSpPr>
      <xdr:spPr>
        <a:xfrm>
          <a:off x="52106401" y="158363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86</xdr:row>
      <xdr:rowOff>51000</xdr:rowOff>
    </xdr:from>
    <xdr:to>
      <xdr:col>75</xdr:col>
      <xdr:colOff>635404</xdr:colOff>
      <xdr:row>91</xdr:row>
      <xdr:rowOff>3751</xdr:rowOff>
    </xdr:to>
    <xdr:sp macro="" textlink="">
      <xdr:nvSpPr>
        <xdr:cNvPr id="247628" name="フリーフォーム: 図形 247627">
          <a:extLst>
            <a:ext uri="{FF2B5EF4-FFF2-40B4-BE49-F238E27FC236}">
              <a16:creationId xmlns:a16="http://schemas.microsoft.com/office/drawing/2014/main" id="{5AEB901B-E7C1-43B2-97C1-D7A3F9F542DC}"/>
            </a:ext>
          </a:extLst>
        </xdr:cNvPr>
        <xdr:cNvSpPr>
          <a:spLocks noChangeAspect="1"/>
        </xdr:cNvSpPr>
      </xdr:nvSpPr>
      <xdr:spPr>
        <a:xfrm>
          <a:off x="51800401" y="15062400"/>
          <a:ext cx="270003" cy="810001"/>
        </a:xfrm>
        <a:custGeom>
          <a:avLst/>
          <a:gdLst/>
          <a:ahLst/>
          <a:cxnLst/>
          <a:rect l="0" t="0" r="0" b="0"/>
          <a:pathLst>
            <a:path w="270003" h="810001">
              <a:moveTo>
                <a:pt x="0" y="180000"/>
              </a:moveTo>
              <a:lnTo>
                <a:pt x="17999" y="0"/>
              </a:lnTo>
              <a:lnTo>
                <a:pt x="108000" y="108000"/>
              </a:lnTo>
              <a:lnTo>
                <a:pt x="215999" y="467999"/>
              </a:lnTo>
              <a:lnTo>
                <a:pt x="270002"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85</xdr:row>
      <xdr:rowOff>114450</xdr:rowOff>
    </xdr:from>
    <xdr:to>
      <xdr:col>76</xdr:col>
      <xdr:colOff>201601</xdr:colOff>
      <xdr:row>90</xdr:row>
      <xdr:rowOff>157201</xdr:rowOff>
    </xdr:to>
    <xdr:sp macro="" textlink="">
      <xdr:nvSpPr>
        <xdr:cNvPr id="247629" name="フリーフォーム: 図形 247628">
          <a:extLst>
            <a:ext uri="{FF2B5EF4-FFF2-40B4-BE49-F238E27FC236}">
              <a16:creationId xmlns:a16="http://schemas.microsoft.com/office/drawing/2014/main" id="{9456B76D-61F0-4556-8509-5BF49DADA031}"/>
            </a:ext>
          </a:extLst>
        </xdr:cNvPr>
        <xdr:cNvSpPr>
          <a:spLocks noChangeAspect="1"/>
        </xdr:cNvSpPr>
      </xdr:nvSpPr>
      <xdr:spPr>
        <a:xfrm>
          <a:off x="52070403" y="149544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86</xdr:row>
      <xdr:rowOff>69000</xdr:rowOff>
    </xdr:from>
    <xdr:to>
      <xdr:col>76</xdr:col>
      <xdr:colOff>525600</xdr:colOff>
      <xdr:row>91</xdr:row>
      <xdr:rowOff>3751</xdr:rowOff>
    </xdr:to>
    <xdr:sp macro="" textlink="">
      <xdr:nvSpPr>
        <xdr:cNvPr id="247630" name="フリーフォーム: 図形 247629">
          <a:extLst>
            <a:ext uri="{FF2B5EF4-FFF2-40B4-BE49-F238E27FC236}">
              <a16:creationId xmlns:a16="http://schemas.microsoft.com/office/drawing/2014/main" id="{45E3DFED-0333-4632-A065-230CC18746DF}"/>
            </a:ext>
          </a:extLst>
        </xdr:cNvPr>
        <xdr:cNvSpPr>
          <a:spLocks noChangeAspect="1"/>
        </xdr:cNvSpPr>
      </xdr:nvSpPr>
      <xdr:spPr>
        <a:xfrm>
          <a:off x="52124403" y="150804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91</xdr:row>
      <xdr:rowOff>75750</xdr:rowOff>
    </xdr:from>
    <xdr:to>
      <xdr:col>76</xdr:col>
      <xdr:colOff>237599</xdr:colOff>
      <xdr:row>95</xdr:row>
      <xdr:rowOff>163951</xdr:rowOff>
    </xdr:to>
    <xdr:sp macro="" textlink="">
      <xdr:nvSpPr>
        <xdr:cNvPr id="247631" name="フリーフォーム: 図形 247630">
          <a:extLst>
            <a:ext uri="{FF2B5EF4-FFF2-40B4-BE49-F238E27FC236}">
              <a16:creationId xmlns:a16="http://schemas.microsoft.com/office/drawing/2014/main" id="{053D9C73-714F-46F0-A8D5-EDD86797886C}"/>
            </a:ext>
          </a:extLst>
        </xdr:cNvPr>
        <xdr:cNvSpPr>
          <a:spLocks noChangeAspect="1"/>
        </xdr:cNvSpPr>
      </xdr:nvSpPr>
      <xdr:spPr>
        <a:xfrm>
          <a:off x="52088399" y="159444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91</xdr:row>
      <xdr:rowOff>93749</xdr:rowOff>
    </xdr:from>
    <xdr:to>
      <xdr:col>75</xdr:col>
      <xdr:colOff>653400</xdr:colOff>
      <xdr:row>96</xdr:row>
      <xdr:rowOff>118501</xdr:rowOff>
    </xdr:to>
    <xdr:sp macro="" textlink="">
      <xdr:nvSpPr>
        <xdr:cNvPr id="247632" name="フリーフォーム: 図形 247631">
          <a:extLst>
            <a:ext uri="{FF2B5EF4-FFF2-40B4-BE49-F238E27FC236}">
              <a16:creationId xmlns:a16="http://schemas.microsoft.com/office/drawing/2014/main" id="{37F04936-110D-4B08-B8F1-FF3D966791C6}"/>
            </a:ext>
          </a:extLst>
        </xdr:cNvPr>
        <xdr:cNvSpPr>
          <a:spLocks noChangeAspect="1"/>
        </xdr:cNvSpPr>
      </xdr:nvSpPr>
      <xdr:spPr>
        <a:xfrm>
          <a:off x="51854401" y="15962399"/>
          <a:ext cx="233999" cy="882002"/>
        </a:xfrm>
        <a:custGeom>
          <a:avLst/>
          <a:gdLst/>
          <a:ahLst/>
          <a:cxnLst/>
          <a:rect l="0" t="0" r="0" b="0"/>
          <a:pathLst>
            <a:path w="233999" h="882002">
              <a:moveTo>
                <a:pt x="107999" y="216001"/>
              </a:moveTo>
              <a:lnTo>
                <a:pt x="216002"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91</xdr:row>
      <xdr:rowOff>75750</xdr:rowOff>
    </xdr:from>
    <xdr:to>
      <xdr:col>75</xdr:col>
      <xdr:colOff>617402</xdr:colOff>
      <xdr:row>96</xdr:row>
      <xdr:rowOff>10501</xdr:rowOff>
    </xdr:to>
    <xdr:sp macro="" textlink="">
      <xdr:nvSpPr>
        <xdr:cNvPr id="247633" name="フリーフォーム: 図形 247632">
          <a:extLst>
            <a:ext uri="{FF2B5EF4-FFF2-40B4-BE49-F238E27FC236}">
              <a16:creationId xmlns:a16="http://schemas.microsoft.com/office/drawing/2014/main" id="{2239036E-AC9C-4535-BC1E-4375EA067FB3}"/>
            </a:ext>
          </a:extLst>
        </xdr:cNvPr>
        <xdr:cNvSpPr>
          <a:spLocks noChangeAspect="1"/>
        </xdr:cNvSpPr>
      </xdr:nvSpPr>
      <xdr:spPr>
        <a:xfrm>
          <a:off x="51530399" y="159444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85</xdr:row>
      <xdr:rowOff>42450</xdr:rowOff>
    </xdr:from>
    <xdr:to>
      <xdr:col>78</xdr:col>
      <xdr:colOff>550801</xdr:colOff>
      <xdr:row>86</xdr:row>
      <xdr:rowOff>15002</xdr:rowOff>
    </xdr:to>
    <xdr:sp macro="" textlink="">
      <xdr:nvSpPr>
        <xdr:cNvPr id="247634" name="フリーフォーム: 図形 247633">
          <a:extLst>
            <a:ext uri="{FF2B5EF4-FFF2-40B4-BE49-F238E27FC236}">
              <a16:creationId xmlns:a16="http://schemas.microsoft.com/office/drawing/2014/main" id="{E98212A7-A161-47BB-9844-B8257E9D35B6}"/>
            </a:ext>
          </a:extLst>
        </xdr:cNvPr>
        <xdr:cNvSpPr>
          <a:spLocks noChangeAspect="1"/>
        </xdr:cNvSpPr>
      </xdr:nvSpPr>
      <xdr:spPr>
        <a:xfrm>
          <a:off x="53575198" y="148824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85</xdr:row>
      <xdr:rowOff>42450</xdr:rowOff>
    </xdr:from>
    <xdr:to>
      <xdr:col>79</xdr:col>
      <xdr:colOff>405000</xdr:colOff>
      <xdr:row>86</xdr:row>
      <xdr:rowOff>15002</xdr:rowOff>
    </xdr:to>
    <xdr:sp macro="" textlink="">
      <xdr:nvSpPr>
        <xdr:cNvPr id="247635" name="フリーフォーム: 図形 247634">
          <a:extLst>
            <a:ext uri="{FF2B5EF4-FFF2-40B4-BE49-F238E27FC236}">
              <a16:creationId xmlns:a16="http://schemas.microsoft.com/office/drawing/2014/main" id="{9046013D-C09B-497A-B98B-D89CB75D25D9}"/>
            </a:ext>
          </a:extLst>
        </xdr:cNvPr>
        <xdr:cNvSpPr>
          <a:spLocks noChangeAspect="1"/>
        </xdr:cNvSpPr>
      </xdr:nvSpPr>
      <xdr:spPr>
        <a:xfrm>
          <a:off x="54115202" y="148824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85</xdr:row>
      <xdr:rowOff>114450</xdr:rowOff>
    </xdr:from>
    <xdr:to>
      <xdr:col>79</xdr:col>
      <xdr:colOff>477001</xdr:colOff>
      <xdr:row>91</xdr:row>
      <xdr:rowOff>21752</xdr:rowOff>
    </xdr:to>
    <xdr:sp macro="" textlink="">
      <xdr:nvSpPr>
        <xdr:cNvPr id="247636" name="フリーフォーム: 図形 247635">
          <a:extLst>
            <a:ext uri="{FF2B5EF4-FFF2-40B4-BE49-F238E27FC236}">
              <a16:creationId xmlns:a16="http://schemas.microsoft.com/office/drawing/2014/main" id="{93294E81-29DB-4391-B985-667A7ACF0247}"/>
            </a:ext>
          </a:extLst>
        </xdr:cNvPr>
        <xdr:cNvSpPr>
          <a:spLocks noChangeAspect="1"/>
        </xdr:cNvSpPr>
      </xdr:nvSpPr>
      <xdr:spPr>
        <a:xfrm>
          <a:off x="54367199" y="149544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91</xdr:row>
      <xdr:rowOff>75750</xdr:rowOff>
    </xdr:from>
    <xdr:to>
      <xdr:col>79</xdr:col>
      <xdr:colOff>297000</xdr:colOff>
      <xdr:row>96</xdr:row>
      <xdr:rowOff>136501</xdr:rowOff>
    </xdr:to>
    <xdr:sp macro="" textlink="">
      <xdr:nvSpPr>
        <xdr:cNvPr id="247637" name="フリーフォーム: 図形 247636">
          <a:extLst>
            <a:ext uri="{FF2B5EF4-FFF2-40B4-BE49-F238E27FC236}">
              <a16:creationId xmlns:a16="http://schemas.microsoft.com/office/drawing/2014/main" id="{A6B54681-C092-4D2C-A132-F535E29737A7}"/>
            </a:ext>
          </a:extLst>
        </xdr:cNvPr>
        <xdr:cNvSpPr>
          <a:spLocks noChangeAspect="1"/>
        </xdr:cNvSpPr>
      </xdr:nvSpPr>
      <xdr:spPr>
        <a:xfrm>
          <a:off x="54187198" y="159444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96</xdr:row>
      <xdr:rowOff>64500</xdr:rowOff>
    </xdr:from>
    <xdr:to>
      <xdr:col>78</xdr:col>
      <xdr:colOff>226803</xdr:colOff>
      <xdr:row>97</xdr:row>
      <xdr:rowOff>37051</xdr:rowOff>
    </xdr:to>
    <xdr:sp macro="" textlink="">
      <xdr:nvSpPr>
        <xdr:cNvPr id="247638" name="フリーフォーム: 図形 247637">
          <a:extLst>
            <a:ext uri="{FF2B5EF4-FFF2-40B4-BE49-F238E27FC236}">
              <a16:creationId xmlns:a16="http://schemas.microsoft.com/office/drawing/2014/main" id="{1FBB01C6-791C-4A3E-984A-14E98C2B5E2B}"/>
            </a:ext>
          </a:extLst>
        </xdr:cNvPr>
        <xdr:cNvSpPr>
          <a:spLocks noChangeAspect="1"/>
        </xdr:cNvSpPr>
      </xdr:nvSpPr>
      <xdr:spPr>
        <a:xfrm>
          <a:off x="53233197" y="167904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96</xdr:row>
      <xdr:rowOff>64500</xdr:rowOff>
    </xdr:from>
    <xdr:to>
      <xdr:col>79</xdr:col>
      <xdr:colOff>45003</xdr:colOff>
      <xdr:row>97</xdr:row>
      <xdr:rowOff>37051</xdr:rowOff>
    </xdr:to>
    <xdr:sp macro="" textlink="">
      <xdr:nvSpPr>
        <xdr:cNvPr id="247639" name="フリーフォーム: 図形 247638">
          <a:extLst>
            <a:ext uri="{FF2B5EF4-FFF2-40B4-BE49-F238E27FC236}">
              <a16:creationId xmlns:a16="http://schemas.microsoft.com/office/drawing/2014/main" id="{9DB2F174-2A0E-424D-94D5-29B4AB91B8B3}"/>
            </a:ext>
          </a:extLst>
        </xdr:cNvPr>
        <xdr:cNvSpPr>
          <a:spLocks noChangeAspect="1"/>
        </xdr:cNvSpPr>
      </xdr:nvSpPr>
      <xdr:spPr>
        <a:xfrm>
          <a:off x="53755199" y="167904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91</xdr:row>
      <xdr:rowOff>75750</xdr:rowOff>
    </xdr:from>
    <xdr:to>
      <xdr:col>77</xdr:col>
      <xdr:colOff>660599</xdr:colOff>
      <xdr:row>96</xdr:row>
      <xdr:rowOff>136501</xdr:rowOff>
    </xdr:to>
    <xdr:sp macro="" textlink="">
      <xdr:nvSpPr>
        <xdr:cNvPr id="247640" name="フリーフォーム: 図形 247639">
          <a:extLst>
            <a:ext uri="{FF2B5EF4-FFF2-40B4-BE49-F238E27FC236}">
              <a16:creationId xmlns:a16="http://schemas.microsoft.com/office/drawing/2014/main" id="{953BC4BB-E2A0-4343-B557-79A7229210B1}"/>
            </a:ext>
          </a:extLst>
        </xdr:cNvPr>
        <xdr:cNvSpPr>
          <a:spLocks noChangeAspect="1"/>
        </xdr:cNvSpPr>
      </xdr:nvSpPr>
      <xdr:spPr>
        <a:xfrm>
          <a:off x="53179197" y="159444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85</xdr:row>
      <xdr:rowOff>114450</xdr:rowOff>
    </xdr:from>
    <xdr:to>
      <xdr:col>78</xdr:col>
      <xdr:colOff>118803</xdr:colOff>
      <xdr:row>91</xdr:row>
      <xdr:rowOff>21752</xdr:rowOff>
    </xdr:to>
    <xdr:sp macro="" textlink="">
      <xdr:nvSpPr>
        <xdr:cNvPr id="247641" name="フリーフォーム: 図形 247640">
          <a:extLst>
            <a:ext uri="{FF2B5EF4-FFF2-40B4-BE49-F238E27FC236}">
              <a16:creationId xmlns:a16="http://schemas.microsoft.com/office/drawing/2014/main" id="{3A7DF279-BCBC-4312-B487-B219B2ABAF84}"/>
            </a:ext>
          </a:extLst>
        </xdr:cNvPr>
        <xdr:cNvSpPr>
          <a:spLocks noChangeAspect="1"/>
        </xdr:cNvSpPr>
      </xdr:nvSpPr>
      <xdr:spPr>
        <a:xfrm>
          <a:off x="53359199" y="149544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90</xdr:row>
      <xdr:rowOff>139199</xdr:rowOff>
    </xdr:from>
    <xdr:to>
      <xdr:col>78</xdr:col>
      <xdr:colOff>388802</xdr:colOff>
      <xdr:row>91</xdr:row>
      <xdr:rowOff>111751</xdr:rowOff>
    </xdr:to>
    <xdr:sp macro="" textlink="">
      <xdr:nvSpPr>
        <xdr:cNvPr id="247642" name="フリーフォーム: 図形 247641">
          <a:extLst>
            <a:ext uri="{FF2B5EF4-FFF2-40B4-BE49-F238E27FC236}">
              <a16:creationId xmlns:a16="http://schemas.microsoft.com/office/drawing/2014/main" id="{94C80CB4-5569-4E0B-B219-235BED9E7688}"/>
            </a:ext>
          </a:extLst>
        </xdr:cNvPr>
        <xdr:cNvSpPr>
          <a:spLocks noChangeAspect="1"/>
        </xdr:cNvSpPr>
      </xdr:nvSpPr>
      <xdr:spPr>
        <a:xfrm>
          <a:off x="53431201" y="158363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90</xdr:row>
      <xdr:rowOff>139199</xdr:rowOff>
    </xdr:from>
    <xdr:to>
      <xdr:col>79</xdr:col>
      <xdr:colOff>207002</xdr:colOff>
      <xdr:row>91</xdr:row>
      <xdr:rowOff>111751</xdr:rowOff>
    </xdr:to>
    <xdr:sp macro="" textlink="">
      <xdr:nvSpPr>
        <xdr:cNvPr id="247643" name="フリーフォーム: 図形 247642">
          <a:extLst>
            <a:ext uri="{FF2B5EF4-FFF2-40B4-BE49-F238E27FC236}">
              <a16:creationId xmlns:a16="http://schemas.microsoft.com/office/drawing/2014/main" id="{746C6DB8-B4A3-4E94-BC16-74CEEE246875}"/>
            </a:ext>
          </a:extLst>
        </xdr:cNvPr>
        <xdr:cNvSpPr>
          <a:spLocks noChangeAspect="1"/>
        </xdr:cNvSpPr>
      </xdr:nvSpPr>
      <xdr:spPr>
        <a:xfrm>
          <a:off x="53935201" y="158363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86</xdr:row>
      <xdr:rowOff>51000</xdr:rowOff>
    </xdr:from>
    <xdr:to>
      <xdr:col>78</xdr:col>
      <xdr:colOff>406804</xdr:colOff>
      <xdr:row>91</xdr:row>
      <xdr:rowOff>3751</xdr:rowOff>
    </xdr:to>
    <xdr:sp macro="" textlink="">
      <xdr:nvSpPr>
        <xdr:cNvPr id="247644" name="フリーフォーム: 図形 247643">
          <a:extLst>
            <a:ext uri="{FF2B5EF4-FFF2-40B4-BE49-F238E27FC236}">
              <a16:creationId xmlns:a16="http://schemas.microsoft.com/office/drawing/2014/main" id="{F29BAD3C-A33C-4D39-9D16-7C6695C6EE7E}"/>
            </a:ext>
          </a:extLst>
        </xdr:cNvPr>
        <xdr:cNvSpPr>
          <a:spLocks noChangeAspect="1"/>
        </xdr:cNvSpPr>
      </xdr:nvSpPr>
      <xdr:spPr>
        <a:xfrm>
          <a:off x="53629198" y="150624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85</xdr:row>
      <xdr:rowOff>114450</xdr:rowOff>
    </xdr:from>
    <xdr:to>
      <xdr:col>78</xdr:col>
      <xdr:colOff>658801</xdr:colOff>
      <xdr:row>90</xdr:row>
      <xdr:rowOff>157201</xdr:rowOff>
    </xdr:to>
    <xdr:sp macro="" textlink="">
      <xdr:nvSpPr>
        <xdr:cNvPr id="247645" name="フリーフォーム: 図形 247644">
          <a:extLst>
            <a:ext uri="{FF2B5EF4-FFF2-40B4-BE49-F238E27FC236}">
              <a16:creationId xmlns:a16="http://schemas.microsoft.com/office/drawing/2014/main" id="{026938DA-32C7-4A53-B844-3F59438B81E1}"/>
            </a:ext>
          </a:extLst>
        </xdr:cNvPr>
        <xdr:cNvSpPr>
          <a:spLocks noChangeAspect="1"/>
        </xdr:cNvSpPr>
      </xdr:nvSpPr>
      <xdr:spPr>
        <a:xfrm>
          <a:off x="53899203" y="149544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86</xdr:row>
      <xdr:rowOff>69000</xdr:rowOff>
    </xdr:from>
    <xdr:to>
      <xdr:col>79</xdr:col>
      <xdr:colOff>297000</xdr:colOff>
      <xdr:row>91</xdr:row>
      <xdr:rowOff>3751</xdr:rowOff>
    </xdr:to>
    <xdr:sp macro="" textlink="">
      <xdr:nvSpPr>
        <xdr:cNvPr id="247646" name="フリーフォーム: 図形 247645">
          <a:extLst>
            <a:ext uri="{FF2B5EF4-FFF2-40B4-BE49-F238E27FC236}">
              <a16:creationId xmlns:a16="http://schemas.microsoft.com/office/drawing/2014/main" id="{F74503A2-AD9C-41AD-BF89-3568C367A4DC}"/>
            </a:ext>
          </a:extLst>
        </xdr:cNvPr>
        <xdr:cNvSpPr>
          <a:spLocks noChangeAspect="1"/>
        </xdr:cNvSpPr>
      </xdr:nvSpPr>
      <xdr:spPr>
        <a:xfrm>
          <a:off x="53953203" y="150804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91</xdr:row>
      <xdr:rowOff>75750</xdr:rowOff>
    </xdr:from>
    <xdr:to>
      <xdr:col>79</xdr:col>
      <xdr:colOff>8999</xdr:colOff>
      <xdr:row>95</xdr:row>
      <xdr:rowOff>163951</xdr:rowOff>
    </xdr:to>
    <xdr:sp macro="" textlink="">
      <xdr:nvSpPr>
        <xdr:cNvPr id="247647" name="フリーフォーム: 図形 247646">
          <a:extLst>
            <a:ext uri="{FF2B5EF4-FFF2-40B4-BE49-F238E27FC236}">
              <a16:creationId xmlns:a16="http://schemas.microsoft.com/office/drawing/2014/main" id="{DF260A99-5ED8-4467-90DB-D019C21BCD35}"/>
            </a:ext>
          </a:extLst>
        </xdr:cNvPr>
        <xdr:cNvSpPr>
          <a:spLocks noChangeAspect="1"/>
        </xdr:cNvSpPr>
      </xdr:nvSpPr>
      <xdr:spPr>
        <a:xfrm>
          <a:off x="53917199" y="159444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91</xdr:row>
      <xdr:rowOff>93749</xdr:rowOff>
    </xdr:from>
    <xdr:to>
      <xdr:col>78</xdr:col>
      <xdr:colOff>424800</xdr:colOff>
      <xdr:row>96</xdr:row>
      <xdr:rowOff>118501</xdr:rowOff>
    </xdr:to>
    <xdr:sp macro="" textlink="">
      <xdr:nvSpPr>
        <xdr:cNvPr id="247648" name="フリーフォーム: 図形 247647">
          <a:extLst>
            <a:ext uri="{FF2B5EF4-FFF2-40B4-BE49-F238E27FC236}">
              <a16:creationId xmlns:a16="http://schemas.microsoft.com/office/drawing/2014/main" id="{3E4FB810-B297-42B1-9A64-56A88F5BBD50}"/>
            </a:ext>
          </a:extLst>
        </xdr:cNvPr>
        <xdr:cNvSpPr>
          <a:spLocks noChangeAspect="1"/>
        </xdr:cNvSpPr>
      </xdr:nvSpPr>
      <xdr:spPr>
        <a:xfrm>
          <a:off x="53683198" y="159623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91</xdr:row>
      <xdr:rowOff>75750</xdr:rowOff>
    </xdr:from>
    <xdr:to>
      <xdr:col>78</xdr:col>
      <xdr:colOff>388802</xdr:colOff>
      <xdr:row>96</xdr:row>
      <xdr:rowOff>10501</xdr:rowOff>
    </xdr:to>
    <xdr:sp macro="" textlink="">
      <xdr:nvSpPr>
        <xdr:cNvPr id="247649" name="フリーフォーム: 図形 247648">
          <a:extLst>
            <a:ext uri="{FF2B5EF4-FFF2-40B4-BE49-F238E27FC236}">
              <a16:creationId xmlns:a16="http://schemas.microsoft.com/office/drawing/2014/main" id="{57B30163-BAA8-474B-9FF9-A0AAF0172EB3}"/>
            </a:ext>
          </a:extLst>
        </xdr:cNvPr>
        <xdr:cNvSpPr>
          <a:spLocks noChangeAspect="1"/>
        </xdr:cNvSpPr>
      </xdr:nvSpPr>
      <xdr:spPr>
        <a:xfrm>
          <a:off x="53359199" y="159444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85</xdr:row>
      <xdr:rowOff>42450</xdr:rowOff>
    </xdr:from>
    <xdr:to>
      <xdr:col>81</xdr:col>
      <xdr:colOff>322201</xdr:colOff>
      <xdr:row>86</xdr:row>
      <xdr:rowOff>15002</xdr:rowOff>
    </xdr:to>
    <xdr:sp macro="" textlink="">
      <xdr:nvSpPr>
        <xdr:cNvPr id="247650" name="フリーフォーム: 図形 247649">
          <a:extLst>
            <a:ext uri="{FF2B5EF4-FFF2-40B4-BE49-F238E27FC236}">
              <a16:creationId xmlns:a16="http://schemas.microsoft.com/office/drawing/2014/main" id="{5CB84F2E-0286-40E3-B336-2E17E6A18300}"/>
            </a:ext>
          </a:extLst>
        </xdr:cNvPr>
        <xdr:cNvSpPr>
          <a:spLocks noChangeAspect="1"/>
        </xdr:cNvSpPr>
      </xdr:nvSpPr>
      <xdr:spPr>
        <a:xfrm>
          <a:off x="55403998" y="148824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85</xdr:row>
      <xdr:rowOff>42450</xdr:rowOff>
    </xdr:from>
    <xdr:to>
      <xdr:col>82</xdr:col>
      <xdr:colOff>176400</xdr:colOff>
      <xdr:row>86</xdr:row>
      <xdr:rowOff>15002</xdr:rowOff>
    </xdr:to>
    <xdr:sp macro="" textlink="">
      <xdr:nvSpPr>
        <xdr:cNvPr id="247651" name="フリーフォーム: 図形 247650">
          <a:extLst>
            <a:ext uri="{FF2B5EF4-FFF2-40B4-BE49-F238E27FC236}">
              <a16:creationId xmlns:a16="http://schemas.microsoft.com/office/drawing/2014/main" id="{A57ADB40-0FA7-485D-B5BB-685084F675A2}"/>
            </a:ext>
          </a:extLst>
        </xdr:cNvPr>
        <xdr:cNvSpPr>
          <a:spLocks noChangeAspect="1"/>
        </xdr:cNvSpPr>
      </xdr:nvSpPr>
      <xdr:spPr>
        <a:xfrm>
          <a:off x="55944002" y="148824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85</xdr:row>
      <xdr:rowOff>114450</xdr:rowOff>
    </xdr:from>
    <xdr:to>
      <xdr:col>82</xdr:col>
      <xdr:colOff>248401</xdr:colOff>
      <xdr:row>91</xdr:row>
      <xdr:rowOff>21752</xdr:rowOff>
    </xdr:to>
    <xdr:sp macro="" textlink="">
      <xdr:nvSpPr>
        <xdr:cNvPr id="247652" name="フリーフォーム: 図形 247651">
          <a:extLst>
            <a:ext uri="{FF2B5EF4-FFF2-40B4-BE49-F238E27FC236}">
              <a16:creationId xmlns:a16="http://schemas.microsoft.com/office/drawing/2014/main" id="{B18530A5-8EC6-4617-A157-20ADC6BA01EC}"/>
            </a:ext>
          </a:extLst>
        </xdr:cNvPr>
        <xdr:cNvSpPr>
          <a:spLocks noChangeAspect="1"/>
        </xdr:cNvSpPr>
      </xdr:nvSpPr>
      <xdr:spPr>
        <a:xfrm>
          <a:off x="56195999" y="149544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91</xdr:row>
      <xdr:rowOff>75750</xdr:rowOff>
    </xdr:from>
    <xdr:to>
      <xdr:col>82</xdr:col>
      <xdr:colOff>68400</xdr:colOff>
      <xdr:row>96</xdr:row>
      <xdr:rowOff>136501</xdr:rowOff>
    </xdr:to>
    <xdr:sp macro="" textlink="">
      <xdr:nvSpPr>
        <xdr:cNvPr id="247653" name="フリーフォーム: 図形 247652">
          <a:extLst>
            <a:ext uri="{FF2B5EF4-FFF2-40B4-BE49-F238E27FC236}">
              <a16:creationId xmlns:a16="http://schemas.microsoft.com/office/drawing/2014/main" id="{4E5518F0-FB74-4D93-8CAA-121FCB9A79DF}"/>
            </a:ext>
          </a:extLst>
        </xdr:cNvPr>
        <xdr:cNvSpPr>
          <a:spLocks noChangeAspect="1"/>
        </xdr:cNvSpPr>
      </xdr:nvSpPr>
      <xdr:spPr>
        <a:xfrm>
          <a:off x="56015998" y="159444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96</xdr:row>
      <xdr:rowOff>64500</xdr:rowOff>
    </xdr:from>
    <xdr:to>
      <xdr:col>80</xdr:col>
      <xdr:colOff>684003</xdr:colOff>
      <xdr:row>97</xdr:row>
      <xdr:rowOff>37051</xdr:rowOff>
    </xdr:to>
    <xdr:sp macro="" textlink="">
      <xdr:nvSpPr>
        <xdr:cNvPr id="247654" name="フリーフォーム: 図形 247653">
          <a:extLst>
            <a:ext uri="{FF2B5EF4-FFF2-40B4-BE49-F238E27FC236}">
              <a16:creationId xmlns:a16="http://schemas.microsoft.com/office/drawing/2014/main" id="{C9573CB5-0BAB-4848-A2D9-6AD56E8E5717}"/>
            </a:ext>
          </a:extLst>
        </xdr:cNvPr>
        <xdr:cNvSpPr>
          <a:spLocks noChangeAspect="1"/>
        </xdr:cNvSpPr>
      </xdr:nvSpPr>
      <xdr:spPr>
        <a:xfrm>
          <a:off x="55061997" y="167904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96</xdr:row>
      <xdr:rowOff>64500</xdr:rowOff>
    </xdr:from>
    <xdr:to>
      <xdr:col>81</xdr:col>
      <xdr:colOff>502203</xdr:colOff>
      <xdr:row>97</xdr:row>
      <xdr:rowOff>37051</xdr:rowOff>
    </xdr:to>
    <xdr:sp macro="" textlink="">
      <xdr:nvSpPr>
        <xdr:cNvPr id="247655" name="フリーフォーム: 図形 247654">
          <a:extLst>
            <a:ext uri="{FF2B5EF4-FFF2-40B4-BE49-F238E27FC236}">
              <a16:creationId xmlns:a16="http://schemas.microsoft.com/office/drawing/2014/main" id="{7B98A1BD-F5D1-49B4-8259-995F8FE43D0A}"/>
            </a:ext>
          </a:extLst>
        </xdr:cNvPr>
        <xdr:cNvSpPr>
          <a:spLocks noChangeAspect="1"/>
        </xdr:cNvSpPr>
      </xdr:nvSpPr>
      <xdr:spPr>
        <a:xfrm>
          <a:off x="55583999" y="167904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91</xdr:row>
      <xdr:rowOff>75750</xdr:rowOff>
    </xdr:from>
    <xdr:to>
      <xdr:col>80</xdr:col>
      <xdr:colOff>431999</xdr:colOff>
      <xdr:row>96</xdr:row>
      <xdr:rowOff>136501</xdr:rowOff>
    </xdr:to>
    <xdr:sp macro="" textlink="">
      <xdr:nvSpPr>
        <xdr:cNvPr id="247656" name="フリーフォーム: 図形 247655">
          <a:extLst>
            <a:ext uri="{FF2B5EF4-FFF2-40B4-BE49-F238E27FC236}">
              <a16:creationId xmlns:a16="http://schemas.microsoft.com/office/drawing/2014/main" id="{80ADD8AA-A651-4824-A5C7-B65A744C0C41}"/>
            </a:ext>
          </a:extLst>
        </xdr:cNvPr>
        <xdr:cNvSpPr>
          <a:spLocks noChangeAspect="1"/>
        </xdr:cNvSpPr>
      </xdr:nvSpPr>
      <xdr:spPr>
        <a:xfrm>
          <a:off x="55007997" y="159444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85</xdr:row>
      <xdr:rowOff>114450</xdr:rowOff>
    </xdr:from>
    <xdr:to>
      <xdr:col>80</xdr:col>
      <xdr:colOff>576003</xdr:colOff>
      <xdr:row>91</xdr:row>
      <xdr:rowOff>21752</xdr:rowOff>
    </xdr:to>
    <xdr:sp macro="" textlink="">
      <xdr:nvSpPr>
        <xdr:cNvPr id="247657" name="フリーフォーム: 図形 247656">
          <a:extLst>
            <a:ext uri="{FF2B5EF4-FFF2-40B4-BE49-F238E27FC236}">
              <a16:creationId xmlns:a16="http://schemas.microsoft.com/office/drawing/2014/main" id="{5A39C072-46EA-41D3-AC9C-8B93843B6948}"/>
            </a:ext>
          </a:extLst>
        </xdr:cNvPr>
        <xdr:cNvSpPr>
          <a:spLocks noChangeAspect="1"/>
        </xdr:cNvSpPr>
      </xdr:nvSpPr>
      <xdr:spPr>
        <a:xfrm>
          <a:off x="55187999" y="149544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90</xdr:row>
      <xdr:rowOff>139199</xdr:rowOff>
    </xdr:from>
    <xdr:to>
      <xdr:col>81</xdr:col>
      <xdr:colOff>160202</xdr:colOff>
      <xdr:row>91</xdr:row>
      <xdr:rowOff>111751</xdr:rowOff>
    </xdr:to>
    <xdr:sp macro="" textlink="">
      <xdr:nvSpPr>
        <xdr:cNvPr id="247658" name="フリーフォーム: 図形 247657">
          <a:extLst>
            <a:ext uri="{FF2B5EF4-FFF2-40B4-BE49-F238E27FC236}">
              <a16:creationId xmlns:a16="http://schemas.microsoft.com/office/drawing/2014/main" id="{D55C524F-AE2C-4E10-BFA4-7190139B6916}"/>
            </a:ext>
          </a:extLst>
        </xdr:cNvPr>
        <xdr:cNvSpPr>
          <a:spLocks noChangeAspect="1"/>
        </xdr:cNvSpPr>
      </xdr:nvSpPr>
      <xdr:spPr>
        <a:xfrm>
          <a:off x="55260001" y="158363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90</xdr:row>
      <xdr:rowOff>139199</xdr:rowOff>
    </xdr:from>
    <xdr:to>
      <xdr:col>81</xdr:col>
      <xdr:colOff>664202</xdr:colOff>
      <xdr:row>91</xdr:row>
      <xdr:rowOff>111751</xdr:rowOff>
    </xdr:to>
    <xdr:sp macro="" textlink="">
      <xdr:nvSpPr>
        <xdr:cNvPr id="247659" name="フリーフォーム: 図形 247658">
          <a:extLst>
            <a:ext uri="{FF2B5EF4-FFF2-40B4-BE49-F238E27FC236}">
              <a16:creationId xmlns:a16="http://schemas.microsoft.com/office/drawing/2014/main" id="{C56806CA-1BCA-4770-AC63-ECBC06876557}"/>
            </a:ext>
          </a:extLst>
        </xdr:cNvPr>
        <xdr:cNvSpPr>
          <a:spLocks noChangeAspect="1"/>
        </xdr:cNvSpPr>
      </xdr:nvSpPr>
      <xdr:spPr>
        <a:xfrm>
          <a:off x="55764001" y="158363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86</xdr:row>
      <xdr:rowOff>51000</xdr:rowOff>
    </xdr:from>
    <xdr:to>
      <xdr:col>81</xdr:col>
      <xdr:colOff>178204</xdr:colOff>
      <xdr:row>91</xdr:row>
      <xdr:rowOff>3751</xdr:rowOff>
    </xdr:to>
    <xdr:sp macro="" textlink="">
      <xdr:nvSpPr>
        <xdr:cNvPr id="247660" name="フリーフォーム: 図形 247659">
          <a:extLst>
            <a:ext uri="{FF2B5EF4-FFF2-40B4-BE49-F238E27FC236}">
              <a16:creationId xmlns:a16="http://schemas.microsoft.com/office/drawing/2014/main" id="{A55EAC4B-92CB-41FA-847F-C2172AF00400}"/>
            </a:ext>
          </a:extLst>
        </xdr:cNvPr>
        <xdr:cNvSpPr>
          <a:spLocks noChangeAspect="1"/>
        </xdr:cNvSpPr>
      </xdr:nvSpPr>
      <xdr:spPr>
        <a:xfrm>
          <a:off x="55457998" y="150624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85</xdr:row>
      <xdr:rowOff>114450</xdr:rowOff>
    </xdr:from>
    <xdr:to>
      <xdr:col>81</xdr:col>
      <xdr:colOff>430201</xdr:colOff>
      <xdr:row>90</xdr:row>
      <xdr:rowOff>157201</xdr:rowOff>
    </xdr:to>
    <xdr:sp macro="" textlink="">
      <xdr:nvSpPr>
        <xdr:cNvPr id="247661" name="フリーフォーム: 図形 247660">
          <a:extLst>
            <a:ext uri="{FF2B5EF4-FFF2-40B4-BE49-F238E27FC236}">
              <a16:creationId xmlns:a16="http://schemas.microsoft.com/office/drawing/2014/main" id="{1822E0C9-C5A8-4D6C-9C62-8A2EE3C33A68}"/>
            </a:ext>
          </a:extLst>
        </xdr:cNvPr>
        <xdr:cNvSpPr>
          <a:spLocks noChangeAspect="1"/>
        </xdr:cNvSpPr>
      </xdr:nvSpPr>
      <xdr:spPr>
        <a:xfrm>
          <a:off x="55728003" y="149544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86</xdr:row>
      <xdr:rowOff>69000</xdr:rowOff>
    </xdr:from>
    <xdr:to>
      <xdr:col>82</xdr:col>
      <xdr:colOff>68400</xdr:colOff>
      <xdr:row>91</xdr:row>
      <xdr:rowOff>3751</xdr:rowOff>
    </xdr:to>
    <xdr:sp macro="" textlink="">
      <xdr:nvSpPr>
        <xdr:cNvPr id="247662" name="フリーフォーム: 図形 247661">
          <a:extLst>
            <a:ext uri="{FF2B5EF4-FFF2-40B4-BE49-F238E27FC236}">
              <a16:creationId xmlns:a16="http://schemas.microsoft.com/office/drawing/2014/main" id="{FF7E7032-5ACF-4011-A42B-FED616A15034}"/>
            </a:ext>
          </a:extLst>
        </xdr:cNvPr>
        <xdr:cNvSpPr>
          <a:spLocks noChangeAspect="1"/>
        </xdr:cNvSpPr>
      </xdr:nvSpPr>
      <xdr:spPr>
        <a:xfrm>
          <a:off x="55782003" y="150804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91</xdr:row>
      <xdr:rowOff>75750</xdr:rowOff>
    </xdr:from>
    <xdr:to>
      <xdr:col>81</xdr:col>
      <xdr:colOff>466199</xdr:colOff>
      <xdr:row>95</xdr:row>
      <xdr:rowOff>163951</xdr:rowOff>
    </xdr:to>
    <xdr:sp macro="" textlink="">
      <xdr:nvSpPr>
        <xdr:cNvPr id="247663" name="フリーフォーム: 図形 247662">
          <a:extLst>
            <a:ext uri="{FF2B5EF4-FFF2-40B4-BE49-F238E27FC236}">
              <a16:creationId xmlns:a16="http://schemas.microsoft.com/office/drawing/2014/main" id="{90029826-19AD-4E9F-A364-24D4C3928302}"/>
            </a:ext>
          </a:extLst>
        </xdr:cNvPr>
        <xdr:cNvSpPr>
          <a:spLocks noChangeAspect="1"/>
        </xdr:cNvSpPr>
      </xdr:nvSpPr>
      <xdr:spPr>
        <a:xfrm>
          <a:off x="55745999" y="159444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91</xdr:row>
      <xdr:rowOff>93749</xdr:rowOff>
    </xdr:from>
    <xdr:to>
      <xdr:col>81</xdr:col>
      <xdr:colOff>196200</xdr:colOff>
      <xdr:row>96</xdr:row>
      <xdr:rowOff>118501</xdr:rowOff>
    </xdr:to>
    <xdr:sp macro="" textlink="">
      <xdr:nvSpPr>
        <xdr:cNvPr id="247664" name="フリーフォーム: 図形 247663">
          <a:extLst>
            <a:ext uri="{FF2B5EF4-FFF2-40B4-BE49-F238E27FC236}">
              <a16:creationId xmlns:a16="http://schemas.microsoft.com/office/drawing/2014/main" id="{76E046A8-ECBC-4851-BFA1-31D861FA3602}"/>
            </a:ext>
          </a:extLst>
        </xdr:cNvPr>
        <xdr:cNvSpPr>
          <a:spLocks noChangeAspect="1"/>
        </xdr:cNvSpPr>
      </xdr:nvSpPr>
      <xdr:spPr>
        <a:xfrm>
          <a:off x="55511998" y="159623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91</xdr:row>
      <xdr:rowOff>75750</xdr:rowOff>
    </xdr:from>
    <xdr:to>
      <xdr:col>81</xdr:col>
      <xdr:colOff>160202</xdr:colOff>
      <xdr:row>96</xdr:row>
      <xdr:rowOff>10501</xdr:rowOff>
    </xdr:to>
    <xdr:sp macro="" textlink="">
      <xdr:nvSpPr>
        <xdr:cNvPr id="247665" name="フリーフォーム: 図形 247664">
          <a:extLst>
            <a:ext uri="{FF2B5EF4-FFF2-40B4-BE49-F238E27FC236}">
              <a16:creationId xmlns:a16="http://schemas.microsoft.com/office/drawing/2014/main" id="{E35E2369-31FD-482B-9AB2-ED031ACB2E76}"/>
            </a:ext>
          </a:extLst>
        </xdr:cNvPr>
        <xdr:cNvSpPr>
          <a:spLocks noChangeAspect="1"/>
        </xdr:cNvSpPr>
      </xdr:nvSpPr>
      <xdr:spPr>
        <a:xfrm>
          <a:off x="55187999" y="159444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85</xdr:row>
      <xdr:rowOff>42450</xdr:rowOff>
    </xdr:from>
    <xdr:to>
      <xdr:col>84</xdr:col>
      <xdr:colOff>93601</xdr:colOff>
      <xdr:row>86</xdr:row>
      <xdr:rowOff>15002</xdr:rowOff>
    </xdr:to>
    <xdr:sp macro="" textlink="">
      <xdr:nvSpPr>
        <xdr:cNvPr id="247666" name="フリーフォーム: 図形 247665">
          <a:extLst>
            <a:ext uri="{FF2B5EF4-FFF2-40B4-BE49-F238E27FC236}">
              <a16:creationId xmlns:a16="http://schemas.microsoft.com/office/drawing/2014/main" id="{CD3ED70C-2BE4-4235-B111-D03EFC74F55E}"/>
            </a:ext>
          </a:extLst>
        </xdr:cNvPr>
        <xdr:cNvSpPr>
          <a:spLocks noChangeAspect="1"/>
        </xdr:cNvSpPr>
      </xdr:nvSpPr>
      <xdr:spPr>
        <a:xfrm>
          <a:off x="57232798" y="148824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85</xdr:row>
      <xdr:rowOff>42450</xdr:rowOff>
    </xdr:from>
    <xdr:to>
      <xdr:col>84</xdr:col>
      <xdr:colOff>633600</xdr:colOff>
      <xdr:row>86</xdr:row>
      <xdr:rowOff>15002</xdr:rowOff>
    </xdr:to>
    <xdr:sp macro="" textlink="">
      <xdr:nvSpPr>
        <xdr:cNvPr id="247667" name="フリーフォーム: 図形 247666">
          <a:extLst>
            <a:ext uri="{FF2B5EF4-FFF2-40B4-BE49-F238E27FC236}">
              <a16:creationId xmlns:a16="http://schemas.microsoft.com/office/drawing/2014/main" id="{7EA415C7-1D97-4B7F-A7BB-97CB4385BD38}"/>
            </a:ext>
          </a:extLst>
        </xdr:cNvPr>
        <xdr:cNvSpPr>
          <a:spLocks noChangeAspect="1"/>
        </xdr:cNvSpPr>
      </xdr:nvSpPr>
      <xdr:spPr>
        <a:xfrm>
          <a:off x="57772802" y="148824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85</xdr:row>
      <xdr:rowOff>114450</xdr:rowOff>
    </xdr:from>
    <xdr:to>
      <xdr:col>85</xdr:col>
      <xdr:colOff>19801</xdr:colOff>
      <xdr:row>91</xdr:row>
      <xdr:rowOff>21752</xdr:rowOff>
    </xdr:to>
    <xdr:sp macro="" textlink="">
      <xdr:nvSpPr>
        <xdr:cNvPr id="247668" name="フリーフォーム: 図形 247667">
          <a:extLst>
            <a:ext uri="{FF2B5EF4-FFF2-40B4-BE49-F238E27FC236}">
              <a16:creationId xmlns:a16="http://schemas.microsoft.com/office/drawing/2014/main" id="{8B677A02-9F9C-4D69-8589-449972239CC3}"/>
            </a:ext>
          </a:extLst>
        </xdr:cNvPr>
        <xdr:cNvSpPr>
          <a:spLocks noChangeAspect="1"/>
        </xdr:cNvSpPr>
      </xdr:nvSpPr>
      <xdr:spPr>
        <a:xfrm>
          <a:off x="58024799" y="149544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91</xdr:row>
      <xdr:rowOff>75750</xdr:rowOff>
    </xdr:from>
    <xdr:to>
      <xdr:col>84</xdr:col>
      <xdr:colOff>525600</xdr:colOff>
      <xdr:row>96</xdr:row>
      <xdr:rowOff>136501</xdr:rowOff>
    </xdr:to>
    <xdr:sp macro="" textlink="">
      <xdr:nvSpPr>
        <xdr:cNvPr id="247669" name="フリーフォーム: 図形 247668">
          <a:extLst>
            <a:ext uri="{FF2B5EF4-FFF2-40B4-BE49-F238E27FC236}">
              <a16:creationId xmlns:a16="http://schemas.microsoft.com/office/drawing/2014/main" id="{B1578FB8-BC8E-4899-A9D2-18DB90468931}"/>
            </a:ext>
          </a:extLst>
        </xdr:cNvPr>
        <xdr:cNvSpPr>
          <a:spLocks noChangeAspect="1"/>
        </xdr:cNvSpPr>
      </xdr:nvSpPr>
      <xdr:spPr>
        <a:xfrm>
          <a:off x="57844798" y="159444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96</xdr:row>
      <xdr:rowOff>64500</xdr:rowOff>
    </xdr:from>
    <xdr:to>
      <xdr:col>83</xdr:col>
      <xdr:colOff>455403</xdr:colOff>
      <xdr:row>97</xdr:row>
      <xdr:rowOff>37051</xdr:rowOff>
    </xdr:to>
    <xdr:sp macro="" textlink="">
      <xdr:nvSpPr>
        <xdr:cNvPr id="247670" name="フリーフォーム: 図形 247669">
          <a:extLst>
            <a:ext uri="{FF2B5EF4-FFF2-40B4-BE49-F238E27FC236}">
              <a16:creationId xmlns:a16="http://schemas.microsoft.com/office/drawing/2014/main" id="{221D0ED5-3AFC-47D1-8801-067DC7F2EE52}"/>
            </a:ext>
          </a:extLst>
        </xdr:cNvPr>
        <xdr:cNvSpPr>
          <a:spLocks noChangeAspect="1"/>
        </xdr:cNvSpPr>
      </xdr:nvSpPr>
      <xdr:spPr>
        <a:xfrm>
          <a:off x="56890797" y="167904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96</xdr:row>
      <xdr:rowOff>64500</xdr:rowOff>
    </xdr:from>
    <xdr:to>
      <xdr:col>84</xdr:col>
      <xdr:colOff>273603</xdr:colOff>
      <xdr:row>97</xdr:row>
      <xdr:rowOff>37051</xdr:rowOff>
    </xdr:to>
    <xdr:sp macro="" textlink="">
      <xdr:nvSpPr>
        <xdr:cNvPr id="247671" name="フリーフォーム: 図形 247670">
          <a:extLst>
            <a:ext uri="{FF2B5EF4-FFF2-40B4-BE49-F238E27FC236}">
              <a16:creationId xmlns:a16="http://schemas.microsoft.com/office/drawing/2014/main" id="{BD5D9F47-E197-4BB7-BF37-BAA1EB89CDBB}"/>
            </a:ext>
          </a:extLst>
        </xdr:cNvPr>
        <xdr:cNvSpPr>
          <a:spLocks noChangeAspect="1"/>
        </xdr:cNvSpPr>
      </xdr:nvSpPr>
      <xdr:spPr>
        <a:xfrm>
          <a:off x="57412799" y="167904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91</xdr:row>
      <xdr:rowOff>75750</xdr:rowOff>
    </xdr:from>
    <xdr:to>
      <xdr:col>83</xdr:col>
      <xdr:colOff>203399</xdr:colOff>
      <xdr:row>96</xdr:row>
      <xdr:rowOff>136501</xdr:rowOff>
    </xdr:to>
    <xdr:sp macro="" textlink="">
      <xdr:nvSpPr>
        <xdr:cNvPr id="247672" name="フリーフォーム: 図形 247671">
          <a:extLst>
            <a:ext uri="{FF2B5EF4-FFF2-40B4-BE49-F238E27FC236}">
              <a16:creationId xmlns:a16="http://schemas.microsoft.com/office/drawing/2014/main" id="{ECE7BA84-041B-4FD0-A50B-36D63C0EE263}"/>
            </a:ext>
          </a:extLst>
        </xdr:cNvPr>
        <xdr:cNvSpPr>
          <a:spLocks noChangeAspect="1"/>
        </xdr:cNvSpPr>
      </xdr:nvSpPr>
      <xdr:spPr>
        <a:xfrm>
          <a:off x="56836797" y="159444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85</xdr:row>
      <xdr:rowOff>114450</xdr:rowOff>
    </xdr:from>
    <xdr:to>
      <xdr:col>83</xdr:col>
      <xdr:colOff>347403</xdr:colOff>
      <xdr:row>91</xdr:row>
      <xdr:rowOff>21752</xdr:rowOff>
    </xdr:to>
    <xdr:sp macro="" textlink="">
      <xdr:nvSpPr>
        <xdr:cNvPr id="247673" name="フリーフォーム: 図形 247672">
          <a:extLst>
            <a:ext uri="{FF2B5EF4-FFF2-40B4-BE49-F238E27FC236}">
              <a16:creationId xmlns:a16="http://schemas.microsoft.com/office/drawing/2014/main" id="{45DCFD6F-458F-4323-9948-D2E266F9F5CF}"/>
            </a:ext>
          </a:extLst>
        </xdr:cNvPr>
        <xdr:cNvSpPr>
          <a:spLocks noChangeAspect="1"/>
        </xdr:cNvSpPr>
      </xdr:nvSpPr>
      <xdr:spPr>
        <a:xfrm>
          <a:off x="57016799" y="149544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90</xdr:row>
      <xdr:rowOff>139199</xdr:rowOff>
    </xdr:from>
    <xdr:to>
      <xdr:col>83</xdr:col>
      <xdr:colOff>617402</xdr:colOff>
      <xdr:row>91</xdr:row>
      <xdr:rowOff>111751</xdr:rowOff>
    </xdr:to>
    <xdr:sp macro="" textlink="">
      <xdr:nvSpPr>
        <xdr:cNvPr id="247674" name="フリーフォーム: 図形 247673">
          <a:extLst>
            <a:ext uri="{FF2B5EF4-FFF2-40B4-BE49-F238E27FC236}">
              <a16:creationId xmlns:a16="http://schemas.microsoft.com/office/drawing/2014/main" id="{A13BF120-B4DF-43B0-9493-9D62F98FFC29}"/>
            </a:ext>
          </a:extLst>
        </xdr:cNvPr>
        <xdr:cNvSpPr>
          <a:spLocks noChangeAspect="1"/>
        </xdr:cNvSpPr>
      </xdr:nvSpPr>
      <xdr:spPr>
        <a:xfrm>
          <a:off x="57088801" y="158363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90</xdr:row>
      <xdr:rowOff>139199</xdr:rowOff>
    </xdr:from>
    <xdr:to>
      <xdr:col>84</xdr:col>
      <xdr:colOff>435602</xdr:colOff>
      <xdr:row>91</xdr:row>
      <xdr:rowOff>111751</xdr:rowOff>
    </xdr:to>
    <xdr:sp macro="" textlink="">
      <xdr:nvSpPr>
        <xdr:cNvPr id="247675" name="フリーフォーム: 図形 247674">
          <a:extLst>
            <a:ext uri="{FF2B5EF4-FFF2-40B4-BE49-F238E27FC236}">
              <a16:creationId xmlns:a16="http://schemas.microsoft.com/office/drawing/2014/main" id="{976752D1-C282-4E54-AE0C-E8A38C32A3D7}"/>
            </a:ext>
          </a:extLst>
        </xdr:cNvPr>
        <xdr:cNvSpPr>
          <a:spLocks noChangeAspect="1"/>
        </xdr:cNvSpPr>
      </xdr:nvSpPr>
      <xdr:spPr>
        <a:xfrm>
          <a:off x="57592801" y="158363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86</xdr:row>
      <xdr:rowOff>51000</xdr:rowOff>
    </xdr:from>
    <xdr:to>
      <xdr:col>83</xdr:col>
      <xdr:colOff>635404</xdr:colOff>
      <xdr:row>91</xdr:row>
      <xdr:rowOff>3751</xdr:rowOff>
    </xdr:to>
    <xdr:sp macro="" textlink="">
      <xdr:nvSpPr>
        <xdr:cNvPr id="247676" name="フリーフォーム: 図形 247675">
          <a:extLst>
            <a:ext uri="{FF2B5EF4-FFF2-40B4-BE49-F238E27FC236}">
              <a16:creationId xmlns:a16="http://schemas.microsoft.com/office/drawing/2014/main" id="{E85A5E13-F9C9-4D15-B8E3-6E78C38AA50E}"/>
            </a:ext>
          </a:extLst>
        </xdr:cNvPr>
        <xdr:cNvSpPr>
          <a:spLocks noChangeAspect="1"/>
        </xdr:cNvSpPr>
      </xdr:nvSpPr>
      <xdr:spPr>
        <a:xfrm>
          <a:off x="57286798" y="150624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85</xdr:row>
      <xdr:rowOff>114450</xdr:rowOff>
    </xdr:from>
    <xdr:to>
      <xdr:col>84</xdr:col>
      <xdr:colOff>201601</xdr:colOff>
      <xdr:row>90</xdr:row>
      <xdr:rowOff>157201</xdr:rowOff>
    </xdr:to>
    <xdr:sp macro="" textlink="">
      <xdr:nvSpPr>
        <xdr:cNvPr id="247677" name="フリーフォーム: 図形 247676">
          <a:extLst>
            <a:ext uri="{FF2B5EF4-FFF2-40B4-BE49-F238E27FC236}">
              <a16:creationId xmlns:a16="http://schemas.microsoft.com/office/drawing/2014/main" id="{70EC6382-9308-4356-B971-CC3A71573321}"/>
            </a:ext>
          </a:extLst>
        </xdr:cNvPr>
        <xdr:cNvSpPr>
          <a:spLocks noChangeAspect="1"/>
        </xdr:cNvSpPr>
      </xdr:nvSpPr>
      <xdr:spPr>
        <a:xfrm>
          <a:off x="57556803" y="149544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86</xdr:row>
      <xdr:rowOff>69000</xdr:rowOff>
    </xdr:from>
    <xdr:to>
      <xdr:col>84</xdr:col>
      <xdr:colOff>525600</xdr:colOff>
      <xdr:row>91</xdr:row>
      <xdr:rowOff>3751</xdr:rowOff>
    </xdr:to>
    <xdr:sp macro="" textlink="">
      <xdr:nvSpPr>
        <xdr:cNvPr id="247678" name="フリーフォーム: 図形 247677">
          <a:extLst>
            <a:ext uri="{FF2B5EF4-FFF2-40B4-BE49-F238E27FC236}">
              <a16:creationId xmlns:a16="http://schemas.microsoft.com/office/drawing/2014/main" id="{3AEC2D31-C0F5-4D6F-837D-8A8C85E70B5F}"/>
            </a:ext>
          </a:extLst>
        </xdr:cNvPr>
        <xdr:cNvSpPr>
          <a:spLocks noChangeAspect="1"/>
        </xdr:cNvSpPr>
      </xdr:nvSpPr>
      <xdr:spPr>
        <a:xfrm>
          <a:off x="57610803" y="150804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91</xdr:row>
      <xdr:rowOff>75750</xdr:rowOff>
    </xdr:from>
    <xdr:to>
      <xdr:col>84</xdr:col>
      <xdr:colOff>237599</xdr:colOff>
      <xdr:row>95</xdr:row>
      <xdr:rowOff>163951</xdr:rowOff>
    </xdr:to>
    <xdr:sp macro="" textlink="">
      <xdr:nvSpPr>
        <xdr:cNvPr id="247679" name="フリーフォーム: 図形 247678">
          <a:extLst>
            <a:ext uri="{FF2B5EF4-FFF2-40B4-BE49-F238E27FC236}">
              <a16:creationId xmlns:a16="http://schemas.microsoft.com/office/drawing/2014/main" id="{CFE2C61A-D612-41B5-9025-9CF2093E0329}"/>
            </a:ext>
          </a:extLst>
        </xdr:cNvPr>
        <xdr:cNvSpPr>
          <a:spLocks noChangeAspect="1"/>
        </xdr:cNvSpPr>
      </xdr:nvSpPr>
      <xdr:spPr>
        <a:xfrm>
          <a:off x="57574799" y="159444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91</xdr:row>
      <xdr:rowOff>93749</xdr:rowOff>
    </xdr:from>
    <xdr:to>
      <xdr:col>83</xdr:col>
      <xdr:colOff>653400</xdr:colOff>
      <xdr:row>96</xdr:row>
      <xdr:rowOff>118501</xdr:rowOff>
    </xdr:to>
    <xdr:sp macro="" textlink="">
      <xdr:nvSpPr>
        <xdr:cNvPr id="247680" name="フリーフォーム: 図形 247679">
          <a:extLst>
            <a:ext uri="{FF2B5EF4-FFF2-40B4-BE49-F238E27FC236}">
              <a16:creationId xmlns:a16="http://schemas.microsoft.com/office/drawing/2014/main" id="{12EBC87F-5CF7-41C7-8075-0CEC20E057A0}"/>
            </a:ext>
          </a:extLst>
        </xdr:cNvPr>
        <xdr:cNvSpPr>
          <a:spLocks noChangeAspect="1"/>
        </xdr:cNvSpPr>
      </xdr:nvSpPr>
      <xdr:spPr>
        <a:xfrm>
          <a:off x="57340798" y="159623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91</xdr:row>
      <xdr:rowOff>75750</xdr:rowOff>
    </xdr:from>
    <xdr:to>
      <xdr:col>83</xdr:col>
      <xdr:colOff>617402</xdr:colOff>
      <xdr:row>96</xdr:row>
      <xdr:rowOff>10501</xdr:rowOff>
    </xdr:to>
    <xdr:sp macro="" textlink="">
      <xdr:nvSpPr>
        <xdr:cNvPr id="247681" name="フリーフォーム: 図形 247680">
          <a:extLst>
            <a:ext uri="{FF2B5EF4-FFF2-40B4-BE49-F238E27FC236}">
              <a16:creationId xmlns:a16="http://schemas.microsoft.com/office/drawing/2014/main" id="{1E34A3F2-A88E-4A67-B527-8B223EF27635}"/>
            </a:ext>
          </a:extLst>
        </xdr:cNvPr>
        <xdr:cNvSpPr>
          <a:spLocks noChangeAspect="1"/>
        </xdr:cNvSpPr>
      </xdr:nvSpPr>
      <xdr:spPr>
        <a:xfrm>
          <a:off x="57016799" y="159444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101</xdr:row>
      <xdr:rowOff>42450</xdr:rowOff>
    </xdr:from>
    <xdr:to>
      <xdr:col>1</xdr:col>
      <xdr:colOff>322201</xdr:colOff>
      <xdr:row>102</xdr:row>
      <xdr:rowOff>15002</xdr:rowOff>
    </xdr:to>
    <xdr:sp macro="" textlink="">
      <xdr:nvSpPr>
        <xdr:cNvPr id="247682" name="フリーフォーム: 図形 247681">
          <a:extLst>
            <a:ext uri="{FF2B5EF4-FFF2-40B4-BE49-F238E27FC236}">
              <a16:creationId xmlns:a16="http://schemas.microsoft.com/office/drawing/2014/main" id="{B51EEF92-46B2-47DF-A17E-CCB2EADAD245}"/>
            </a:ext>
          </a:extLst>
        </xdr:cNvPr>
        <xdr:cNvSpPr>
          <a:spLocks noChangeAspect="1"/>
        </xdr:cNvSpPr>
      </xdr:nvSpPr>
      <xdr:spPr>
        <a:xfrm>
          <a:off x="5400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101</xdr:row>
      <xdr:rowOff>42450</xdr:rowOff>
    </xdr:from>
    <xdr:to>
      <xdr:col>2</xdr:col>
      <xdr:colOff>176401</xdr:colOff>
      <xdr:row>102</xdr:row>
      <xdr:rowOff>15002</xdr:rowOff>
    </xdr:to>
    <xdr:sp macro="" textlink="">
      <xdr:nvSpPr>
        <xdr:cNvPr id="247683" name="フリーフォーム: 図形 247682">
          <a:extLst>
            <a:ext uri="{FF2B5EF4-FFF2-40B4-BE49-F238E27FC236}">
              <a16:creationId xmlns:a16="http://schemas.microsoft.com/office/drawing/2014/main" id="{EA2118A2-7F4D-49CC-BD34-99FF7BADB7A3}"/>
            </a:ext>
          </a:extLst>
        </xdr:cNvPr>
        <xdr:cNvSpPr>
          <a:spLocks noChangeAspect="1"/>
        </xdr:cNvSpPr>
      </xdr:nvSpPr>
      <xdr:spPr>
        <a:xfrm>
          <a:off x="10800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101</xdr:row>
      <xdr:rowOff>114450</xdr:rowOff>
    </xdr:from>
    <xdr:to>
      <xdr:col>2</xdr:col>
      <xdr:colOff>248401</xdr:colOff>
      <xdr:row>107</xdr:row>
      <xdr:rowOff>21752</xdr:rowOff>
    </xdr:to>
    <xdr:sp macro="" textlink="">
      <xdr:nvSpPr>
        <xdr:cNvPr id="247684" name="フリーフォーム: 図形 247683">
          <a:extLst>
            <a:ext uri="{FF2B5EF4-FFF2-40B4-BE49-F238E27FC236}">
              <a16:creationId xmlns:a16="http://schemas.microsoft.com/office/drawing/2014/main" id="{763007B9-8C12-440D-82F9-645D38DE0620}"/>
            </a:ext>
          </a:extLst>
        </xdr:cNvPr>
        <xdr:cNvSpPr>
          <a:spLocks noChangeAspect="1"/>
        </xdr:cNvSpPr>
      </xdr:nvSpPr>
      <xdr:spPr>
        <a:xfrm>
          <a:off x="13320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107</xdr:row>
      <xdr:rowOff>75750</xdr:rowOff>
    </xdr:from>
    <xdr:to>
      <xdr:col>2</xdr:col>
      <xdr:colOff>68401</xdr:colOff>
      <xdr:row>112</xdr:row>
      <xdr:rowOff>136501</xdr:rowOff>
    </xdr:to>
    <xdr:sp macro="" textlink="">
      <xdr:nvSpPr>
        <xdr:cNvPr id="247685" name="フリーフォーム: 図形 247684">
          <a:extLst>
            <a:ext uri="{FF2B5EF4-FFF2-40B4-BE49-F238E27FC236}">
              <a16:creationId xmlns:a16="http://schemas.microsoft.com/office/drawing/2014/main" id="{1E9F6951-1024-4D12-AA15-D9D9D7E5FC04}"/>
            </a:ext>
          </a:extLst>
        </xdr:cNvPr>
        <xdr:cNvSpPr>
          <a:spLocks noChangeAspect="1"/>
        </xdr:cNvSpPr>
      </xdr:nvSpPr>
      <xdr:spPr>
        <a:xfrm>
          <a:off x="11520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112</xdr:row>
      <xdr:rowOff>64500</xdr:rowOff>
    </xdr:from>
    <xdr:to>
      <xdr:col>0</xdr:col>
      <xdr:colOff>684001</xdr:colOff>
      <xdr:row>113</xdr:row>
      <xdr:rowOff>37051</xdr:rowOff>
    </xdr:to>
    <xdr:sp macro="" textlink="">
      <xdr:nvSpPr>
        <xdr:cNvPr id="247686" name="フリーフォーム: 図形 247685">
          <a:extLst>
            <a:ext uri="{FF2B5EF4-FFF2-40B4-BE49-F238E27FC236}">
              <a16:creationId xmlns:a16="http://schemas.microsoft.com/office/drawing/2014/main" id="{D6EDA760-F583-487B-AD41-F8D758054833}"/>
            </a:ext>
          </a:extLst>
        </xdr:cNvPr>
        <xdr:cNvSpPr>
          <a:spLocks noChangeAspect="1"/>
        </xdr:cNvSpPr>
      </xdr:nvSpPr>
      <xdr:spPr>
        <a:xfrm>
          <a:off x="1980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112</xdr:row>
      <xdr:rowOff>64500</xdr:rowOff>
    </xdr:from>
    <xdr:to>
      <xdr:col>1</xdr:col>
      <xdr:colOff>502201</xdr:colOff>
      <xdr:row>113</xdr:row>
      <xdr:rowOff>37051</xdr:rowOff>
    </xdr:to>
    <xdr:sp macro="" textlink="">
      <xdr:nvSpPr>
        <xdr:cNvPr id="247687" name="フリーフォーム: 図形 247686">
          <a:extLst>
            <a:ext uri="{FF2B5EF4-FFF2-40B4-BE49-F238E27FC236}">
              <a16:creationId xmlns:a16="http://schemas.microsoft.com/office/drawing/2014/main" id="{A51788BE-CF3A-4C4E-A509-636F4AD7C721}"/>
            </a:ext>
          </a:extLst>
        </xdr:cNvPr>
        <xdr:cNvSpPr>
          <a:spLocks noChangeAspect="1"/>
        </xdr:cNvSpPr>
      </xdr:nvSpPr>
      <xdr:spPr>
        <a:xfrm>
          <a:off x="7200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107</xdr:row>
      <xdr:rowOff>75750</xdr:rowOff>
    </xdr:from>
    <xdr:to>
      <xdr:col>0</xdr:col>
      <xdr:colOff>432001</xdr:colOff>
      <xdr:row>112</xdr:row>
      <xdr:rowOff>136501</xdr:rowOff>
    </xdr:to>
    <xdr:sp macro="" textlink="">
      <xdr:nvSpPr>
        <xdr:cNvPr id="247688" name="フリーフォーム: 図形 247687">
          <a:extLst>
            <a:ext uri="{FF2B5EF4-FFF2-40B4-BE49-F238E27FC236}">
              <a16:creationId xmlns:a16="http://schemas.microsoft.com/office/drawing/2014/main" id="{DBC59F25-BBC5-45EB-819D-69C8142D3C23}"/>
            </a:ext>
          </a:extLst>
        </xdr:cNvPr>
        <xdr:cNvSpPr>
          <a:spLocks noChangeAspect="1"/>
        </xdr:cNvSpPr>
      </xdr:nvSpPr>
      <xdr:spPr>
        <a:xfrm>
          <a:off x="1440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101</xdr:row>
      <xdr:rowOff>114450</xdr:rowOff>
    </xdr:from>
    <xdr:to>
      <xdr:col>0</xdr:col>
      <xdr:colOff>576001</xdr:colOff>
      <xdr:row>107</xdr:row>
      <xdr:rowOff>21752</xdr:rowOff>
    </xdr:to>
    <xdr:sp macro="" textlink="">
      <xdr:nvSpPr>
        <xdr:cNvPr id="247689" name="フリーフォーム: 図形 247688">
          <a:extLst>
            <a:ext uri="{FF2B5EF4-FFF2-40B4-BE49-F238E27FC236}">
              <a16:creationId xmlns:a16="http://schemas.microsoft.com/office/drawing/2014/main" id="{B565E129-A154-4165-9A7A-217D6130CA34}"/>
            </a:ext>
          </a:extLst>
        </xdr:cNvPr>
        <xdr:cNvSpPr>
          <a:spLocks noChangeAspect="1"/>
        </xdr:cNvSpPr>
      </xdr:nvSpPr>
      <xdr:spPr>
        <a:xfrm>
          <a:off x="3240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106</xdr:row>
      <xdr:rowOff>139199</xdr:rowOff>
    </xdr:from>
    <xdr:to>
      <xdr:col>1</xdr:col>
      <xdr:colOff>160201</xdr:colOff>
      <xdr:row>107</xdr:row>
      <xdr:rowOff>111751</xdr:rowOff>
    </xdr:to>
    <xdr:sp macro="" textlink="">
      <xdr:nvSpPr>
        <xdr:cNvPr id="247690" name="フリーフォーム: 図形 247689">
          <a:extLst>
            <a:ext uri="{FF2B5EF4-FFF2-40B4-BE49-F238E27FC236}">
              <a16:creationId xmlns:a16="http://schemas.microsoft.com/office/drawing/2014/main" id="{3681354B-B602-41B7-BF96-024126AAC4E8}"/>
            </a:ext>
          </a:extLst>
        </xdr:cNvPr>
        <xdr:cNvSpPr>
          <a:spLocks noChangeAspect="1"/>
        </xdr:cNvSpPr>
      </xdr:nvSpPr>
      <xdr:spPr>
        <a:xfrm>
          <a:off x="3960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106</xdr:row>
      <xdr:rowOff>139199</xdr:rowOff>
    </xdr:from>
    <xdr:to>
      <xdr:col>1</xdr:col>
      <xdr:colOff>664201</xdr:colOff>
      <xdr:row>107</xdr:row>
      <xdr:rowOff>111751</xdr:rowOff>
    </xdr:to>
    <xdr:sp macro="" textlink="">
      <xdr:nvSpPr>
        <xdr:cNvPr id="247691" name="フリーフォーム: 図形 247690">
          <a:extLst>
            <a:ext uri="{FF2B5EF4-FFF2-40B4-BE49-F238E27FC236}">
              <a16:creationId xmlns:a16="http://schemas.microsoft.com/office/drawing/2014/main" id="{84A4F558-D1A6-48EF-AF62-7F2B0BE23544}"/>
            </a:ext>
          </a:extLst>
        </xdr:cNvPr>
        <xdr:cNvSpPr>
          <a:spLocks noChangeAspect="1"/>
        </xdr:cNvSpPr>
      </xdr:nvSpPr>
      <xdr:spPr>
        <a:xfrm>
          <a:off x="9000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102</xdr:row>
      <xdr:rowOff>51000</xdr:rowOff>
    </xdr:from>
    <xdr:to>
      <xdr:col>1</xdr:col>
      <xdr:colOff>178201</xdr:colOff>
      <xdr:row>107</xdr:row>
      <xdr:rowOff>3751</xdr:rowOff>
    </xdr:to>
    <xdr:sp macro="" textlink="">
      <xdr:nvSpPr>
        <xdr:cNvPr id="247692" name="フリーフォーム: 図形 247691">
          <a:extLst>
            <a:ext uri="{FF2B5EF4-FFF2-40B4-BE49-F238E27FC236}">
              <a16:creationId xmlns:a16="http://schemas.microsoft.com/office/drawing/2014/main" id="{414863E4-1045-42AC-8A70-A429D15C2BE0}"/>
            </a:ext>
          </a:extLst>
        </xdr:cNvPr>
        <xdr:cNvSpPr>
          <a:spLocks noChangeAspect="1"/>
        </xdr:cNvSpPr>
      </xdr:nvSpPr>
      <xdr:spPr>
        <a:xfrm>
          <a:off x="5940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101</xdr:row>
      <xdr:rowOff>114450</xdr:rowOff>
    </xdr:from>
    <xdr:to>
      <xdr:col>1</xdr:col>
      <xdr:colOff>430201</xdr:colOff>
      <xdr:row>106</xdr:row>
      <xdr:rowOff>157201</xdr:rowOff>
    </xdr:to>
    <xdr:sp macro="" textlink="">
      <xdr:nvSpPr>
        <xdr:cNvPr id="247693" name="フリーフォーム: 図形 247692">
          <a:extLst>
            <a:ext uri="{FF2B5EF4-FFF2-40B4-BE49-F238E27FC236}">
              <a16:creationId xmlns:a16="http://schemas.microsoft.com/office/drawing/2014/main" id="{753AD054-DC9B-4DA5-8027-AF210196AC8B}"/>
            </a:ext>
          </a:extLst>
        </xdr:cNvPr>
        <xdr:cNvSpPr>
          <a:spLocks noChangeAspect="1"/>
        </xdr:cNvSpPr>
      </xdr:nvSpPr>
      <xdr:spPr>
        <a:xfrm>
          <a:off x="8640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102</xdr:row>
      <xdr:rowOff>69000</xdr:rowOff>
    </xdr:from>
    <xdr:to>
      <xdr:col>2</xdr:col>
      <xdr:colOff>68401</xdr:colOff>
      <xdr:row>107</xdr:row>
      <xdr:rowOff>3751</xdr:rowOff>
    </xdr:to>
    <xdr:sp macro="" textlink="">
      <xdr:nvSpPr>
        <xdr:cNvPr id="247694" name="フリーフォーム: 図形 247693">
          <a:extLst>
            <a:ext uri="{FF2B5EF4-FFF2-40B4-BE49-F238E27FC236}">
              <a16:creationId xmlns:a16="http://schemas.microsoft.com/office/drawing/2014/main" id="{BF18E46C-E504-4B84-9E91-602AE518D080}"/>
            </a:ext>
          </a:extLst>
        </xdr:cNvPr>
        <xdr:cNvSpPr>
          <a:spLocks noChangeAspect="1"/>
        </xdr:cNvSpPr>
      </xdr:nvSpPr>
      <xdr:spPr>
        <a:xfrm>
          <a:off x="9180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107</xdr:row>
      <xdr:rowOff>75750</xdr:rowOff>
    </xdr:from>
    <xdr:to>
      <xdr:col>1</xdr:col>
      <xdr:colOff>466201</xdr:colOff>
      <xdr:row>111</xdr:row>
      <xdr:rowOff>163951</xdr:rowOff>
    </xdr:to>
    <xdr:sp macro="" textlink="">
      <xdr:nvSpPr>
        <xdr:cNvPr id="247695" name="フリーフォーム: 図形 247694">
          <a:extLst>
            <a:ext uri="{FF2B5EF4-FFF2-40B4-BE49-F238E27FC236}">
              <a16:creationId xmlns:a16="http://schemas.microsoft.com/office/drawing/2014/main" id="{FDB4A663-50A3-431C-9AE8-64D0581DCCEE}"/>
            </a:ext>
          </a:extLst>
        </xdr:cNvPr>
        <xdr:cNvSpPr>
          <a:spLocks noChangeAspect="1"/>
        </xdr:cNvSpPr>
      </xdr:nvSpPr>
      <xdr:spPr>
        <a:xfrm>
          <a:off x="8820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107</xdr:row>
      <xdr:rowOff>93749</xdr:rowOff>
    </xdr:from>
    <xdr:to>
      <xdr:col>1</xdr:col>
      <xdr:colOff>196201</xdr:colOff>
      <xdr:row>112</xdr:row>
      <xdr:rowOff>118501</xdr:rowOff>
    </xdr:to>
    <xdr:sp macro="" textlink="">
      <xdr:nvSpPr>
        <xdr:cNvPr id="247696" name="フリーフォーム: 図形 247695">
          <a:extLst>
            <a:ext uri="{FF2B5EF4-FFF2-40B4-BE49-F238E27FC236}">
              <a16:creationId xmlns:a16="http://schemas.microsoft.com/office/drawing/2014/main" id="{E9B7AE37-4647-4C59-BCE3-4F53DD801461}"/>
            </a:ext>
          </a:extLst>
        </xdr:cNvPr>
        <xdr:cNvSpPr>
          <a:spLocks noChangeAspect="1"/>
        </xdr:cNvSpPr>
      </xdr:nvSpPr>
      <xdr:spPr>
        <a:xfrm>
          <a:off x="6480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107</xdr:row>
      <xdr:rowOff>75750</xdr:rowOff>
    </xdr:from>
    <xdr:to>
      <xdr:col>1</xdr:col>
      <xdr:colOff>160201</xdr:colOff>
      <xdr:row>112</xdr:row>
      <xdr:rowOff>10501</xdr:rowOff>
    </xdr:to>
    <xdr:sp macro="" textlink="">
      <xdr:nvSpPr>
        <xdr:cNvPr id="247697" name="フリーフォーム: 図形 247696">
          <a:extLst>
            <a:ext uri="{FF2B5EF4-FFF2-40B4-BE49-F238E27FC236}">
              <a16:creationId xmlns:a16="http://schemas.microsoft.com/office/drawing/2014/main" id="{83985079-E399-437A-BBF5-725FDCF76B96}"/>
            </a:ext>
          </a:extLst>
        </xdr:cNvPr>
        <xdr:cNvSpPr>
          <a:spLocks noChangeAspect="1"/>
        </xdr:cNvSpPr>
      </xdr:nvSpPr>
      <xdr:spPr>
        <a:xfrm>
          <a:off x="3240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101</xdr:row>
      <xdr:rowOff>42450</xdr:rowOff>
    </xdr:from>
    <xdr:to>
      <xdr:col>4</xdr:col>
      <xdr:colOff>93601</xdr:colOff>
      <xdr:row>102</xdr:row>
      <xdr:rowOff>15002</xdr:rowOff>
    </xdr:to>
    <xdr:sp macro="" textlink="">
      <xdr:nvSpPr>
        <xdr:cNvPr id="247698" name="フリーフォーム: 図形 247697">
          <a:extLst>
            <a:ext uri="{FF2B5EF4-FFF2-40B4-BE49-F238E27FC236}">
              <a16:creationId xmlns:a16="http://schemas.microsoft.com/office/drawing/2014/main" id="{E77B8CCD-C27E-4A96-BAC4-4B605BBB71F6}"/>
            </a:ext>
          </a:extLst>
        </xdr:cNvPr>
        <xdr:cNvSpPr>
          <a:spLocks noChangeAspect="1"/>
        </xdr:cNvSpPr>
      </xdr:nvSpPr>
      <xdr:spPr>
        <a:xfrm>
          <a:off x="23688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101</xdr:row>
      <xdr:rowOff>42450</xdr:rowOff>
    </xdr:from>
    <xdr:to>
      <xdr:col>4</xdr:col>
      <xdr:colOff>633601</xdr:colOff>
      <xdr:row>102</xdr:row>
      <xdr:rowOff>15002</xdr:rowOff>
    </xdr:to>
    <xdr:sp macro="" textlink="">
      <xdr:nvSpPr>
        <xdr:cNvPr id="247699" name="フリーフォーム: 図形 247698">
          <a:extLst>
            <a:ext uri="{FF2B5EF4-FFF2-40B4-BE49-F238E27FC236}">
              <a16:creationId xmlns:a16="http://schemas.microsoft.com/office/drawing/2014/main" id="{1D924BB4-AC0D-4AFE-8CD1-41C8E5D2BE11}"/>
            </a:ext>
          </a:extLst>
        </xdr:cNvPr>
        <xdr:cNvSpPr>
          <a:spLocks noChangeAspect="1"/>
        </xdr:cNvSpPr>
      </xdr:nvSpPr>
      <xdr:spPr>
        <a:xfrm>
          <a:off x="29088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101</xdr:row>
      <xdr:rowOff>114450</xdr:rowOff>
    </xdr:from>
    <xdr:to>
      <xdr:col>5</xdr:col>
      <xdr:colOff>19801</xdr:colOff>
      <xdr:row>107</xdr:row>
      <xdr:rowOff>21752</xdr:rowOff>
    </xdr:to>
    <xdr:sp macro="" textlink="">
      <xdr:nvSpPr>
        <xdr:cNvPr id="247700" name="フリーフォーム: 図形 247699">
          <a:extLst>
            <a:ext uri="{FF2B5EF4-FFF2-40B4-BE49-F238E27FC236}">
              <a16:creationId xmlns:a16="http://schemas.microsoft.com/office/drawing/2014/main" id="{76848919-A906-4417-A7B2-FC42A4C4F43A}"/>
            </a:ext>
          </a:extLst>
        </xdr:cNvPr>
        <xdr:cNvSpPr>
          <a:spLocks noChangeAspect="1"/>
        </xdr:cNvSpPr>
      </xdr:nvSpPr>
      <xdr:spPr>
        <a:xfrm>
          <a:off x="31608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107</xdr:row>
      <xdr:rowOff>75750</xdr:rowOff>
    </xdr:from>
    <xdr:to>
      <xdr:col>4</xdr:col>
      <xdr:colOff>525601</xdr:colOff>
      <xdr:row>112</xdr:row>
      <xdr:rowOff>136501</xdr:rowOff>
    </xdr:to>
    <xdr:sp macro="" textlink="">
      <xdr:nvSpPr>
        <xdr:cNvPr id="247701" name="フリーフォーム: 図形 247700">
          <a:extLst>
            <a:ext uri="{FF2B5EF4-FFF2-40B4-BE49-F238E27FC236}">
              <a16:creationId xmlns:a16="http://schemas.microsoft.com/office/drawing/2014/main" id="{F8B35078-F35D-4385-AFE8-FA86F6E3A004}"/>
            </a:ext>
          </a:extLst>
        </xdr:cNvPr>
        <xdr:cNvSpPr>
          <a:spLocks noChangeAspect="1"/>
        </xdr:cNvSpPr>
      </xdr:nvSpPr>
      <xdr:spPr>
        <a:xfrm>
          <a:off x="29808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112</xdr:row>
      <xdr:rowOff>64500</xdr:rowOff>
    </xdr:from>
    <xdr:to>
      <xdr:col>3</xdr:col>
      <xdr:colOff>455401</xdr:colOff>
      <xdr:row>113</xdr:row>
      <xdr:rowOff>37051</xdr:rowOff>
    </xdr:to>
    <xdr:sp macro="" textlink="">
      <xdr:nvSpPr>
        <xdr:cNvPr id="247702" name="フリーフォーム: 図形 247701">
          <a:extLst>
            <a:ext uri="{FF2B5EF4-FFF2-40B4-BE49-F238E27FC236}">
              <a16:creationId xmlns:a16="http://schemas.microsoft.com/office/drawing/2014/main" id="{ADD55534-69A2-442F-8FBF-D1BA707C9734}"/>
            </a:ext>
          </a:extLst>
        </xdr:cNvPr>
        <xdr:cNvSpPr>
          <a:spLocks noChangeAspect="1"/>
        </xdr:cNvSpPr>
      </xdr:nvSpPr>
      <xdr:spPr>
        <a:xfrm>
          <a:off x="20268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112</xdr:row>
      <xdr:rowOff>64500</xdr:rowOff>
    </xdr:from>
    <xdr:to>
      <xdr:col>4</xdr:col>
      <xdr:colOff>273601</xdr:colOff>
      <xdr:row>113</xdr:row>
      <xdr:rowOff>37051</xdr:rowOff>
    </xdr:to>
    <xdr:sp macro="" textlink="">
      <xdr:nvSpPr>
        <xdr:cNvPr id="247703" name="フリーフォーム: 図形 247702">
          <a:extLst>
            <a:ext uri="{FF2B5EF4-FFF2-40B4-BE49-F238E27FC236}">
              <a16:creationId xmlns:a16="http://schemas.microsoft.com/office/drawing/2014/main" id="{7C3014D1-DA24-420A-94F9-302C0BB5F35A}"/>
            </a:ext>
          </a:extLst>
        </xdr:cNvPr>
        <xdr:cNvSpPr>
          <a:spLocks noChangeAspect="1"/>
        </xdr:cNvSpPr>
      </xdr:nvSpPr>
      <xdr:spPr>
        <a:xfrm>
          <a:off x="25488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107</xdr:row>
      <xdr:rowOff>75750</xdr:rowOff>
    </xdr:from>
    <xdr:to>
      <xdr:col>3</xdr:col>
      <xdr:colOff>203401</xdr:colOff>
      <xdr:row>112</xdr:row>
      <xdr:rowOff>136501</xdr:rowOff>
    </xdr:to>
    <xdr:sp macro="" textlink="">
      <xdr:nvSpPr>
        <xdr:cNvPr id="247704" name="フリーフォーム: 図形 247703">
          <a:extLst>
            <a:ext uri="{FF2B5EF4-FFF2-40B4-BE49-F238E27FC236}">
              <a16:creationId xmlns:a16="http://schemas.microsoft.com/office/drawing/2014/main" id="{E6988D79-3E7E-4131-AFEE-D486E4B8E5C6}"/>
            </a:ext>
          </a:extLst>
        </xdr:cNvPr>
        <xdr:cNvSpPr>
          <a:spLocks noChangeAspect="1"/>
        </xdr:cNvSpPr>
      </xdr:nvSpPr>
      <xdr:spPr>
        <a:xfrm>
          <a:off x="19728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101</xdr:row>
      <xdr:rowOff>114450</xdr:rowOff>
    </xdr:from>
    <xdr:to>
      <xdr:col>3</xdr:col>
      <xdr:colOff>347401</xdr:colOff>
      <xdr:row>107</xdr:row>
      <xdr:rowOff>21752</xdr:rowOff>
    </xdr:to>
    <xdr:sp macro="" textlink="">
      <xdr:nvSpPr>
        <xdr:cNvPr id="247705" name="フリーフォーム: 図形 247704">
          <a:extLst>
            <a:ext uri="{FF2B5EF4-FFF2-40B4-BE49-F238E27FC236}">
              <a16:creationId xmlns:a16="http://schemas.microsoft.com/office/drawing/2014/main" id="{ECDE1792-C6DF-492C-9BEB-B460E04B097B}"/>
            </a:ext>
          </a:extLst>
        </xdr:cNvPr>
        <xdr:cNvSpPr>
          <a:spLocks noChangeAspect="1"/>
        </xdr:cNvSpPr>
      </xdr:nvSpPr>
      <xdr:spPr>
        <a:xfrm>
          <a:off x="21528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106</xdr:row>
      <xdr:rowOff>139199</xdr:rowOff>
    </xdr:from>
    <xdr:to>
      <xdr:col>3</xdr:col>
      <xdr:colOff>617401</xdr:colOff>
      <xdr:row>107</xdr:row>
      <xdr:rowOff>111751</xdr:rowOff>
    </xdr:to>
    <xdr:sp macro="" textlink="">
      <xdr:nvSpPr>
        <xdr:cNvPr id="247706" name="フリーフォーム: 図形 247705">
          <a:extLst>
            <a:ext uri="{FF2B5EF4-FFF2-40B4-BE49-F238E27FC236}">
              <a16:creationId xmlns:a16="http://schemas.microsoft.com/office/drawing/2014/main" id="{57209A25-BB5F-4CD8-A7F1-49B50D3231F6}"/>
            </a:ext>
          </a:extLst>
        </xdr:cNvPr>
        <xdr:cNvSpPr>
          <a:spLocks noChangeAspect="1"/>
        </xdr:cNvSpPr>
      </xdr:nvSpPr>
      <xdr:spPr>
        <a:xfrm>
          <a:off x="22248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106</xdr:row>
      <xdr:rowOff>139199</xdr:rowOff>
    </xdr:from>
    <xdr:to>
      <xdr:col>4</xdr:col>
      <xdr:colOff>435601</xdr:colOff>
      <xdr:row>107</xdr:row>
      <xdr:rowOff>111751</xdr:rowOff>
    </xdr:to>
    <xdr:sp macro="" textlink="">
      <xdr:nvSpPr>
        <xdr:cNvPr id="247707" name="フリーフォーム: 図形 247706">
          <a:extLst>
            <a:ext uri="{FF2B5EF4-FFF2-40B4-BE49-F238E27FC236}">
              <a16:creationId xmlns:a16="http://schemas.microsoft.com/office/drawing/2014/main" id="{8E4BBB09-77D1-468D-9D47-94088AA2D5CD}"/>
            </a:ext>
          </a:extLst>
        </xdr:cNvPr>
        <xdr:cNvSpPr>
          <a:spLocks noChangeAspect="1"/>
        </xdr:cNvSpPr>
      </xdr:nvSpPr>
      <xdr:spPr>
        <a:xfrm>
          <a:off x="27288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102</xdr:row>
      <xdr:rowOff>51000</xdr:rowOff>
    </xdr:from>
    <xdr:to>
      <xdr:col>3</xdr:col>
      <xdr:colOff>635401</xdr:colOff>
      <xdr:row>107</xdr:row>
      <xdr:rowOff>3751</xdr:rowOff>
    </xdr:to>
    <xdr:sp macro="" textlink="">
      <xdr:nvSpPr>
        <xdr:cNvPr id="247708" name="フリーフォーム: 図形 247707">
          <a:extLst>
            <a:ext uri="{FF2B5EF4-FFF2-40B4-BE49-F238E27FC236}">
              <a16:creationId xmlns:a16="http://schemas.microsoft.com/office/drawing/2014/main" id="{B446EADE-C1F9-44D1-9299-F83D56579D55}"/>
            </a:ext>
          </a:extLst>
        </xdr:cNvPr>
        <xdr:cNvSpPr>
          <a:spLocks noChangeAspect="1"/>
        </xdr:cNvSpPr>
      </xdr:nvSpPr>
      <xdr:spPr>
        <a:xfrm>
          <a:off x="24228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101</xdr:row>
      <xdr:rowOff>114450</xdr:rowOff>
    </xdr:from>
    <xdr:to>
      <xdr:col>4</xdr:col>
      <xdr:colOff>201601</xdr:colOff>
      <xdr:row>106</xdr:row>
      <xdr:rowOff>157201</xdr:rowOff>
    </xdr:to>
    <xdr:sp macro="" textlink="">
      <xdr:nvSpPr>
        <xdr:cNvPr id="247709" name="フリーフォーム: 図形 247708">
          <a:extLst>
            <a:ext uri="{FF2B5EF4-FFF2-40B4-BE49-F238E27FC236}">
              <a16:creationId xmlns:a16="http://schemas.microsoft.com/office/drawing/2014/main" id="{CB07D95C-9825-4279-B76C-7923E6A34E61}"/>
            </a:ext>
          </a:extLst>
        </xdr:cNvPr>
        <xdr:cNvSpPr>
          <a:spLocks noChangeAspect="1"/>
        </xdr:cNvSpPr>
      </xdr:nvSpPr>
      <xdr:spPr>
        <a:xfrm>
          <a:off x="26928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102</xdr:row>
      <xdr:rowOff>69000</xdr:rowOff>
    </xdr:from>
    <xdr:to>
      <xdr:col>4</xdr:col>
      <xdr:colOff>525601</xdr:colOff>
      <xdr:row>107</xdr:row>
      <xdr:rowOff>3751</xdr:rowOff>
    </xdr:to>
    <xdr:sp macro="" textlink="">
      <xdr:nvSpPr>
        <xdr:cNvPr id="247710" name="フリーフォーム: 図形 247709">
          <a:extLst>
            <a:ext uri="{FF2B5EF4-FFF2-40B4-BE49-F238E27FC236}">
              <a16:creationId xmlns:a16="http://schemas.microsoft.com/office/drawing/2014/main" id="{C6ED16FF-FF33-4C5E-A1D7-8918162311CD}"/>
            </a:ext>
          </a:extLst>
        </xdr:cNvPr>
        <xdr:cNvSpPr>
          <a:spLocks noChangeAspect="1"/>
        </xdr:cNvSpPr>
      </xdr:nvSpPr>
      <xdr:spPr>
        <a:xfrm>
          <a:off x="27468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107</xdr:row>
      <xdr:rowOff>75750</xdr:rowOff>
    </xdr:from>
    <xdr:to>
      <xdr:col>4</xdr:col>
      <xdr:colOff>237601</xdr:colOff>
      <xdr:row>111</xdr:row>
      <xdr:rowOff>163951</xdr:rowOff>
    </xdr:to>
    <xdr:sp macro="" textlink="">
      <xdr:nvSpPr>
        <xdr:cNvPr id="247711" name="フリーフォーム: 図形 247710">
          <a:extLst>
            <a:ext uri="{FF2B5EF4-FFF2-40B4-BE49-F238E27FC236}">
              <a16:creationId xmlns:a16="http://schemas.microsoft.com/office/drawing/2014/main" id="{7C970D4E-CF4B-484E-8648-D72F1BB8DFE0}"/>
            </a:ext>
          </a:extLst>
        </xdr:cNvPr>
        <xdr:cNvSpPr>
          <a:spLocks noChangeAspect="1"/>
        </xdr:cNvSpPr>
      </xdr:nvSpPr>
      <xdr:spPr>
        <a:xfrm>
          <a:off x="27108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107</xdr:row>
      <xdr:rowOff>93749</xdr:rowOff>
    </xdr:from>
    <xdr:to>
      <xdr:col>3</xdr:col>
      <xdr:colOff>653401</xdr:colOff>
      <xdr:row>112</xdr:row>
      <xdr:rowOff>118501</xdr:rowOff>
    </xdr:to>
    <xdr:sp macro="" textlink="">
      <xdr:nvSpPr>
        <xdr:cNvPr id="247712" name="フリーフォーム: 図形 247711">
          <a:extLst>
            <a:ext uri="{FF2B5EF4-FFF2-40B4-BE49-F238E27FC236}">
              <a16:creationId xmlns:a16="http://schemas.microsoft.com/office/drawing/2014/main" id="{E82E86FC-CD65-4A70-91CF-DBFDB1211B94}"/>
            </a:ext>
          </a:extLst>
        </xdr:cNvPr>
        <xdr:cNvSpPr>
          <a:spLocks noChangeAspect="1"/>
        </xdr:cNvSpPr>
      </xdr:nvSpPr>
      <xdr:spPr>
        <a:xfrm>
          <a:off x="24768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107</xdr:row>
      <xdr:rowOff>75750</xdr:rowOff>
    </xdr:from>
    <xdr:to>
      <xdr:col>3</xdr:col>
      <xdr:colOff>617401</xdr:colOff>
      <xdr:row>112</xdr:row>
      <xdr:rowOff>10501</xdr:rowOff>
    </xdr:to>
    <xdr:sp macro="" textlink="">
      <xdr:nvSpPr>
        <xdr:cNvPr id="247713" name="フリーフォーム: 図形 247712">
          <a:extLst>
            <a:ext uri="{FF2B5EF4-FFF2-40B4-BE49-F238E27FC236}">
              <a16:creationId xmlns:a16="http://schemas.microsoft.com/office/drawing/2014/main" id="{E14E5BC7-9BBA-4CE7-A0AF-C0E64388F5A0}"/>
            </a:ext>
          </a:extLst>
        </xdr:cNvPr>
        <xdr:cNvSpPr>
          <a:spLocks noChangeAspect="1"/>
        </xdr:cNvSpPr>
      </xdr:nvSpPr>
      <xdr:spPr>
        <a:xfrm>
          <a:off x="21528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101</xdr:row>
      <xdr:rowOff>42450</xdr:rowOff>
    </xdr:from>
    <xdr:to>
      <xdr:col>6</xdr:col>
      <xdr:colOff>550801</xdr:colOff>
      <xdr:row>102</xdr:row>
      <xdr:rowOff>15002</xdr:rowOff>
    </xdr:to>
    <xdr:sp macro="" textlink="">
      <xdr:nvSpPr>
        <xdr:cNvPr id="247714" name="フリーフォーム: 図形 247713">
          <a:extLst>
            <a:ext uri="{FF2B5EF4-FFF2-40B4-BE49-F238E27FC236}">
              <a16:creationId xmlns:a16="http://schemas.microsoft.com/office/drawing/2014/main" id="{C0210382-09C2-4405-B548-FF5A31FFEED4}"/>
            </a:ext>
          </a:extLst>
        </xdr:cNvPr>
        <xdr:cNvSpPr>
          <a:spLocks noChangeAspect="1"/>
        </xdr:cNvSpPr>
      </xdr:nvSpPr>
      <xdr:spPr>
        <a:xfrm>
          <a:off x="41976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101</xdr:row>
      <xdr:rowOff>42450</xdr:rowOff>
    </xdr:from>
    <xdr:to>
      <xdr:col>7</xdr:col>
      <xdr:colOff>405001</xdr:colOff>
      <xdr:row>102</xdr:row>
      <xdr:rowOff>15002</xdr:rowOff>
    </xdr:to>
    <xdr:sp macro="" textlink="">
      <xdr:nvSpPr>
        <xdr:cNvPr id="247715" name="フリーフォーム: 図形 247714">
          <a:extLst>
            <a:ext uri="{FF2B5EF4-FFF2-40B4-BE49-F238E27FC236}">
              <a16:creationId xmlns:a16="http://schemas.microsoft.com/office/drawing/2014/main" id="{7DC2046E-4D40-4C0C-8FF2-1157C546914D}"/>
            </a:ext>
          </a:extLst>
        </xdr:cNvPr>
        <xdr:cNvSpPr>
          <a:spLocks noChangeAspect="1"/>
        </xdr:cNvSpPr>
      </xdr:nvSpPr>
      <xdr:spPr>
        <a:xfrm>
          <a:off x="47376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101</xdr:row>
      <xdr:rowOff>114450</xdr:rowOff>
    </xdr:from>
    <xdr:to>
      <xdr:col>7</xdr:col>
      <xdr:colOff>477001</xdr:colOff>
      <xdr:row>107</xdr:row>
      <xdr:rowOff>21752</xdr:rowOff>
    </xdr:to>
    <xdr:sp macro="" textlink="">
      <xdr:nvSpPr>
        <xdr:cNvPr id="247716" name="フリーフォーム: 図形 247715">
          <a:extLst>
            <a:ext uri="{FF2B5EF4-FFF2-40B4-BE49-F238E27FC236}">
              <a16:creationId xmlns:a16="http://schemas.microsoft.com/office/drawing/2014/main" id="{0774F05C-109C-447D-837A-6D07074ECFF8}"/>
            </a:ext>
          </a:extLst>
        </xdr:cNvPr>
        <xdr:cNvSpPr>
          <a:spLocks noChangeAspect="1"/>
        </xdr:cNvSpPr>
      </xdr:nvSpPr>
      <xdr:spPr>
        <a:xfrm>
          <a:off x="49896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107</xdr:row>
      <xdr:rowOff>75750</xdr:rowOff>
    </xdr:from>
    <xdr:to>
      <xdr:col>7</xdr:col>
      <xdr:colOff>297001</xdr:colOff>
      <xdr:row>112</xdr:row>
      <xdr:rowOff>136501</xdr:rowOff>
    </xdr:to>
    <xdr:sp macro="" textlink="">
      <xdr:nvSpPr>
        <xdr:cNvPr id="247717" name="フリーフォーム: 図形 247716">
          <a:extLst>
            <a:ext uri="{FF2B5EF4-FFF2-40B4-BE49-F238E27FC236}">
              <a16:creationId xmlns:a16="http://schemas.microsoft.com/office/drawing/2014/main" id="{472F422A-B7F0-437C-B213-D629FEE4EA77}"/>
            </a:ext>
          </a:extLst>
        </xdr:cNvPr>
        <xdr:cNvSpPr>
          <a:spLocks noChangeAspect="1"/>
        </xdr:cNvSpPr>
      </xdr:nvSpPr>
      <xdr:spPr>
        <a:xfrm>
          <a:off x="48096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112</xdr:row>
      <xdr:rowOff>64500</xdr:rowOff>
    </xdr:from>
    <xdr:to>
      <xdr:col>6</xdr:col>
      <xdr:colOff>226801</xdr:colOff>
      <xdr:row>113</xdr:row>
      <xdr:rowOff>37051</xdr:rowOff>
    </xdr:to>
    <xdr:sp macro="" textlink="">
      <xdr:nvSpPr>
        <xdr:cNvPr id="247718" name="フリーフォーム: 図形 247717">
          <a:extLst>
            <a:ext uri="{FF2B5EF4-FFF2-40B4-BE49-F238E27FC236}">
              <a16:creationId xmlns:a16="http://schemas.microsoft.com/office/drawing/2014/main" id="{CB906E9A-0F57-4E9A-9235-F2450573ED7E}"/>
            </a:ext>
          </a:extLst>
        </xdr:cNvPr>
        <xdr:cNvSpPr>
          <a:spLocks noChangeAspect="1"/>
        </xdr:cNvSpPr>
      </xdr:nvSpPr>
      <xdr:spPr>
        <a:xfrm>
          <a:off x="38556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112</xdr:row>
      <xdr:rowOff>64500</xdr:rowOff>
    </xdr:from>
    <xdr:to>
      <xdr:col>7</xdr:col>
      <xdr:colOff>45001</xdr:colOff>
      <xdr:row>113</xdr:row>
      <xdr:rowOff>37051</xdr:rowOff>
    </xdr:to>
    <xdr:sp macro="" textlink="">
      <xdr:nvSpPr>
        <xdr:cNvPr id="247719" name="フリーフォーム: 図形 247718">
          <a:extLst>
            <a:ext uri="{FF2B5EF4-FFF2-40B4-BE49-F238E27FC236}">
              <a16:creationId xmlns:a16="http://schemas.microsoft.com/office/drawing/2014/main" id="{51867FAF-D1A3-4505-84CA-E3D8C7A9C614}"/>
            </a:ext>
          </a:extLst>
        </xdr:cNvPr>
        <xdr:cNvSpPr>
          <a:spLocks noChangeAspect="1"/>
        </xdr:cNvSpPr>
      </xdr:nvSpPr>
      <xdr:spPr>
        <a:xfrm>
          <a:off x="43776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107</xdr:row>
      <xdr:rowOff>75750</xdr:rowOff>
    </xdr:from>
    <xdr:to>
      <xdr:col>5</xdr:col>
      <xdr:colOff>660601</xdr:colOff>
      <xdr:row>112</xdr:row>
      <xdr:rowOff>136501</xdr:rowOff>
    </xdr:to>
    <xdr:sp macro="" textlink="">
      <xdr:nvSpPr>
        <xdr:cNvPr id="247720" name="フリーフォーム: 図形 247719">
          <a:extLst>
            <a:ext uri="{FF2B5EF4-FFF2-40B4-BE49-F238E27FC236}">
              <a16:creationId xmlns:a16="http://schemas.microsoft.com/office/drawing/2014/main" id="{2A62EDDA-0600-4DF8-AF2D-4546BC41FD40}"/>
            </a:ext>
          </a:extLst>
        </xdr:cNvPr>
        <xdr:cNvSpPr>
          <a:spLocks noChangeAspect="1"/>
        </xdr:cNvSpPr>
      </xdr:nvSpPr>
      <xdr:spPr>
        <a:xfrm>
          <a:off x="38016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101</xdr:row>
      <xdr:rowOff>114450</xdr:rowOff>
    </xdr:from>
    <xdr:to>
      <xdr:col>6</xdr:col>
      <xdr:colOff>118801</xdr:colOff>
      <xdr:row>107</xdr:row>
      <xdr:rowOff>21752</xdr:rowOff>
    </xdr:to>
    <xdr:sp macro="" textlink="">
      <xdr:nvSpPr>
        <xdr:cNvPr id="247721" name="フリーフォーム: 図形 247720">
          <a:extLst>
            <a:ext uri="{FF2B5EF4-FFF2-40B4-BE49-F238E27FC236}">
              <a16:creationId xmlns:a16="http://schemas.microsoft.com/office/drawing/2014/main" id="{A5542F89-70D8-4AA1-9D23-48802A55D3B8}"/>
            </a:ext>
          </a:extLst>
        </xdr:cNvPr>
        <xdr:cNvSpPr>
          <a:spLocks noChangeAspect="1"/>
        </xdr:cNvSpPr>
      </xdr:nvSpPr>
      <xdr:spPr>
        <a:xfrm>
          <a:off x="39816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106</xdr:row>
      <xdr:rowOff>139199</xdr:rowOff>
    </xdr:from>
    <xdr:to>
      <xdr:col>6</xdr:col>
      <xdr:colOff>388801</xdr:colOff>
      <xdr:row>107</xdr:row>
      <xdr:rowOff>111751</xdr:rowOff>
    </xdr:to>
    <xdr:sp macro="" textlink="">
      <xdr:nvSpPr>
        <xdr:cNvPr id="247722" name="フリーフォーム: 図形 247721">
          <a:extLst>
            <a:ext uri="{FF2B5EF4-FFF2-40B4-BE49-F238E27FC236}">
              <a16:creationId xmlns:a16="http://schemas.microsoft.com/office/drawing/2014/main" id="{75C18570-FE06-453E-9504-A0CC8C671EE2}"/>
            </a:ext>
          </a:extLst>
        </xdr:cNvPr>
        <xdr:cNvSpPr>
          <a:spLocks noChangeAspect="1"/>
        </xdr:cNvSpPr>
      </xdr:nvSpPr>
      <xdr:spPr>
        <a:xfrm>
          <a:off x="40536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106</xdr:row>
      <xdr:rowOff>139199</xdr:rowOff>
    </xdr:from>
    <xdr:to>
      <xdr:col>7</xdr:col>
      <xdr:colOff>207001</xdr:colOff>
      <xdr:row>107</xdr:row>
      <xdr:rowOff>111751</xdr:rowOff>
    </xdr:to>
    <xdr:sp macro="" textlink="">
      <xdr:nvSpPr>
        <xdr:cNvPr id="247723" name="フリーフォーム: 図形 247722">
          <a:extLst>
            <a:ext uri="{FF2B5EF4-FFF2-40B4-BE49-F238E27FC236}">
              <a16:creationId xmlns:a16="http://schemas.microsoft.com/office/drawing/2014/main" id="{28841549-EA6C-436A-A108-B8AE955C2CEB}"/>
            </a:ext>
          </a:extLst>
        </xdr:cNvPr>
        <xdr:cNvSpPr>
          <a:spLocks noChangeAspect="1"/>
        </xdr:cNvSpPr>
      </xdr:nvSpPr>
      <xdr:spPr>
        <a:xfrm>
          <a:off x="45576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102</xdr:row>
      <xdr:rowOff>51000</xdr:rowOff>
    </xdr:from>
    <xdr:to>
      <xdr:col>6</xdr:col>
      <xdr:colOff>406801</xdr:colOff>
      <xdr:row>107</xdr:row>
      <xdr:rowOff>3751</xdr:rowOff>
    </xdr:to>
    <xdr:sp macro="" textlink="">
      <xdr:nvSpPr>
        <xdr:cNvPr id="247724" name="フリーフォーム: 図形 247723">
          <a:extLst>
            <a:ext uri="{FF2B5EF4-FFF2-40B4-BE49-F238E27FC236}">
              <a16:creationId xmlns:a16="http://schemas.microsoft.com/office/drawing/2014/main" id="{56674292-FB5F-41D8-8643-3A1252644C1E}"/>
            </a:ext>
          </a:extLst>
        </xdr:cNvPr>
        <xdr:cNvSpPr>
          <a:spLocks noChangeAspect="1"/>
        </xdr:cNvSpPr>
      </xdr:nvSpPr>
      <xdr:spPr>
        <a:xfrm>
          <a:off x="42516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101</xdr:row>
      <xdr:rowOff>114450</xdr:rowOff>
    </xdr:from>
    <xdr:to>
      <xdr:col>6</xdr:col>
      <xdr:colOff>658801</xdr:colOff>
      <xdr:row>106</xdr:row>
      <xdr:rowOff>157201</xdr:rowOff>
    </xdr:to>
    <xdr:sp macro="" textlink="">
      <xdr:nvSpPr>
        <xdr:cNvPr id="247725" name="フリーフォーム: 図形 247724">
          <a:extLst>
            <a:ext uri="{FF2B5EF4-FFF2-40B4-BE49-F238E27FC236}">
              <a16:creationId xmlns:a16="http://schemas.microsoft.com/office/drawing/2014/main" id="{92E30A8D-2281-4615-AC13-392B79FB4C2E}"/>
            </a:ext>
          </a:extLst>
        </xdr:cNvPr>
        <xdr:cNvSpPr>
          <a:spLocks noChangeAspect="1"/>
        </xdr:cNvSpPr>
      </xdr:nvSpPr>
      <xdr:spPr>
        <a:xfrm>
          <a:off x="45216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102</xdr:row>
      <xdr:rowOff>69000</xdr:rowOff>
    </xdr:from>
    <xdr:to>
      <xdr:col>7</xdr:col>
      <xdr:colOff>297001</xdr:colOff>
      <xdr:row>107</xdr:row>
      <xdr:rowOff>3751</xdr:rowOff>
    </xdr:to>
    <xdr:sp macro="" textlink="">
      <xdr:nvSpPr>
        <xdr:cNvPr id="247726" name="フリーフォーム: 図形 247725">
          <a:extLst>
            <a:ext uri="{FF2B5EF4-FFF2-40B4-BE49-F238E27FC236}">
              <a16:creationId xmlns:a16="http://schemas.microsoft.com/office/drawing/2014/main" id="{6D4F3981-4422-427B-97EC-D3FB3556E9CE}"/>
            </a:ext>
          </a:extLst>
        </xdr:cNvPr>
        <xdr:cNvSpPr>
          <a:spLocks noChangeAspect="1"/>
        </xdr:cNvSpPr>
      </xdr:nvSpPr>
      <xdr:spPr>
        <a:xfrm>
          <a:off x="45756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107</xdr:row>
      <xdr:rowOff>75750</xdr:rowOff>
    </xdr:from>
    <xdr:to>
      <xdr:col>7</xdr:col>
      <xdr:colOff>9001</xdr:colOff>
      <xdr:row>111</xdr:row>
      <xdr:rowOff>163951</xdr:rowOff>
    </xdr:to>
    <xdr:sp macro="" textlink="">
      <xdr:nvSpPr>
        <xdr:cNvPr id="247727" name="フリーフォーム: 図形 247726">
          <a:extLst>
            <a:ext uri="{FF2B5EF4-FFF2-40B4-BE49-F238E27FC236}">
              <a16:creationId xmlns:a16="http://schemas.microsoft.com/office/drawing/2014/main" id="{03FB7E28-9863-4289-97A7-B11F6001FB2E}"/>
            </a:ext>
          </a:extLst>
        </xdr:cNvPr>
        <xdr:cNvSpPr>
          <a:spLocks noChangeAspect="1"/>
        </xdr:cNvSpPr>
      </xdr:nvSpPr>
      <xdr:spPr>
        <a:xfrm>
          <a:off x="45396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107</xdr:row>
      <xdr:rowOff>93749</xdr:rowOff>
    </xdr:from>
    <xdr:to>
      <xdr:col>6</xdr:col>
      <xdr:colOff>424801</xdr:colOff>
      <xdr:row>112</xdr:row>
      <xdr:rowOff>118501</xdr:rowOff>
    </xdr:to>
    <xdr:sp macro="" textlink="">
      <xdr:nvSpPr>
        <xdr:cNvPr id="247728" name="フリーフォーム: 図形 247727">
          <a:extLst>
            <a:ext uri="{FF2B5EF4-FFF2-40B4-BE49-F238E27FC236}">
              <a16:creationId xmlns:a16="http://schemas.microsoft.com/office/drawing/2014/main" id="{CE5432F4-3DC0-4C77-A869-BF957D1CC49E}"/>
            </a:ext>
          </a:extLst>
        </xdr:cNvPr>
        <xdr:cNvSpPr>
          <a:spLocks noChangeAspect="1"/>
        </xdr:cNvSpPr>
      </xdr:nvSpPr>
      <xdr:spPr>
        <a:xfrm>
          <a:off x="43056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107</xdr:row>
      <xdr:rowOff>75750</xdr:rowOff>
    </xdr:from>
    <xdr:to>
      <xdr:col>6</xdr:col>
      <xdr:colOff>388801</xdr:colOff>
      <xdr:row>112</xdr:row>
      <xdr:rowOff>10501</xdr:rowOff>
    </xdr:to>
    <xdr:sp macro="" textlink="">
      <xdr:nvSpPr>
        <xdr:cNvPr id="247729" name="フリーフォーム: 図形 247728">
          <a:extLst>
            <a:ext uri="{FF2B5EF4-FFF2-40B4-BE49-F238E27FC236}">
              <a16:creationId xmlns:a16="http://schemas.microsoft.com/office/drawing/2014/main" id="{2A4F06E3-8028-4DE2-A9F0-53003ACF9885}"/>
            </a:ext>
          </a:extLst>
        </xdr:cNvPr>
        <xdr:cNvSpPr>
          <a:spLocks noChangeAspect="1"/>
        </xdr:cNvSpPr>
      </xdr:nvSpPr>
      <xdr:spPr>
        <a:xfrm>
          <a:off x="39816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101</xdr:row>
      <xdr:rowOff>42450</xdr:rowOff>
    </xdr:from>
    <xdr:to>
      <xdr:col>9</xdr:col>
      <xdr:colOff>322201</xdr:colOff>
      <xdr:row>102</xdr:row>
      <xdr:rowOff>15002</xdr:rowOff>
    </xdr:to>
    <xdr:sp macro="" textlink="">
      <xdr:nvSpPr>
        <xdr:cNvPr id="247730" name="フリーフォーム: 図形 247729">
          <a:extLst>
            <a:ext uri="{FF2B5EF4-FFF2-40B4-BE49-F238E27FC236}">
              <a16:creationId xmlns:a16="http://schemas.microsoft.com/office/drawing/2014/main" id="{DA1576AE-0BD7-4A70-9A91-DCCCAB05AC13}"/>
            </a:ext>
          </a:extLst>
        </xdr:cNvPr>
        <xdr:cNvSpPr>
          <a:spLocks noChangeAspect="1"/>
        </xdr:cNvSpPr>
      </xdr:nvSpPr>
      <xdr:spPr>
        <a:xfrm>
          <a:off x="60264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101</xdr:row>
      <xdr:rowOff>42450</xdr:rowOff>
    </xdr:from>
    <xdr:to>
      <xdr:col>10</xdr:col>
      <xdr:colOff>176401</xdr:colOff>
      <xdr:row>102</xdr:row>
      <xdr:rowOff>15002</xdr:rowOff>
    </xdr:to>
    <xdr:sp macro="" textlink="">
      <xdr:nvSpPr>
        <xdr:cNvPr id="247731" name="フリーフォーム: 図形 247730">
          <a:extLst>
            <a:ext uri="{FF2B5EF4-FFF2-40B4-BE49-F238E27FC236}">
              <a16:creationId xmlns:a16="http://schemas.microsoft.com/office/drawing/2014/main" id="{AE612870-2AC5-4B17-8169-CCDBB764CC6D}"/>
            </a:ext>
          </a:extLst>
        </xdr:cNvPr>
        <xdr:cNvSpPr>
          <a:spLocks noChangeAspect="1"/>
        </xdr:cNvSpPr>
      </xdr:nvSpPr>
      <xdr:spPr>
        <a:xfrm>
          <a:off x="65664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101</xdr:row>
      <xdr:rowOff>114450</xdr:rowOff>
    </xdr:from>
    <xdr:to>
      <xdr:col>10</xdr:col>
      <xdr:colOff>248401</xdr:colOff>
      <xdr:row>107</xdr:row>
      <xdr:rowOff>21752</xdr:rowOff>
    </xdr:to>
    <xdr:sp macro="" textlink="">
      <xdr:nvSpPr>
        <xdr:cNvPr id="247732" name="フリーフォーム: 図形 247731">
          <a:extLst>
            <a:ext uri="{FF2B5EF4-FFF2-40B4-BE49-F238E27FC236}">
              <a16:creationId xmlns:a16="http://schemas.microsoft.com/office/drawing/2014/main" id="{63BC65BD-1403-44BB-B3B5-35F7CCBC0171}"/>
            </a:ext>
          </a:extLst>
        </xdr:cNvPr>
        <xdr:cNvSpPr>
          <a:spLocks noChangeAspect="1"/>
        </xdr:cNvSpPr>
      </xdr:nvSpPr>
      <xdr:spPr>
        <a:xfrm>
          <a:off x="68184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107</xdr:row>
      <xdr:rowOff>75750</xdr:rowOff>
    </xdr:from>
    <xdr:to>
      <xdr:col>10</xdr:col>
      <xdr:colOff>68401</xdr:colOff>
      <xdr:row>112</xdr:row>
      <xdr:rowOff>136501</xdr:rowOff>
    </xdr:to>
    <xdr:sp macro="" textlink="">
      <xdr:nvSpPr>
        <xdr:cNvPr id="247733" name="フリーフォーム: 図形 247732">
          <a:extLst>
            <a:ext uri="{FF2B5EF4-FFF2-40B4-BE49-F238E27FC236}">
              <a16:creationId xmlns:a16="http://schemas.microsoft.com/office/drawing/2014/main" id="{EF1F1B1A-2683-405A-81B8-58E4AD25F29E}"/>
            </a:ext>
          </a:extLst>
        </xdr:cNvPr>
        <xdr:cNvSpPr>
          <a:spLocks noChangeAspect="1"/>
        </xdr:cNvSpPr>
      </xdr:nvSpPr>
      <xdr:spPr>
        <a:xfrm>
          <a:off x="66384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112</xdr:row>
      <xdr:rowOff>64500</xdr:rowOff>
    </xdr:from>
    <xdr:to>
      <xdr:col>8</xdr:col>
      <xdr:colOff>684001</xdr:colOff>
      <xdr:row>113</xdr:row>
      <xdr:rowOff>37051</xdr:rowOff>
    </xdr:to>
    <xdr:sp macro="" textlink="">
      <xdr:nvSpPr>
        <xdr:cNvPr id="247734" name="フリーフォーム: 図形 247733">
          <a:extLst>
            <a:ext uri="{FF2B5EF4-FFF2-40B4-BE49-F238E27FC236}">
              <a16:creationId xmlns:a16="http://schemas.microsoft.com/office/drawing/2014/main" id="{00719E59-274A-4441-AD1F-FE177B1D3739}"/>
            </a:ext>
          </a:extLst>
        </xdr:cNvPr>
        <xdr:cNvSpPr>
          <a:spLocks noChangeAspect="1"/>
        </xdr:cNvSpPr>
      </xdr:nvSpPr>
      <xdr:spPr>
        <a:xfrm>
          <a:off x="56844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112</xdr:row>
      <xdr:rowOff>64500</xdr:rowOff>
    </xdr:from>
    <xdr:to>
      <xdr:col>9</xdr:col>
      <xdr:colOff>502201</xdr:colOff>
      <xdr:row>113</xdr:row>
      <xdr:rowOff>37051</xdr:rowOff>
    </xdr:to>
    <xdr:sp macro="" textlink="">
      <xdr:nvSpPr>
        <xdr:cNvPr id="247735" name="フリーフォーム: 図形 247734">
          <a:extLst>
            <a:ext uri="{FF2B5EF4-FFF2-40B4-BE49-F238E27FC236}">
              <a16:creationId xmlns:a16="http://schemas.microsoft.com/office/drawing/2014/main" id="{945E8B64-971F-4951-AAD1-8CD30ECC77DB}"/>
            </a:ext>
          </a:extLst>
        </xdr:cNvPr>
        <xdr:cNvSpPr>
          <a:spLocks noChangeAspect="1"/>
        </xdr:cNvSpPr>
      </xdr:nvSpPr>
      <xdr:spPr>
        <a:xfrm>
          <a:off x="62064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107</xdr:row>
      <xdr:rowOff>75750</xdr:rowOff>
    </xdr:from>
    <xdr:to>
      <xdr:col>8</xdr:col>
      <xdr:colOff>432001</xdr:colOff>
      <xdr:row>112</xdr:row>
      <xdr:rowOff>136501</xdr:rowOff>
    </xdr:to>
    <xdr:sp macro="" textlink="">
      <xdr:nvSpPr>
        <xdr:cNvPr id="247736" name="フリーフォーム: 図形 247735">
          <a:extLst>
            <a:ext uri="{FF2B5EF4-FFF2-40B4-BE49-F238E27FC236}">
              <a16:creationId xmlns:a16="http://schemas.microsoft.com/office/drawing/2014/main" id="{40DC9C12-DE5E-4C66-84AF-54DCBD0006A0}"/>
            </a:ext>
          </a:extLst>
        </xdr:cNvPr>
        <xdr:cNvSpPr>
          <a:spLocks noChangeAspect="1"/>
        </xdr:cNvSpPr>
      </xdr:nvSpPr>
      <xdr:spPr>
        <a:xfrm>
          <a:off x="56304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101</xdr:row>
      <xdr:rowOff>114450</xdr:rowOff>
    </xdr:from>
    <xdr:to>
      <xdr:col>8</xdr:col>
      <xdr:colOff>576001</xdr:colOff>
      <xdr:row>107</xdr:row>
      <xdr:rowOff>21752</xdr:rowOff>
    </xdr:to>
    <xdr:sp macro="" textlink="">
      <xdr:nvSpPr>
        <xdr:cNvPr id="247737" name="フリーフォーム: 図形 247736">
          <a:extLst>
            <a:ext uri="{FF2B5EF4-FFF2-40B4-BE49-F238E27FC236}">
              <a16:creationId xmlns:a16="http://schemas.microsoft.com/office/drawing/2014/main" id="{0539C403-1484-4D92-B216-BC3E8438F6E1}"/>
            </a:ext>
          </a:extLst>
        </xdr:cNvPr>
        <xdr:cNvSpPr>
          <a:spLocks noChangeAspect="1"/>
        </xdr:cNvSpPr>
      </xdr:nvSpPr>
      <xdr:spPr>
        <a:xfrm>
          <a:off x="58104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106</xdr:row>
      <xdr:rowOff>139199</xdr:rowOff>
    </xdr:from>
    <xdr:to>
      <xdr:col>9</xdr:col>
      <xdr:colOff>160201</xdr:colOff>
      <xdr:row>107</xdr:row>
      <xdr:rowOff>111751</xdr:rowOff>
    </xdr:to>
    <xdr:sp macro="" textlink="">
      <xdr:nvSpPr>
        <xdr:cNvPr id="247738" name="フリーフォーム: 図形 247737">
          <a:extLst>
            <a:ext uri="{FF2B5EF4-FFF2-40B4-BE49-F238E27FC236}">
              <a16:creationId xmlns:a16="http://schemas.microsoft.com/office/drawing/2014/main" id="{DEACA4EB-803B-424A-BE39-53AF17D1ADFE}"/>
            </a:ext>
          </a:extLst>
        </xdr:cNvPr>
        <xdr:cNvSpPr>
          <a:spLocks noChangeAspect="1"/>
        </xdr:cNvSpPr>
      </xdr:nvSpPr>
      <xdr:spPr>
        <a:xfrm>
          <a:off x="58824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106</xdr:row>
      <xdr:rowOff>139199</xdr:rowOff>
    </xdr:from>
    <xdr:to>
      <xdr:col>9</xdr:col>
      <xdr:colOff>664201</xdr:colOff>
      <xdr:row>107</xdr:row>
      <xdr:rowOff>111751</xdr:rowOff>
    </xdr:to>
    <xdr:sp macro="" textlink="">
      <xdr:nvSpPr>
        <xdr:cNvPr id="247739" name="フリーフォーム: 図形 247738">
          <a:extLst>
            <a:ext uri="{FF2B5EF4-FFF2-40B4-BE49-F238E27FC236}">
              <a16:creationId xmlns:a16="http://schemas.microsoft.com/office/drawing/2014/main" id="{73C31C5D-9BB4-4572-8FB7-5C8BD191062A}"/>
            </a:ext>
          </a:extLst>
        </xdr:cNvPr>
        <xdr:cNvSpPr>
          <a:spLocks noChangeAspect="1"/>
        </xdr:cNvSpPr>
      </xdr:nvSpPr>
      <xdr:spPr>
        <a:xfrm>
          <a:off x="63864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102</xdr:row>
      <xdr:rowOff>51000</xdr:rowOff>
    </xdr:from>
    <xdr:to>
      <xdr:col>9</xdr:col>
      <xdr:colOff>178201</xdr:colOff>
      <xdr:row>107</xdr:row>
      <xdr:rowOff>3751</xdr:rowOff>
    </xdr:to>
    <xdr:sp macro="" textlink="">
      <xdr:nvSpPr>
        <xdr:cNvPr id="247740" name="フリーフォーム: 図形 247739">
          <a:extLst>
            <a:ext uri="{FF2B5EF4-FFF2-40B4-BE49-F238E27FC236}">
              <a16:creationId xmlns:a16="http://schemas.microsoft.com/office/drawing/2014/main" id="{7A1C4625-E4CF-4C3C-A937-AC83483DB810}"/>
            </a:ext>
          </a:extLst>
        </xdr:cNvPr>
        <xdr:cNvSpPr>
          <a:spLocks noChangeAspect="1"/>
        </xdr:cNvSpPr>
      </xdr:nvSpPr>
      <xdr:spPr>
        <a:xfrm>
          <a:off x="60804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101</xdr:row>
      <xdr:rowOff>114450</xdr:rowOff>
    </xdr:from>
    <xdr:to>
      <xdr:col>9</xdr:col>
      <xdr:colOff>430201</xdr:colOff>
      <xdr:row>106</xdr:row>
      <xdr:rowOff>157201</xdr:rowOff>
    </xdr:to>
    <xdr:sp macro="" textlink="">
      <xdr:nvSpPr>
        <xdr:cNvPr id="247741" name="フリーフォーム: 図形 247740">
          <a:extLst>
            <a:ext uri="{FF2B5EF4-FFF2-40B4-BE49-F238E27FC236}">
              <a16:creationId xmlns:a16="http://schemas.microsoft.com/office/drawing/2014/main" id="{6DF74192-7714-43A1-ADF4-D23E52F0CBF6}"/>
            </a:ext>
          </a:extLst>
        </xdr:cNvPr>
        <xdr:cNvSpPr>
          <a:spLocks noChangeAspect="1"/>
        </xdr:cNvSpPr>
      </xdr:nvSpPr>
      <xdr:spPr>
        <a:xfrm>
          <a:off x="63504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102</xdr:row>
      <xdr:rowOff>69000</xdr:rowOff>
    </xdr:from>
    <xdr:to>
      <xdr:col>10</xdr:col>
      <xdr:colOff>68401</xdr:colOff>
      <xdr:row>107</xdr:row>
      <xdr:rowOff>3751</xdr:rowOff>
    </xdr:to>
    <xdr:sp macro="" textlink="">
      <xdr:nvSpPr>
        <xdr:cNvPr id="247742" name="フリーフォーム: 図形 247741">
          <a:extLst>
            <a:ext uri="{FF2B5EF4-FFF2-40B4-BE49-F238E27FC236}">
              <a16:creationId xmlns:a16="http://schemas.microsoft.com/office/drawing/2014/main" id="{92CC6F8F-EA2E-471F-930F-9CE4F6FCA0C4}"/>
            </a:ext>
          </a:extLst>
        </xdr:cNvPr>
        <xdr:cNvSpPr>
          <a:spLocks noChangeAspect="1"/>
        </xdr:cNvSpPr>
      </xdr:nvSpPr>
      <xdr:spPr>
        <a:xfrm>
          <a:off x="64044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107</xdr:row>
      <xdr:rowOff>75750</xdr:rowOff>
    </xdr:from>
    <xdr:to>
      <xdr:col>9</xdr:col>
      <xdr:colOff>466201</xdr:colOff>
      <xdr:row>111</xdr:row>
      <xdr:rowOff>163951</xdr:rowOff>
    </xdr:to>
    <xdr:sp macro="" textlink="">
      <xdr:nvSpPr>
        <xdr:cNvPr id="247743" name="フリーフォーム: 図形 247742">
          <a:extLst>
            <a:ext uri="{FF2B5EF4-FFF2-40B4-BE49-F238E27FC236}">
              <a16:creationId xmlns:a16="http://schemas.microsoft.com/office/drawing/2014/main" id="{0ABE41E9-4282-4DDD-A4B4-6FC803B0FE46}"/>
            </a:ext>
          </a:extLst>
        </xdr:cNvPr>
        <xdr:cNvSpPr>
          <a:spLocks noChangeAspect="1"/>
        </xdr:cNvSpPr>
      </xdr:nvSpPr>
      <xdr:spPr>
        <a:xfrm>
          <a:off x="63684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107</xdr:row>
      <xdr:rowOff>93749</xdr:rowOff>
    </xdr:from>
    <xdr:to>
      <xdr:col>9</xdr:col>
      <xdr:colOff>196201</xdr:colOff>
      <xdr:row>112</xdr:row>
      <xdr:rowOff>118501</xdr:rowOff>
    </xdr:to>
    <xdr:sp macro="" textlink="">
      <xdr:nvSpPr>
        <xdr:cNvPr id="247744" name="フリーフォーム: 図形 247743">
          <a:extLst>
            <a:ext uri="{FF2B5EF4-FFF2-40B4-BE49-F238E27FC236}">
              <a16:creationId xmlns:a16="http://schemas.microsoft.com/office/drawing/2014/main" id="{1216743A-A1A5-441A-9083-6111D66CADAF}"/>
            </a:ext>
          </a:extLst>
        </xdr:cNvPr>
        <xdr:cNvSpPr>
          <a:spLocks noChangeAspect="1"/>
        </xdr:cNvSpPr>
      </xdr:nvSpPr>
      <xdr:spPr>
        <a:xfrm>
          <a:off x="61344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107</xdr:row>
      <xdr:rowOff>75750</xdr:rowOff>
    </xdr:from>
    <xdr:to>
      <xdr:col>9</xdr:col>
      <xdr:colOff>160201</xdr:colOff>
      <xdr:row>112</xdr:row>
      <xdr:rowOff>10501</xdr:rowOff>
    </xdr:to>
    <xdr:sp macro="" textlink="">
      <xdr:nvSpPr>
        <xdr:cNvPr id="247745" name="フリーフォーム: 図形 247744">
          <a:extLst>
            <a:ext uri="{FF2B5EF4-FFF2-40B4-BE49-F238E27FC236}">
              <a16:creationId xmlns:a16="http://schemas.microsoft.com/office/drawing/2014/main" id="{052E9A4E-A757-4FF0-BCA2-BAFB8C4454F2}"/>
            </a:ext>
          </a:extLst>
        </xdr:cNvPr>
        <xdr:cNvSpPr>
          <a:spLocks noChangeAspect="1"/>
        </xdr:cNvSpPr>
      </xdr:nvSpPr>
      <xdr:spPr>
        <a:xfrm>
          <a:off x="58104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101</xdr:row>
      <xdr:rowOff>42450</xdr:rowOff>
    </xdr:from>
    <xdr:to>
      <xdr:col>12</xdr:col>
      <xdr:colOff>93601</xdr:colOff>
      <xdr:row>102</xdr:row>
      <xdr:rowOff>15002</xdr:rowOff>
    </xdr:to>
    <xdr:sp macro="" textlink="">
      <xdr:nvSpPr>
        <xdr:cNvPr id="247746" name="フリーフォーム: 図形 247745">
          <a:extLst>
            <a:ext uri="{FF2B5EF4-FFF2-40B4-BE49-F238E27FC236}">
              <a16:creationId xmlns:a16="http://schemas.microsoft.com/office/drawing/2014/main" id="{606EAC78-E280-4967-A501-ADF873B3A50C}"/>
            </a:ext>
          </a:extLst>
        </xdr:cNvPr>
        <xdr:cNvSpPr>
          <a:spLocks noChangeAspect="1"/>
        </xdr:cNvSpPr>
      </xdr:nvSpPr>
      <xdr:spPr>
        <a:xfrm>
          <a:off x="78552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101</xdr:row>
      <xdr:rowOff>42450</xdr:rowOff>
    </xdr:from>
    <xdr:to>
      <xdr:col>12</xdr:col>
      <xdr:colOff>633601</xdr:colOff>
      <xdr:row>102</xdr:row>
      <xdr:rowOff>15002</xdr:rowOff>
    </xdr:to>
    <xdr:sp macro="" textlink="">
      <xdr:nvSpPr>
        <xdr:cNvPr id="247747" name="フリーフォーム: 図形 247746">
          <a:extLst>
            <a:ext uri="{FF2B5EF4-FFF2-40B4-BE49-F238E27FC236}">
              <a16:creationId xmlns:a16="http://schemas.microsoft.com/office/drawing/2014/main" id="{4BB156EF-C89C-47D3-87A1-CA2D2D3FBFF3}"/>
            </a:ext>
          </a:extLst>
        </xdr:cNvPr>
        <xdr:cNvSpPr>
          <a:spLocks noChangeAspect="1"/>
        </xdr:cNvSpPr>
      </xdr:nvSpPr>
      <xdr:spPr>
        <a:xfrm>
          <a:off x="83952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101</xdr:row>
      <xdr:rowOff>114450</xdr:rowOff>
    </xdr:from>
    <xdr:to>
      <xdr:col>13</xdr:col>
      <xdr:colOff>19801</xdr:colOff>
      <xdr:row>107</xdr:row>
      <xdr:rowOff>21752</xdr:rowOff>
    </xdr:to>
    <xdr:sp macro="" textlink="">
      <xdr:nvSpPr>
        <xdr:cNvPr id="247748" name="フリーフォーム: 図形 247747">
          <a:extLst>
            <a:ext uri="{FF2B5EF4-FFF2-40B4-BE49-F238E27FC236}">
              <a16:creationId xmlns:a16="http://schemas.microsoft.com/office/drawing/2014/main" id="{1EE6E254-09BA-4F14-871A-AC6BE0D083CF}"/>
            </a:ext>
          </a:extLst>
        </xdr:cNvPr>
        <xdr:cNvSpPr>
          <a:spLocks noChangeAspect="1"/>
        </xdr:cNvSpPr>
      </xdr:nvSpPr>
      <xdr:spPr>
        <a:xfrm>
          <a:off x="86472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107</xdr:row>
      <xdr:rowOff>75750</xdr:rowOff>
    </xdr:from>
    <xdr:to>
      <xdr:col>12</xdr:col>
      <xdr:colOff>525601</xdr:colOff>
      <xdr:row>112</xdr:row>
      <xdr:rowOff>136501</xdr:rowOff>
    </xdr:to>
    <xdr:sp macro="" textlink="">
      <xdr:nvSpPr>
        <xdr:cNvPr id="247749" name="フリーフォーム: 図形 247748">
          <a:extLst>
            <a:ext uri="{FF2B5EF4-FFF2-40B4-BE49-F238E27FC236}">
              <a16:creationId xmlns:a16="http://schemas.microsoft.com/office/drawing/2014/main" id="{2732E722-20CE-4642-874F-6671703B4338}"/>
            </a:ext>
          </a:extLst>
        </xdr:cNvPr>
        <xdr:cNvSpPr>
          <a:spLocks noChangeAspect="1"/>
        </xdr:cNvSpPr>
      </xdr:nvSpPr>
      <xdr:spPr>
        <a:xfrm>
          <a:off x="84672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112</xdr:row>
      <xdr:rowOff>64500</xdr:rowOff>
    </xdr:from>
    <xdr:to>
      <xdr:col>11</xdr:col>
      <xdr:colOff>455401</xdr:colOff>
      <xdr:row>113</xdr:row>
      <xdr:rowOff>37051</xdr:rowOff>
    </xdr:to>
    <xdr:sp macro="" textlink="">
      <xdr:nvSpPr>
        <xdr:cNvPr id="247750" name="フリーフォーム: 図形 247749">
          <a:extLst>
            <a:ext uri="{FF2B5EF4-FFF2-40B4-BE49-F238E27FC236}">
              <a16:creationId xmlns:a16="http://schemas.microsoft.com/office/drawing/2014/main" id="{549A2A23-1DF2-4CD9-8C65-49BC44E6BFB4}"/>
            </a:ext>
          </a:extLst>
        </xdr:cNvPr>
        <xdr:cNvSpPr>
          <a:spLocks noChangeAspect="1"/>
        </xdr:cNvSpPr>
      </xdr:nvSpPr>
      <xdr:spPr>
        <a:xfrm>
          <a:off x="75132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112</xdr:row>
      <xdr:rowOff>64500</xdr:rowOff>
    </xdr:from>
    <xdr:to>
      <xdr:col>12</xdr:col>
      <xdr:colOff>273601</xdr:colOff>
      <xdr:row>113</xdr:row>
      <xdr:rowOff>37051</xdr:rowOff>
    </xdr:to>
    <xdr:sp macro="" textlink="">
      <xdr:nvSpPr>
        <xdr:cNvPr id="247751" name="フリーフォーム: 図形 247750">
          <a:extLst>
            <a:ext uri="{FF2B5EF4-FFF2-40B4-BE49-F238E27FC236}">
              <a16:creationId xmlns:a16="http://schemas.microsoft.com/office/drawing/2014/main" id="{A7713A4B-8F81-4968-B576-53941162FD14}"/>
            </a:ext>
          </a:extLst>
        </xdr:cNvPr>
        <xdr:cNvSpPr>
          <a:spLocks noChangeAspect="1"/>
        </xdr:cNvSpPr>
      </xdr:nvSpPr>
      <xdr:spPr>
        <a:xfrm>
          <a:off x="80352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107</xdr:row>
      <xdr:rowOff>75750</xdr:rowOff>
    </xdr:from>
    <xdr:to>
      <xdr:col>11</xdr:col>
      <xdr:colOff>203401</xdr:colOff>
      <xdr:row>112</xdr:row>
      <xdr:rowOff>136501</xdr:rowOff>
    </xdr:to>
    <xdr:sp macro="" textlink="">
      <xdr:nvSpPr>
        <xdr:cNvPr id="247752" name="フリーフォーム: 図形 247751">
          <a:extLst>
            <a:ext uri="{FF2B5EF4-FFF2-40B4-BE49-F238E27FC236}">
              <a16:creationId xmlns:a16="http://schemas.microsoft.com/office/drawing/2014/main" id="{2257FA1D-64E9-4603-90EA-69C96330B357}"/>
            </a:ext>
          </a:extLst>
        </xdr:cNvPr>
        <xdr:cNvSpPr>
          <a:spLocks noChangeAspect="1"/>
        </xdr:cNvSpPr>
      </xdr:nvSpPr>
      <xdr:spPr>
        <a:xfrm>
          <a:off x="74592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101</xdr:row>
      <xdr:rowOff>114450</xdr:rowOff>
    </xdr:from>
    <xdr:to>
      <xdr:col>11</xdr:col>
      <xdr:colOff>347401</xdr:colOff>
      <xdr:row>107</xdr:row>
      <xdr:rowOff>21752</xdr:rowOff>
    </xdr:to>
    <xdr:sp macro="" textlink="">
      <xdr:nvSpPr>
        <xdr:cNvPr id="247753" name="フリーフォーム: 図形 247752">
          <a:extLst>
            <a:ext uri="{FF2B5EF4-FFF2-40B4-BE49-F238E27FC236}">
              <a16:creationId xmlns:a16="http://schemas.microsoft.com/office/drawing/2014/main" id="{7F6D29A6-610A-45AE-8508-271A571E692E}"/>
            </a:ext>
          </a:extLst>
        </xdr:cNvPr>
        <xdr:cNvSpPr>
          <a:spLocks noChangeAspect="1"/>
        </xdr:cNvSpPr>
      </xdr:nvSpPr>
      <xdr:spPr>
        <a:xfrm>
          <a:off x="76392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106</xdr:row>
      <xdr:rowOff>139199</xdr:rowOff>
    </xdr:from>
    <xdr:to>
      <xdr:col>11</xdr:col>
      <xdr:colOff>617401</xdr:colOff>
      <xdr:row>107</xdr:row>
      <xdr:rowOff>111751</xdr:rowOff>
    </xdr:to>
    <xdr:sp macro="" textlink="">
      <xdr:nvSpPr>
        <xdr:cNvPr id="247754" name="フリーフォーム: 図形 247753">
          <a:extLst>
            <a:ext uri="{FF2B5EF4-FFF2-40B4-BE49-F238E27FC236}">
              <a16:creationId xmlns:a16="http://schemas.microsoft.com/office/drawing/2014/main" id="{2A44A8AD-D137-4375-9111-E60A384968C5}"/>
            </a:ext>
          </a:extLst>
        </xdr:cNvPr>
        <xdr:cNvSpPr>
          <a:spLocks noChangeAspect="1"/>
        </xdr:cNvSpPr>
      </xdr:nvSpPr>
      <xdr:spPr>
        <a:xfrm>
          <a:off x="77112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106</xdr:row>
      <xdr:rowOff>139199</xdr:rowOff>
    </xdr:from>
    <xdr:to>
      <xdr:col>12</xdr:col>
      <xdr:colOff>435601</xdr:colOff>
      <xdr:row>107</xdr:row>
      <xdr:rowOff>111751</xdr:rowOff>
    </xdr:to>
    <xdr:sp macro="" textlink="">
      <xdr:nvSpPr>
        <xdr:cNvPr id="247755" name="フリーフォーム: 図形 247754">
          <a:extLst>
            <a:ext uri="{FF2B5EF4-FFF2-40B4-BE49-F238E27FC236}">
              <a16:creationId xmlns:a16="http://schemas.microsoft.com/office/drawing/2014/main" id="{D2640910-3F1A-436B-B377-0FF9B672C177}"/>
            </a:ext>
          </a:extLst>
        </xdr:cNvPr>
        <xdr:cNvSpPr>
          <a:spLocks noChangeAspect="1"/>
        </xdr:cNvSpPr>
      </xdr:nvSpPr>
      <xdr:spPr>
        <a:xfrm>
          <a:off x="82152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102</xdr:row>
      <xdr:rowOff>51000</xdr:rowOff>
    </xdr:from>
    <xdr:to>
      <xdr:col>11</xdr:col>
      <xdr:colOff>635401</xdr:colOff>
      <xdr:row>107</xdr:row>
      <xdr:rowOff>3751</xdr:rowOff>
    </xdr:to>
    <xdr:sp macro="" textlink="">
      <xdr:nvSpPr>
        <xdr:cNvPr id="247756" name="フリーフォーム: 図形 247755">
          <a:extLst>
            <a:ext uri="{FF2B5EF4-FFF2-40B4-BE49-F238E27FC236}">
              <a16:creationId xmlns:a16="http://schemas.microsoft.com/office/drawing/2014/main" id="{2FE32997-5A97-45AB-A5F9-BF269B410CF7}"/>
            </a:ext>
          </a:extLst>
        </xdr:cNvPr>
        <xdr:cNvSpPr>
          <a:spLocks noChangeAspect="1"/>
        </xdr:cNvSpPr>
      </xdr:nvSpPr>
      <xdr:spPr>
        <a:xfrm>
          <a:off x="79092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101</xdr:row>
      <xdr:rowOff>114450</xdr:rowOff>
    </xdr:from>
    <xdr:to>
      <xdr:col>12</xdr:col>
      <xdr:colOff>201601</xdr:colOff>
      <xdr:row>106</xdr:row>
      <xdr:rowOff>157201</xdr:rowOff>
    </xdr:to>
    <xdr:sp macro="" textlink="">
      <xdr:nvSpPr>
        <xdr:cNvPr id="247757" name="フリーフォーム: 図形 247756">
          <a:extLst>
            <a:ext uri="{FF2B5EF4-FFF2-40B4-BE49-F238E27FC236}">
              <a16:creationId xmlns:a16="http://schemas.microsoft.com/office/drawing/2014/main" id="{74257F8E-8837-481D-8CBA-5B060B3A4664}"/>
            </a:ext>
          </a:extLst>
        </xdr:cNvPr>
        <xdr:cNvSpPr>
          <a:spLocks noChangeAspect="1"/>
        </xdr:cNvSpPr>
      </xdr:nvSpPr>
      <xdr:spPr>
        <a:xfrm>
          <a:off x="81792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102</xdr:row>
      <xdr:rowOff>69000</xdr:rowOff>
    </xdr:from>
    <xdr:to>
      <xdr:col>12</xdr:col>
      <xdr:colOff>525601</xdr:colOff>
      <xdr:row>107</xdr:row>
      <xdr:rowOff>3751</xdr:rowOff>
    </xdr:to>
    <xdr:sp macro="" textlink="">
      <xdr:nvSpPr>
        <xdr:cNvPr id="247758" name="フリーフォーム: 図形 247757">
          <a:extLst>
            <a:ext uri="{FF2B5EF4-FFF2-40B4-BE49-F238E27FC236}">
              <a16:creationId xmlns:a16="http://schemas.microsoft.com/office/drawing/2014/main" id="{83B72EE8-698F-4B88-A4DF-AA7152C6B91A}"/>
            </a:ext>
          </a:extLst>
        </xdr:cNvPr>
        <xdr:cNvSpPr>
          <a:spLocks noChangeAspect="1"/>
        </xdr:cNvSpPr>
      </xdr:nvSpPr>
      <xdr:spPr>
        <a:xfrm>
          <a:off x="82332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107</xdr:row>
      <xdr:rowOff>75750</xdr:rowOff>
    </xdr:from>
    <xdr:to>
      <xdr:col>12</xdr:col>
      <xdr:colOff>237601</xdr:colOff>
      <xdr:row>111</xdr:row>
      <xdr:rowOff>163951</xdr:rowOff>
    </xdr:to>
    <xdr:sp macro="" textlink="">
      <xdr:nvSpPr>
        <xdr:cNvPr id="247759" name="フリーフォーム: 図形 247758">
          <a:extLst>
            <a:ext uri="{FF2B5EF4-FFF2-40B4-BE49-F238E27FC236}">
              <a16:creationId xmlns:a16="http://schemas.microsoft.com/office/drawing/2014/main" id="{5204D82E-A40B-4B06-9522-308720380691}"/>
            </a:ext>
          </a:extLst>
        </xdr:cNvPr>
        <xdr:cNvSpPr>
          <a:spLocks noChangeAspect="1"/>
        </xdr:cNvSpPr>
      </xdr:nvSpPr>
      <xdr:spPr>
        <a:xfrm>
          <a:off x="81972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107</xdr:row>
      <xdr:rowOff>93749</xdr:rowOff>
    </xdr:from>
    <xdr:to>
      <xdr:col>11</xdr:col>
      <xdr:colOff>653401</xdr:colOff>
      <xdr:row>112</xdr:row>
      <xdr:rowOff>118501</xdr:rowOff>
    </xdr:to>
    <xdr:sp macro="" textlink="">
      <xdr:nvSpPr>
        <xdr:cNvPr id="247760" name="フリーフォーム: 図形 247759">
          <a:extLst>
            <a:ext uri="{FF2B5EF4-FFF2-40B4-BE49-F238E27FC236}">
              <a16:creationId xmlns:a16="http://schemas.microsoft.com/office/drawing/2014/main" id="{C3FD89DD-2137-4EAF-ABA0-BD4DBC98067C}"/>
            </a:ext>
          </a:extLst>
        </xdr:cNvPr>
        <xdr:cNvSpPr>
          <a:spLocks noChangeAspect="1"/>
        </xdr:cNvSpPr>
      </xdr:nvSpPr>
      <xdr:spPr>
        <a:xfrm>
          <a:off x="79632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107</xdr:row>
      <xdr:rowOff>75750</xdr:rowOff>
    </xdr:from>
    <xdr:to>
      <xdr:col>11</xdr:col>
      <xdr:colOff>617401</xdr:colOff>
      <xdr:row>112</xdr:row>
      <xdr:rowOff>10501</xdr:rowOff>
    </xdr:to>
    <xdr:sp macro="" textlink="">
      <xdr:nvSpPr>
        <xdr:cNvPr id="247761" name="フリーフォーム: 図形 247760">
          <a:extLst>
            <a:ext uri="{FF2B5EF4-FFF2-40B4-BE49-F238E27FC236}">
              <a16:creationId xmlns:a16="http://schemas.microsoft.com/office/drawing/2014/main" id="{137DEC98-3495-46EB-9CFB-23D86E7920B1}"/>
            </a:ext>
          </a:extLst>
        </xdr:cNvPr>
        <xdr:cNvSpPr>
          <a:spLocks noChangeAspect="1"/>
        </xdr:cNvSpPr>
      </xdr:nvSpPr>
      <xdr:spPr>
        <a:xfrm>
          <a:off x="76392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101</xdr:row>
      <xdr:rowOff>42450</xdr:rowOff>
    </xdr:from>
    <xdr:to>
      <xdr:col>14</xdr:col>
      <xdr:colOff>550801</xdr:colOff>
      <xdr:row>102</xdr:row>
      <xdr:rowOff>15002</xdr:rowOff>
    </xdr:to>
    <xdr:sp macro="" textlink="">
      <xdr:nvSpPr>
        <xdr:cNvPr id="247762" name="フリーフォーム: 図形 247761">
          <a:extLst>
            <a:ext uri="{FF2B5EF4-FFF2-40B4-BE49-F238E27FC236}">
              <a16:creationId xmlns:a16="http://schemas.microsoft.com/office/drawing/2014/main" id="{FC9456D8-0212-479B-9314-C9F9EDAC6795}"/>
            </a:ext>
          </a:extLst>
        </xdr:cNvPr>
        <xdr:cNvSpPr>
          <a:spLocks noChangeAspect="1"/>
        </xdr:cNvSpPr>
      </xdr:nvSpPr>
      <xdr:spPr>
        <a:xfrm>
          <a:off x="96840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101</xdr:row>
      <xdr:rowOff>42450</xdr:rowOff>
    </xdr:from>
    <xdr:to>
      <xdr:col>15</xdr:col>
      <xdr:colOff>405001</xdr:colOff>
      <xdr:row>102</xdr:row>
      <xdr:rowOff>15002</xdr:rowOff>
    </xdr:to>
    <xdr:sp macro="" textlink="">
      <xdr:nvSpPr>
        <xdr:cNvPr id="247763" name="フリーフォーム: 図形 247762">
          <a:extLst>
            <a:ext uri="{FF2B5EF4-FFF2-40B4-BE49-F238E27FC236}">
              <a16:creationId xmlns:a16="http://schemas.microsoft.com/office/drawing/2014/main" id="{D38AD2ED-606E-4123-9B8D-74EF643FFB7C}"/>
            </a:ext>
          </a:extLst>
        </xdr:cNvPr>
        <xdr:cNvSpPr>
          <a:spLocks noChangeAspect="1"/>
        </xdr:cNvSpPr>
      </xdr:nvSpPr>
      <xdr:spPr>
        <a:xfrm>
          <a:off x="102240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101</xdr:row>
      <xdr:rowOff>114450</xdr:rowOff>
    </xdr:from>
    <xdr:to>
      <xdr:col>15</xdr:col>
      <xdr:colOff>477001</xdr:colOff>
      <xdr:row>107</xdr:row>
      <xdr:rowOff>21752</xdr:rowOff>
    </xdr:to>
    <xdr:sp macro="" textlink="">
      <xdr:nvSpPr>
        <xdr:cNvPr id="247764" name="フリーフォーム: 図形 247763">
          <a:extLst>
            <a:ext uri="{FF2B5EF4-FFF2-40B4-BE49-F238E27FC236}">
              <a16:creationId xmlns:a16="http://schemas.microsoft.com/office/drawing/2014/main" id="{1018F747-BD20-4C9E-AD57-A95089AA1105}"/>
            </a:ext>
          </a:extLst>
        </xdr:cNvPr>
        <xdr:cNvSpPr>
          <a:spLocks noChangeAspect="1"/>
        </xdr:cNvSpPr>
      </xdr:nvSpPr>
      <xdr:spPr>
        <a:xfrm>
          <a:off x="104760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107</xdr:row>
      <xdr:rowOff>75750</xdr:rowOff>
    </xdr:from>
    <xdr:to>
      <xdr:col>15</xdr:col>
      <xdr:colOff>297001</xdr:colOff>
      <xdr:row>112</xdr:row>
      <xdr:rowOff>136501</xdr:rowOff>
    </xdr:to>
    <xdr:sp macro="" textlink="">
      <xdr:nvSpPr>
        <xdr:cNvPr id="247765" name="フリーフォーム: 図形 247764">
          <a:extLst>
            <a:ext uri="{FF2B5EF4-FFF2-40B4-BE49-F238E27FC236}">
              <a16:creationId xmlns:a16="http://schemas.microsoft.com/office/drawing/2014/main" id="{AE165063-68D6-45D0-99E1-CC9CD72C8144}"/>
            </a:ext>
          </a:extLst>
        </xdr:cNvPr>
        <xdr:cNvSpPr>
          <a:spLocks noChangeAspect="1"/>
        </xdr:cNvSpPr>
      </xdr:nvSpPr>
      <xdr:spPr>
        <a:xfrm>
          <a:off x="102960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112</xdr:row>
      <xdr:rowOff>64500</xdr:rowOff>
    </xdr:from>
    <xdr:to>
      <xdr:col>14</xdr:col>
      <xdr:colOff>226801</xdr:colOff>
      <xdr:row>113</xdr:row>
      <xdr:rowOff>37051</xdr:rowOff>
    </xdr:to>
    <xdr:sp macro="" textlink="">
      <xdr:nvSpPr>
        <xdr:cNvPr id="247766" name="フリーフォーム: 図形 247765">
          <a:extLst>
            <a:ext uri="{FF2B5EF4-FFF2-40B4-BE49-F238E27FC236}">
              <a16:creationId xmlns:a16="http://schemas.microsoft.com/office/drawing/2014/main" id="{89D99D3A-EE5D-458D-8ECE-C33AE0497ACA}"/>
            </a:ext>
          </a:extLst>
        </xdr:cNvPr>
        <xdr:cNvSpPr>
          <a:spLocks noChangeAspect="1"/>
        </xdr:cNvSpPr>
      </xdr:nvSpPr>
      <xdr:spPr>
        <a:xfrm>
          <a:off x="93420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112</xdr:row>
      <xdr:rowOff>64500</xdr:rowOff>
    </xdr:from>
    <xdr:to>
      <xdr:col>15</xdr:col>
      <xdr:colOff>45001</xdr:colOff>
      <xdr:row>113</xdr:row>
      <xdr:rowOff>37051</xdr:rowOff>
    </xdr:to>
    <xdr:sp macro="" textlink="">
      <xdr:nvSpPr>
        <xdr:cNvPr id="247767" name="フリーフォーム: 図形 247766">
          <a:extLst>
            <a:ext uri="{FF2B5EF4-FFF2-40B4-BE49-F238E27FC236}">
              <a16:creationId xmlns:a16="http://schemas.microsoft.com/office/drawing/2014/main" id="{B946BA53-5AAF-44AA-8209-E2A0280C9E04}"/>
            </a:ext>
          </a:extLst>
        </xdr:cNvPr>
        <xdr:cNvSpPr>
          <a:spLocks noChangeAspect="1"/>
        </xdr:cNvSpPr>
      </xdr:nvSpPr>
      <xdr:spPr>
        <a:xfrm>
          <a:off x="98640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107</xdr:row>
      <xdr:rowOff>75750</xdr:rowOff>
    </xdr:from>
    <xdr:to>
      <xdr:col>13</xdr:col>
      <xdr:colOff>660601</xdr:colOff>
      <xdr:row>112</xdr:row>
      <xdr:rowOff>136501</xdr:rowOff>
    </xdr:to>
    <xdr:sp macro="" textlink="">
      <xdr:nvSpPr>
        <xdr:cNvPr id="247768" name="フリーフォーム: 図形 247767">
          <a:extLst>
            <a:ext uri="{FF2B5EF4-FFF2-40B4-BE49-F238E27FC236}">
              <a16:creationId xmlns:a16="http://schemas.microsoft.com/office/drawing/2014/main" id="{E7953AF1-4E00-46C2-8A1E-CB27FBD85EE9}"/>
            </a:ext>
          </a:extLst>
        </xdr:cNvPr>
        <xdr:cNvSpPr>
          <a:spLocks noChangeAspect="1"/>
        </xdr:cNvSpPr>
      </xdr:nvSpPr>
      <xdr:spPr>
        <a:xfrm>
          <a:off x="92880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101</xdr:row>
      <xdr:rowOff>114450</xdr:rowOff>
    </xdr:from>
    <xdr:to>
      <xdr:col>14</xdr:col>
      <xdr:colOff>118801</xdr:colOff>
      <xdr:row>107</xdr:row>
      <xdr:rowOff>21752</xdr:rowOff>
    </xdr:to>
    <xdr:sp macro="" textlink="">
      <xdr:nvSpPr>
        <xdr:cNvPr id="247769" name="フリーフォーム: 図形 247768">
          <a:extLst>
            <a:ext uri="{FF2B5EF4-FFF2-40B4-BE49-F238E27FC236}">
              <a16:creationId xmlns:a16="http://schemas.microsoft.com/office/drawing/2014/main" id="{CFB6D90D-0213-4E28-A57F-76C9AE92A9EF}"/>
            </a:ext>
          </a:extLst>
        </xdr:cNvPr>
        <xdr:cNvSpPr>
          <a:spLocks noChangeAspect="1"/>
        </xdr:cNvSpPr>
      </xdr:nvSpPr>
      <xdr:spPr>
        <a:xfrm>
          <a:off x="94680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106</xdr:row>
      <xdr:rowOff>139199</xdr:rowOff>
    </xdr:from>
    <xdr:to>
      <xdr:col>14</xdr:col>
      <xdr:colOff>388801</xdr:colOff>
      <xdr:row>107</xdr:row>
      <xdr:rowOff>111751</xdr:rowOff>
    </xdr:to>
    <xdr:sp macro="" textlink="">
      <xdr:nvSpPr>
        <xdr:cNvPr id="247770" name="フリーフォーム: 図形 247769">
          <a:extLst>
            <a:ext uri="{FF2B5EF4-FFF2-40B4-BE49-F238E27FC236}">
              <a16:creationId xmlns:a16="http://schemas.microsoft.com/office/drawing/2014/main" id="{E5C5ABE5-254A-40C9-AD30-3487262A5C17}"/>
            </a:ext>
          </a:extLst>
        </xdr:cNvPr>
        <xdr:cNvSpPr>
          <a:spLocks noChangeAspect="1"/>
        </xdr:cNvSpPr>
      </xdr:nvSpPr>
      <xdr:spPr>
        <a:xfrm>
          <a:off x="95400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106</xdr:row>
      <xdr:rowOff>139199</xdr:rowOff>
    </xdr:from>
    <xdr:to>
      <xdr:col>15</xdr:col>
      <xdr:colOff>207001</xdr:colOff>
      <xdr:row>107</xdr:row>
      <xdr:rowOff>111751</xdr:rowOff>
    </xdr:to>
    <xdr:sp macro="" textlink="">
      <xdr:nvSpPr>
        <xdr:cNvPr id="247771" name="フリーフォーム: 図形 247770">
          <a:extLst>
            <a:ext uri="{FF2B5EF4-FFF2-40B4-BE49-F238E27FC236}">
              <a16:creationId xmlns:a16="http://schemas.microsoft.com/office/drawing/2014/main" id="{51463A18-E4E7-48FA-A260-95FF2D6EA4B8}"/>
            </a:ext>
          </a:extLst>
        </xdr:cNvPr>
        <xdr:cNvSpPr>
          <a:spLocks noChangeAspect="1"/>
        </xdr:cNvSpPr>
      </xdr:nvSpPr>
      <xdr:spPr>
        <a:xfrm>
          <a:off x="100440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102</xdr:row>
      <xdr:rowOff>51000</xdr:rowOff>
    </xdr:from>
    <xdr:to>
      <xdr:col>14</xdr:col>
      <xdr:colOff>406801</xdr:colOff>
      <xdr:row>107</xdr:row>
      <xdr:rowOff>3751</xdr:rowOff>
    </xdr:to>
    <xdr:sp macro="" textlink="">
      <xdr:nvSpPr>
        <xdr:cNvPr id="247772" name="フリーフォーム: 図形 247771">
          <a:extLst>
            <a:ext uri="{FF2B5EF4-FFF2-40B4-BE49-F238E27FC236}">
              <a16:creationId xmlns:a16="http://schemas.microsoft.com/office/drawing/2014/main" id="{6B47870E-8653-4951-97F3-C78B7E0FB9CD}"/>
            </a:ext>
          </a:extLst>
        </xdr:cNvPr>
        <xdr:cNvSpPr>
          <a:spLocks noChangeAspect="1"/>
        </xdr:cNvSpPr>
      </xdr:nvSpPr>
      <xdr:spPr>
        <a:xfrm>
          <a:off x="97380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101</xdr:row>
      <xdr:rowOff>114450</xdr:rowOff>
    </xdr:from>
    <xdr:to>
      <xdr:col>14</xdr:col>
      <xdr:colOff>658801</xdr:colOff>
      <xdr:row>106</xdr:row>
      <xdr:rowOff>157201</xdr:rowOff>
    </xdr:to>
    <xdr:sp macro="" textlink="">
      <xdr:nvSpPr>
        <xdr:cNvPr id="247773" name="フリーフォーム: 図形 247772">
          <a:extLst>
            <a:ext uri="{FF2B5EF4-FFF2-40B4-BE49-F238E27FC236}">
              <a16:creationId xmlns:a16="http://schemas.microsoft.com/office/drawing/2014/main" id="{8CBEE4F4-7010-43C9-BD35-81C87FE049F6}"/>
            </a:ext>
          </a:extLst>
        </xdr:cNvPr>
        <xdr:cNvSpPr>
          <a:spLocks noChangeAspect="1"/>
        </xdr:cNvSpPr>
      </xdr:nvSpPr>
      <xdr:spPr>
        <a:xfrm>
          <a:off x="100080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102</xdr:row>
      <xdr:rowOff>69000</xdr:rowOff>
    </xdr:from>
    <xdr:to>
      <xdr:col>15</xdr:col>
      <xdr:colOff>297001</xdr:colOff>
      <xdr:row>107</xdr:row>
      <xdr:rowOff>3751</xdr:rowOff>
    </xdr:to>
    <xdr:sp macro="" textlink="">
      <xdr:nvSpPr>
        <xdr:cNvPr id="247774" name="フリーフォーム: 図形 247773">
          <a:extLst>
            <a:ext uri="{FF2B5EF4-FFF2-40B4-BE49-F238E27FC236}">
              <a16:creationId xmlns:a16="http://schemas.microsoft.com/office/drawing/2014/main" id="{776FC600-45F0-4083-A0FA-88FC9631E0C2}"/>
            </a:ext>
          </a:extLst>
        </xdr:cNvPr>
        <xdr:cNvSpPr>
          <a:spLocks noChangeAspect="1"/>
        </xdr:cNvSpPr>
      </xdr:nvSpPr>
      <xdr:spPr>
        <a:xfrm>
          <a:off x="100620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107</xdr:row>
      <xdr:rowOff>75750</xdr:rowOff>
    </xdr:from>
    <xdr:to>
      <xdr:col>15</xdr:col>
      <xdr:colOff>9001</xdr:colOff>
      <xdr:row>111</xdr:row>
      <xdr:rowOff>163951</xdr:rowOff>
    </xdr:to>
    <xdr:sp macro="" textlink="">
      <xdr:nvSpPr>
        <xdr:cNvPr id="247775" name="フリーフォーム: 図形 247774">
          <a:extLst>
            <a:ext uri="{FF2B5EF4-FFF2-40B4-BE49-F238E27FC236}">
              <a16:creationId xmlns:a16="http://schemas.microsoft.com/office/drawing/2014/main" id="{2817EA00-CD10-4CEC-B12F-BF9FE342B24F}"/>
            </a:ext>
          </a:extLst>
        </xdr:cNvPr>
        <xdr:cNvSpPr>
          <a:spLocks noChangeAspect="1"/>
        </xdr:cNvSpPr>
      </xdr:nvSpPr>
      <xdr:spPr>
        <a:xfrm>
          <a:off x="100260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107</xdr:row>
      <xdr:rowOff>93749</xdr:rowOff>
    </xdr:from>
    <xdr:to>
      <xdr:col>14</xdr:col>
      <xdr:colOff>424801</xdr:colOff>
      <xdr:row>112</xdr:row>
      <xdr:rowOff>118501</xdr:rowOff>
    </xdr:to>
    <xdr:sp macro="" textlink="">
      <xdr:nvSpPr>
        <xdr:cNvPr id="247776" name="フリーフォーム: 図形 247775">
          <a:extLst>
            <a:ext uri="{FF2B5EF4-FFF2-40B4-BE49-F238E27FC236}">
              <a16:creationId xmlns:a16="http://schemas.microsoft.com/office/drawing/2014/main" id="{EE35CD6A-14E3-49AB-BDF9-F86C756007ED}"/>
            </a:ext>
          </a:extLst>
        </xdr:cNvPr>
        <xdr:cNvSpPr>
          <a:spLocks noChangeAspect="1"/>
        </xdr:cNvSpPr>
      </xdr:nvSpPr>
      <xdr:spPr>
        <a:xfrm>
          <a:off x="97920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107</xdr:row>
      <xdr:rowOff>75750</xdr:rowOff>
    </xdr:from>
    <xdr:to>
      <xdr:col>14</xdr:col>
      <xdr:colOff>388801</xdr:colOff>
      <xdr:row>112</xdr:row>
      <xdr:rowOff>10501</xdr:rowOff>
    </xdr:to>
    <xdr:sp macro="" textlink="">
      <xdr:nvSpPr>
        <xdr:cNvPr id="247777" name="フリーフォーム: 図形 247776">
          <a:extLst>
            <a:ext uri="{FF2B5EF4-FFF2-40B4-BE49-F238E27FC236}">
              <a16:creationId xmlns:a16="http://schemas.microsoft.com/office/drawing/2014/main" id="{25972AE7-A06D-45E2-95A8-6652EB774349}"/>
            </a:ext>
          </a:extLst>
        </xdr:cNvPr>
        <xdr:cNvSpPr>
          <a:spLocks noChangeAspect="1"/>
        </xdr:cNvSpPr>
      </xdr:nvSpPr>
      <xdr:spPr>
        <a:xfrm>
          <a:off x="94680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101</xdr:row>
      <xdr:rowOff>42450</xdr:rowOff>
    </xdr:from>
    <xdr:to>
      <xdr:col>17</xdr:col>
      <xdr:colOff>322201</xdr:colOff>
      <xdr:row>102</xdr:row>
      <xdr:rowOff>15002</xdr:rowOff>
    </xdr:to>
    <xdr:sp macro="" textlink="">
      <xdr:nvSpPr>
        <xdr:cNvPr id="247778" name="フリーフォーム: 図形 247777">
          <a:extLst>
            <a:ext uri="{FF2B5EF4-FFF2-40B4-BE49-F238E27FC236}">
              <a16:creationId xmlns:a16="http://schemas.microsoft.com/office/drawing/2014/main" id="{4BAC297D-2597-4C14-A34F-53B8DAB5A453}"/>
            </a:ext>
          </a:extLst>
        </xdr:cNvPr>
        <xdr:cNvSpPr>
          <a:spLocks noChangeAspect="1"/>
        </xdr:cNvSpPr>
      </xdr:nvSpPr>
      <xdr:spPr>
        <a:xfrm>
          <a:off x="11512800" y="176256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101</xdr:row>
      <xdr:rowOff>42450</xdr:rowOff>
    </xdr:from>
    <xdr:to>
      <xdr:col>18</xdr:col>
      <xdr:colOff>176401</xdr:colOff>
      <xdr:row>102</xdr:row>
      <xdr:rowOff>15002</xdr:rowOff>
    </xdr:to>
    <xdr:sp macro="" textlink="">
      <xdr:nvSpPr>
        <xdr:cNvPr id="247779" name="フリーフォーム: 図形 247778">
          <a:extLst>
            <a:ext uri="{FF2B5EF4-FFF2-40B4-BE49-F238E27FC236}">
              <a16:creationId xmlns:a16="http://schemas.microsoft.com/office/drawing/2014/main" id="{EFECB92F-E035-422E-8CDA-9007E53272BD}"/>
            </a:ext>
          </a:extLst>
        </xdr:cNvPr>
        <xdr:cNvSpPr>
          <a:spLocks noChangeAspect="1"/>
        </xdr:cNvSpPr>
      </xdr:nvSpPr>
      <xdr:spPr>
        <a:xfrm>
          <a:off x="12052800" y="176256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101</xdr:row>
      <xdr:rowOff>114450</xdr:rowOff>
    </xdr:from>
    <xdr:to>
      <xdr:col>18</xdr:col>
      <xdr:colOff>248401</xdr:colOff>
      <xdr:row>107</xdr:row>
      <xdr:rowOff>21752</xdr:rowOff>
    </xdr:to>
    <xdr:sp macro="" textlink="">
      <xdr:nvSpPr>
        <xdr:cNvPr id="247780" name="フリーフォーム: 図形 247779">
          <a:extLst>
            <a:ext uri="{FF2B5EF4-FFF2-40B4-BE49-F238E27FC236}">
              <a16:creationId xmlns:a16="http://schemas.microsoft.com/office/drawing/2014/main" id="{9E48B421-DD87-43A4-9D08-CC5A7ECF561C}"/>
            </a:ext>
          </a:extLst>
        </xdr:cNvPr>
        <xdr:cNvSpPr>
          <a:spLocks noChangeAspect="1"/>
        </xdr:cNvSpPr>
      </xdr:nvSpPr>
      <xdr:spPr>
        <a:xfrm>
          <a:off x="12304800" y="176976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107</xdr:row>
      <xdr:rowOff>75750</xdr:rowOff>
    </xdr:from>
    <xdr:to>
      <xdr:col>18</xdr:col>
      <xdr:colOff>68401</xdr:colOff>
      <xdr:row>112</xdr:row>
      <xdr:rowOff>136501</xdr:rowOff>
    </xdr:to>
    <xdr:sp macro="" textlink="">
      <xdr:nvSpPr>
        <xdr:cNvPr id="247781" name="フリーフォーム: 図形 247780">
          <a:extLst>
            <a:ext uri="{FF2B5EF4-FFF2-40B4-BE49-F238E27FC236}">
              <a16:creationId xmlns:a16="http://schemas.microsoft.com/office/drawing/2014/main" id="{058AE4A6-FAA8-45EE-8336-691831138C1D}"/>
            </a:ext>
          </a:extLst>
        </xdr:cNvPr>
        <xdr:cNvSpPr>
          <a:spLocks noChangeAspect="1"/>
        </xdr:cNvSpPr>
      </xdr:nvSpPr>
      <xdr:spPr>
        <a:xfrm>
          <a:off x="12124800" y="186876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112</xdr:row>
      <xdr:rowOff>64500</xdr:rowOff>
    </xdr:from>
    <xdr:to>
      <xdr:col>16</xdr:col>
      <xdr:colOff>684001</xdr:colOff>
      <xdr:row>113</xdr:row>
      <xdr:rowOff>37051</xdr:rowOff>
    </xdr:to>
    <xdr:sp macro="" textlink="">
      <xdr:nvSpPr>
        <xdr:cNvPr id="247782" name="フリーフォーム: 図形 247781">
          <a:extLst>
            <a:ext uri="{FF2B5EF4-FFF2-40B4-BE49-F238E27FC236}">
              <a16:creationId xmlns:a16="http://schemas.microsoft.com/office/drawing/2014/main" id="{0E28DA42-3072-42CC-BF36-215EEEBFF663}"/>
            </a:ext>
          </a:extLst>
        </xdr:cNvPr>
        <xdr:cNvSpPr>
          <a:spLocks noChangeAspect="1"/>
        </xdr:cNvSpPr>
      </xdr:nvSpPr>
      <xdr:spPr>
        <a:xfrm>
          <a:off x="11170800" y="195336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112</xdr:row>
      <xdr:rowOff>64500</xdr:rowOff>
    </xdr:from>
    <xdr:to>
      <xdr:col>17</xdr:col>
      <xdr:colOff>502201</xdr:colOff>
      <xdr:row>113</xdr:row>
      <xdr:rowOff>37051</xdr:rowOff>
    </xdr:to>
    <xdr:sp macro="" textlink="">
      <xdr:nvSpPr>
        <xdr:cNvPr id="247783" name="フリーフォーム: 図形 247782">
          <a:extLst>
            <a:ext uri="{FF2B5EF4-FFF2-40B4-BE49-F238E27FC236}">
              <a16:creationId xmlns:a16="http://schemas.microsoft.com/office/drawing/2014/main" id="{3714F8AA-3361-4728-B9E6-96E57BA6068C}"/>
            </a:ext>
          </a:extLst>
        </xdr:cNvPr>
        <xdr:cNvSpPr>
          <a:spLocks noChangeAspect="1"/>
        </xdr:cNvSpPr>
      </xdr:nvSpPr>
      <xdr:spPr>
        <a:xfrm>
          <a:off x="11692800" y="195336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107</xdr:row>
      <xdr:rowOff>75750</xdr:rowOff>
    </xdr:from>
    <xdr:to>
      <xdr:col>16</xdr:col>
      <xdr:colOff>432001</xdr:colOff>
      <xdr:row>112</xdr:row>
      <xdr:rowOff>136501</xdr:rowOff>
    </xdr:to>
    <xdr:sp macro="" textlink="">
      <xdr:nvSpPr>
        <xdr:cNvPr id="247784" name="フリーフォーム: 図形 247783">
          <a:extLst>
            <a:ext uri="{FF2B5EF4-FFF2-40B4-BE49-F238E27FC236}">
              <a16:creationId xmlns:a16="http://schemas.microsoft.com/office/drawing/2014/main" id="{2145D705-7B99-48D7-86AD-CFCB6A0030E0}"/>
            </a:ext>
          </a:extLst>
        </xdr:cNvPr>
        <xdr:cNvSpPr>
          <a:spLocks noChangeAspect="1"/>
        </xdr:cNvSpPr>
      </xdr:nvSpPr>
      <xdr:spPr>
        <a:xfrm>
          <a:off x="11116800" y="186876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101</xdr:row>
      <xdr:rowOff>114450</xdr:rowOff>
    </xdr:from>
    <xdr:to>
      <xdr:col>16</xdr:col>
      <xdr:colOff>576001</xdr:colOff>
      <xdr:row>107</xdr:row>
      <xdr:rowOff>21752</xdr:rowOff>
    </xdr:to>
    <xdr:sp macro="" textlink="">
      <xdr:nvSpPr>
        <xdr:cNvPr id="247785" name="フリーフォーム: 図形 247784">
          <a:extLst>
            <a:ext uri="{FF2B5EF4-FFF2-40B4-BE49-F238E27FC236}">
              <a16:creationId xmlns:a16="http://schemas.microsoft.com/office/drawing/2014/main" id="{821C4B72-4FB7-462D-ABF1-E12D194CCB58}"/>
            </a:ext>
          </a:extLst>
        </xdr:cNvPr>
        <xdr:cNvSpPr>
          <a:spLocks noChangeAspect="1"/>
        </xdr:cNvSpPr>
      </xdr:nvSpPr>
      <xdr:spPr>
        <a:xfrm>
          <a:off x="11296800" y="176976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106</xdr:row>
      <xdr:rowOff>139199</xdr:rowOff>
    </xdr:from>
    <xdr:to>
      <xdr:col>17</xdr:col>
      <xdr:colOff>160201</xdr:colOff>
      <xdr:row>107</xdr:row>
      <xdr:rowOff>111751</xdr:rowOff>
    </xdr:to>
    <xdr:sp macro="" textlink="">
      <xdr:nvSpPr>
        <xdr:cNvPr id="247786" name="フリーフォーム: 図形 247785">
          <a:extLst>
            <a:ext uri="{FF2B5EF4-FFF2-40B4-BE49-F238E27FC236}">
              <a16:creationId xmlns:a16="http://schemas.microsoft.com/office/drawing/2014/main" id="{3CF25D6F-C00C-4B4B-83D4-AF3AA454F894}"/>
            </a:ext>
          </a:extLst>
        </xdr:cNvPr>
        <xdr:cNvSpPr>
          <a:spLocks noChangeAspect="1"/>
        </xdr:cNvSpPr>
      </xdr:nvSpPr>
      <xdr:spPr>
        <a:xfrm>
          <a:off x="11368800" y="185795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106</xdr:row>
      <xdr:rowOff>139199</xdr:rowOff>
    </xdr:from>
    <xdr:to>
      <xdr:col>17</xdr:col>
      <xdr:colOff>664201</xdr:colOff>
      <xdr:row>107</xdr:row>
      <xdr:rowOff>111751</xdr:rowOff>
    </xdr:to>
    <xdr:sp macro="" textlink="">
      <xdr:nvSpPr>
        <xdr:cNvPr id="247787" name="フリーフォーム: 図形 247786">
          <a:extLst>
            <a:ext uri="{FF2B5EF4-FFF2-40B4-BE49-F238E27FC236}">
              <a16:creationId xmlns:a16="http://schemas.microsoft.com/office/drawing/2014/main" id="{517A03F9-9185-45D9-BF77-847E79401D11}"/>
            </a:ext>
          </a:extLst>
        </xdr:cNvPr>
        <xdr:cNvSpPr>
          <a:spLocks noChangeAspect="1"/>
        </xdr:cNvSpPr>
      </xdr:nvSpPr>
      <xdr:spPr>
        <a:xfrm>
          <a:off x="11872800" y="185795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102</xdr:row>
      <xdr:rowOff>51000</xdr:rowOff>
    </xdr:from>
    <xdr:to>
      <xdr:col>17</xdr:col>
      <xdr:colOff>178201</xdr:colOff>
      <xdr:row>107</xdr:row>
      <xdr:rowOff>3751</xdr:rowOff>
    </xdr:to>
    <xdr:sp macro="" textlink="">
      <xdr:nvSpPr>
        <xdr:cNvPr id="247788" name="フリーフォーム: 図形 247787">
          <a:extLst>
            <a:ext uri="{FF2B5EF4-FFF2-40B4-BE49-F238E27FC236}">
              <a16:creationId xmlns:a16="http://schemas.microsoft.com/office/drawing/2014/main" id="{B4E387AF-C183-4CE8-9754-304BD62EE8DF}"/>
            </a:ext>
          </a:extLst>
        </xdr:cNvPr>
        <xdr:cNvSpPr>
          <a:spLocks noChangeAspect="1"/>
        </xdr:cNvSpPr>
      </xdr:nvSpPr>
      <xdr:spPr>
        <a:xfrm>
          <a:off x="11566800" y="178056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101</xdr:row>
      <xdr:rowOff>114450</xdr:rowOff>
    </xdr:from>
    <xdr:to>
      <xdr:col>17</xdr:col>
      <xdr:colOff>430201</xdr:colOff>
      <xdr:row>106</xdr:row>
      <xdr:rowOff>157201</xdr:rowOff>
    </xdr:to>
    <xdr:sp macro="" textlink="">
      <xdr:nvSpPr>
        <xdr:cNvPr id="247789" name="フリーフォーム: 図形 247788">
          <a:extLst>
            <a:ext uri="{FF2B5EF4-FFF2-40B4-BE49-F238E27FC236}">
              <a16:creationId xmlns:a16="http://schemas.microsoft.com/office/drawing/2014/main" id="{E626106A-B5E5-4775-AB9A-A7AA0F3906D1}"/>
            </a:ext>
          </a:extLst>
        </xdr:cNvPr>
        <xdr:cNvSpPr>
          <a:spLocks noChangeAspect="1"/>
        </xdr:cNvSpPr>
      </xdr:nvSpPr>
      <xdr:spPr>
        <a:xfrm>
          <a:off x="118368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102</xdr:row>
      <xdr:rowOff>69000</xdr:rowOff>
    </xdr:from>
    <xdr:to>
      <xdr:col>18</xdr:col>
      <xdr:colOff>68401</xdr:colOff>
      <xdr:row>107</xdr:row>
      <xdr:rowOff>3751</xdr:rowOff>
    </xdr:to>
    <xdr:sp macro="" textlink="">
      <xdr:nvSpPr>
        <xdr:cNvPr id="247790" name="フリーフォーム: 図形 247789">
          <a:extLst>
            <a:ext uri="{FF2B5EF4-FFF2-40B4-BE49-F238E27FC236}">
              <a16:creationId xmlns:a16="http://schemas.microsoft.com/office/drawing/2014/main" id="{E3EC83A5-D410-4772-8706-79D1FB27E75F}"/>
            </a:ext>
          </a:extLst>
        </xdr:cNvPr>
        <xdr:cNvSpPr>
          <a:spLocks noChangeAspect="1"/>
        </xdr:cNvSpPr>
      </xdr:nvSpPr>
      <xdr:spPr>
        <a:xfrm>
          <a:off x="118908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107</xdr:row>
      <xdr:rowOff>75750</xdr:rowOff>
    </xdr:from>
    <xdr:to>
      <xdr:col>17</xdr:col>
      <xdr:colOff>466201</xdr:colOff>
      <xdr:row>111</xdr:row>
      <xdr:rowOff>163951</xdr:rowOff>
    </xdr:to>
    <xdr:sp macro="" textlink="">
      <xdr:nvSpPr>
        <xdr:cNvPr id="247791" name="フリーフォーム: 図形 247790">
          <a:extLst>
            <a:ext uri="{FF2B5EF4-FFF2-40B4-BE49-F238E27FC236}">
              <a16:creationId xmlns:a16="http://schemas.microsoft.com/office/drawing/2014/main" id="{15C7C5FD-AFD2-4982-9BB3-B9BDBAD494BB}"/>
            </a:ext>
          </a:extLst>
        </xdr:cNvPr>
        <xdr:cNvSpPr>
          <a:spLocks noChangeAspect="1"/>
        </xdr:cNvSpPr>
      </xdr:nvSpPr>
      <xdr:spPr>
        <a:xfrm>
          <a:off x="11854800" y="186876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107</xdr:row>
      <xdr:rowOff>93749</xdr:rowOff>
    </xdr:from>
    <xdr:to>
      <xdr:col>17</xdr:col>
      <xdr:colOff>196201</xdr:colOff>
      <xdr:row>112</xdr:row>
      <xdr:rowOff>118501</xdr:rowOff>
    </xdr:to>
    <xdr:sp macro="" textlink="">
      <xdr:nvSpPr>
        <xdr:cNvPr id="247792" name="フリーフォーム: 図形 247791">
          <a:extLst>
            <a:ext uri="{FF2B5EF4-FFF2-40B4-BE49-F238E27FC236}">
              <a16:creationId xmlns:a16="http://schemas.microsoft.com/office/drawing/2014/main" id="{74933AFB-3BC8-4839-B39B-002F9EE72930}"/>
            </a:ext>
          </a:extLst>
        </xdr:cNvPr>
        <xdr:cNvSpPr>
          <a:spLocks noChangeAspect="1"/>
        </xdr:cNvSpPr>
      </xdr:nvSpPr>
      <xdr:spPr>
        <a:xfrm>
          <a:off x="11620800" y="187055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107</xdr:row>
      <xdr:rowOff>75750</xdr:rowOff>
    </xdr:from>
    <xdr:to>
      <xdr:col>17</xdr:col>
      <xdr:colOff>160201</xdr:colOff>
      <xdr:row>112</xdr:row>
      <xdr:rowOff>10501</xdr:rowOff>
    </xdr:to>
    <xdr:sp macro="" textlink="">
      <xdr:nvSpPr>
        <xdr:cNvPr id="247793" name="フリーフォーム: 図形 247792">
          <a:extLst>
            <a:ext uri="{FF2B5EF4-FFF2-40B4-BE49-F238E27FC236}">
              <a16:creationId xmlns:a16="http://schemas.microsoft.com/office/drawing/2014/main" id="{AFFA5E8B-9E3D-4916-B9EF-D7EE1B6D5DF9}"/>
            </a:ext>
          </a:extLst>
        </xdr:cNvPr>
        <xdr:cNvSpPr>
          <a:spLocks noChangeAspect="1"/>
        </xdr:cNvSpPr>
      </xdr:nvSpPr>
      <xdr:spPr>
        <a:xfrm>
          <a:off x="11296800" y="186876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101</xdr:row>
      <xdr:rowOff>42450</xdr:rowOff>
    </xdr:from>
    <xdr:to>
      <xdr:col>20</xdr:col>
      <xdr:colOff>93601</xdr:colOff>
      <xdr:row>102</xdr:row>
      <xdr:rowOff>15002</xdr:rowOff>
    </xdr:to>
    <xdr:sp macro="" textlink="">
      <xdr:nvSpPr>
        <xdr:cNvPr id="247794" name="フリーフォーム: 図形 247793">
          <a:extLst>
            <a:ext uri="{FF2B5EF4-FFF2-40B4-BE49-F238E27FC236}">
              <a16:creationId xmlns:a16="http://schemas.microsoft.com/office/drawing/2014/main" id="{33689720-762C-4E78-99A3-320AA152C738}"/>
            </a:ext>
          </a:extLst>
        </xdr:cNvPr>
        <xdr:cNvSpPr>
          <a:spLocks noChangeAspect="1"/>
        </xdr:cNvSpPr>
      </xdr:nvSpPr>
      <xdr:spPr>
        <a:xfrm>
          <a:off x="133416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101</xdr:row>
      <xdr:rowOff>42450</xdr:rowOff>
    </xdr:from>
    <xdr:to>
      <xdr:col>20</xdr:col>
      <xdr:colOff>633601</xdr:colOff>
      <xdr:row>102</xdr:row>
      <xdr:rowOff>15002</xdr:rowOff>
    </xdr:to>
    <xdr:sp macro="" textlink="">
      <xdr:nvSpPr>
        <xdr:cNvPr id="247795" name="フリーフォーム: 図形 247794">
          <a:extLst>
            <a:ext uri="{FF2B5EF4-FFF2-40B4-BE49-F238E27FC236}">
              <a16:creationId xmlns:a16="http://schemas.microsoft.com/office/drawing/2014/main" id="{A0F285D4-B8D9-4ACA-BC68-D205F4B2B3B0}"/>
            </a:ext>
          </a:extLst>
        </xdr:cNvPr>
        <xdr:cNvSpPr>
          <a:spLocks noChangeAspect="1"/>
        </xdr:cNvSpPr>
      </xdr:nvSpPr>
      <xdr:spPr>
        <a:xfrm>
          <a:off x="138816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101</xdr:row>
      <xdr:rowOff>114450</xdr:rowOff>
    </xdr:from>
    <xdr:to>
      <xdr:col>21</xdr:col>
      <xdr:colOff>19801</xdr:colOff>
      <xdr:row>107</xdr:row>
      <xdr:rowOff>21752</xdr:rowOff>
    </xdr:to>
    <xdr:sp macro="" textlink="">
      <xdr:nvSpPr>
        <xdr:cNvPr id="247796" name="フリーフォーム: 図形 247795">
          <a:extLst>
            <a:ext uri="{FF2B5EF4-FFF2-40B4-BE49-F238E27FC236}">
              <a16:creationId xmlns:a16="http://schemas.microsoft.com/office/drawing/2014/main" id="{A2238A28-675B-4E93-BDAB-63ECA4C8A671}"/>
            </a:ext>
          </a:extLst>
        </xdr:cNvPr>
        <xdr:cNvSpPr>
          <a:spLocks noChangeAspect="1"/>
        </xdr:cNvSpPr>
      </xdr:nvSpPr>
      <xdr:spPr>
        <a:xfrm>
          <a:off x="141335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107</xdr:row>
      <xdr:rowOff>75750</xdr:rowOff>
    </xdr:from>
    <xdr:to>
      <xdr:col>20</xdr:col>
      <xdr:colOff>525601</xdr:colOff>
      <xdr:row>112</xdr:row>
      <xdr:rowOff>136501</xdr:rowOff>
    </xdr:to>
    <xdr:sp macro="" textlink="">
      <xdr:nvSpPr>
        <xdr:cNvPr id="247797" name="フリーフォーム: 図形 247796">
          <a:extLst>
            <a:ext uri="{FF2B5EF4-FFF2-40B4-BE49-F238E27FC236}">
              <a16:creationId xmlns:a16="http://schemas.microsoft.com/office/drawing/2014/main" id="{7D794A57-8472-4C15-BB3F-CE28B1C695D2}"/>
            </a:ext>
          </a:extLst>
        </xdr:cNvPr>
        <xdr:cNvSpPr>
          <a:spLocks noChangeAspect="1"/>
        </xdr:cNvSpPr>
      </xdr:nvSpPr>
      <xdr:spPr>
        <a:xfrm>
          <a:off x="139535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112</xdr:row>
      <xdr:rowOff>64500</xdr:rowOff>
    </xdr:from>
    <xdr:to>
      <xdr:col>19</xdr:col>
      <xdr:colOff>455401</xdr:colOff>
      <xdr:row>113</xdr:row>
      <xdr:rowOff>37051</xdr:rowOff>
    </xdr:to>
    <xdr:sp macro="" textlink="">
      <xdr:nvSpPr>
        <xdr:cNvPr id="247798" name="フリーフォーム: 図形 247797">
          <a:extLst>
            <a:ext uri="{FF2B5EF4-FFF2-40B4-BE49-F238E27FC236}">
              <a16:creationId xmlns:a16="http://schemas.microsoft.com/office/drawing/2014/main" id="{2E672EA0-12BC-46F8-AE39-F2ED6DAA0017}"/>
            </a:ext>
          </a:extLst>
        </xdr:cNvPr>
        <xdr:cNvSpPr>
          <a:spLocks noChangeAspect="1"/>
        </xdr:cNvSpPr>
      </xdr:nvSpPr>
      <xdr:spPr>
        <a:xfrm>
          <a:off x="129996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112</xdr:row>
      <xdr:rowOff>64500</xdr:rowOff>
    </xdr:from>
    <xdr:to>
      <xdr:col>20</xdr:col>
      <xdr:colOff>273601</xdr:colOff>
      <xdr:row>113</xdr:row>
      <xdr:rowOff>37051</xdr:rowOff>
    </xdr:to>
    <xdr:sp macro="" textlink="">
      <xdr:nvSpPr>
        <xdr:cNvPr id="247799" name="フリーフォーム: 図形 247798">
          <a:extLst>
            <a:ext uri="{FF2B5EF4-FFF2-40B4-BE49-F238E27FC236}">
              <a16:creationId xmlns:a16="http://schemas.microsoft.com/office/drawing/2014/main" id="{01C0A4AA-0723-4717-8F05-019114DCC18F}"/>
            </a:ext>
          </a:extLst>
        </xdr:cNvPr>
        <xdr:cNvSpPr>
          <a:spLocks noChangeAspect="1"/>
        </xdr:cNvSpPr>
      </xdr:nvSpPr>
      <xdr:spPr>
        <a:xfrm>
          <a:off x="135215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107</xdr:row>
      <xdr:rowOff>75750</xdr:rowOff>
    </xdr:from>
    <xdr:to>
      <xdr:col>19</xdr:col>
      <xdr:colOff>203401</xdr:colOff>
      <xdr:row>112</xdr:row>
      <xdr:rowOff>136501</xdr:rowOff>
    </xdr:to>
    <xdr:sp macro="" textlink="">
      <xdr:nvSpPr>
        <xdr:cNvPr id="247800" name="フリーフォーム: 図形 247799">
          <a:extLst>
            <a:ext uri="{FF2B5EF4-FFF2-40B4-BE49-F238E27FC236}">
              <a16:creationId xmlns:a16="http://schemas.microsoft.com/office/drawing/2014/main" id="{931D5AAD-12A8-4B05-A04F-603392762366}"/>
            </a:ext>
          </a:extLst>
        </xdr:cNvPr>
        <xdr:cNvSpPr>
          <a:spLocks noChangeAspect="1"/>
        </xdr:cNvSpPr>
      </xdr:nvSpPr>
      <xdr:spPr>
        <a:xfrm>
          <a:off x="12945600" y="18687600"/>
          <a:ext cx="288001" cy="918001"/>
        </a:xfrm>
        <a:custGeom>
          <a:avLst/>
          <a:gdLst/>
          <a:ahLst/>
          <a:cxnLst/>
          <a:rect l="0" t="0" r="0" b="0"/>
          <a:pathLst>
            <a:path w="288001" h="918001">
              <a:moveTo>
                <a:pt x="143999" y="54000"/>
              </a:moveTo>
              <a:lnTo>
                <a:pt x="216000" y="0"/>
              </a:lnTo>
              <a:lnTo>
                <a:pt x="288000" y="72001"/>
              </a:lnTo>
              <a:lnTo>
                <a:pt x="143999"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101</xdr:row>
      <xdr:rowOff>114450</xdr:rowOff>
    </xdr:from>
    <xdr:to>
      <xdr:col>19</xdr:col>
      <xdr:colOff>347402</xdr:colOff>
      <xdr:row>107</xdr:row>
      <xdr:rowOff>21752</xdr:rowOff>
    </xdr:to>
    <xdr:sp macro="" textlink="">
      <xdr:nvSpPr>
        <xdr:cNvPr id="247801" name="フリーフォーム: 図形 247800">
          <a:extLst>
            <a:ext uri="{FF2B5EF4-FFF2-40B4-BE49-F238E27FC236}">
              <a16:creationId xmlns:a16="http://schemas.microsoft.com/office/drawing/2014/main" id="{7C99A7F2-CF95-4118-94C5-D5314BEB24D9}"/>
            </a:ext>
          </a:extLst>
        </xdr:cNvPr>
        <xdr:cNvSpPr>
          <a:spLocks noChangeAspect="1"/>
        </xdr:cNvSpPr>
      </xdr:nvSpPr>
      <xdr:spPr>
        <a:xfrm>
          <a:off x="131256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106</xdr:row>
      <xdr:rowOff>139199</xdr:rowOff>
    </xdr:from>
    <xdr:to>
      <xdr:col>19</xdr:col>
      <xdr:colOff>617401</xdr:colOff>
      <xdr:row>107</xdr:row>
      <xdr:rowOff>111751</xdr:rowOff>
    </xdr:to>
    <xdr:sp macro="" textlink="">
      <xdr:nvSpPr>
        <xdr:cNvPr id="247802" name="フリーフォーム: 図形 247801">
          <a:extLst>
            <a:ext uri="{FF2B5EF4-FFF2-40B4-BE49-F238E27FC236}">
              <a16:creationId xmlns:a16="http://schemas.microsoft.com/office/drawing/2014/main" id="{893EA43B-C7B3-467B-8A6D-8532F2E9E163}"/>
            </a:ext>
          </a:extLst>
        </xdr:cNvPr>
        <xdr:cNvSpPr>
          <a:spLocks noChangeAspect="1"/>
        </xdr:cNvSpPr>
      </xdr:nvSpPr>
      <xdr:spPr>
        <a:xfrm>
          <a:off x="131976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106</xdr:row>
      <xdr:rowOff>139199</xdr:rowOff>
    </xdr:from>
    <xdr:to>
      <xdr:col>20</xdr:col>
      <xdr:colOff>435601</xdr:colOff>
      <xdr:row>107</xdr:row>
      <xdr:rowOff>111751</xdr:rowOff>
    </xdr:to>
    <xdr:sp macro="" textlink="">
      <xdr:nvSpPr>
        <xdr:cNvPr id="247803" name="フリーフォーム: 図形 247802">
          <a:extLst>
            <a:ext uri="{FF2B5EF4-FFF2-40B4-BE49-F238E27FC236}">
              <a16:creationId xmlns:a16="http://schemas.microsoft.com/office/drawing/2014/main" id="{0E439C43-3969-4CE9-8735-BEFEB8EE56C0}"/>
            </a:ext>
          </a:extLst>
        </xdr:cNvPr>
        <xdr:cNvSpPr>
          <a:spLocks noChangeAspect="1"/>
        </xdr:cNvSpPr>
      </xdr:nvSpPr>
      <xdr:spPr>
        <a:xfrm>
          <a:off x="137015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102</xdr:row>
      <xdr:rowOff>51000</xdr:rowOff>
    </xdr:from>
    <xdr:to>
      <xdr:col>19</xdr:col>
      <xdr:colOff>635401</xdr:colOff>
      <xdr:row>107</xdr:row>
      <xdr:rowOff>3751</xdr:rowOff>
    </xdr:to>
    <xdr:sp macro="" textlink="">
      <xdr:nvSpPr>
        <xdr:cNvPr id="247804" name="フリーフォーム: 図形 247803">
          <a:extLst>
            <a:ext uri="{FF2B5EF4-FFF2-40B4-BE49-F238E27FC236}">
              <a16:creationId xmlns:a16="http://schemas.microsoft.com/office/drawing/2014/main" id="{DCFD8047-1DC2-4DA8-9E3D-5F7E4F4C74E9}"/>
            </a:ext>
          </a:extLst>
        </xdr:cNvPr>
        <xdr:cNvSpPr>
          <a:spLocks noChangeAspect="1"/>
        </xdr:cNvSpPr>
      </xdr:nvSpPr>
      <xdr:spPr>
        <a:xfrm>
          <a:off x="133955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101</xdr:row>
      <xdr:rowOff>114450</xdr:rowOff>
    </xdr:from>
    <xdr:to>
      <xdr:col>20</xdr:col>
      <xdr:colOff>201601</xdr:colOff>
      <xdr:row>106</xdr:row>
      <xdr:rowOff>157201</xdr:rowOff>
    </xdr:to>
    <xdr:sp macro="" textlink="">
      <xdr:nvSpPr>
        <xdr:cNvPr id="247805" name="フリーフォーム: 図形 247804">
          <a:extLst>
            <a:ext uri="{FF2B5EF4-FFF2-40B4-BE49-F238E27FC236}">
              <a16:creationId xmlns:a16="http://schemas.microsoft.com/office/drawing/2014/main" id="{7043F3EC-019C-4B29-A8AD-3B50A7D02856}"/>
            </a:ext>
          </a:extLst>
        </xdr:cNvPr>
        <xdr:cNvSpPr>
          <a:spLocks noChangeAspect="1"/>
        </xdr:cNvSpPr>
      </xdr:nvSpPr>
      <xdr:spPr>
        <a:xfrm>
          <a:off x="136656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102</xdr:row>
      <xdr:rowOff>69000</xdr:rowOff>
    </xdr:from>
    <xdr:to>
      <xdr:col>20</xdr:col>
      <xdr:colOff>525601</xdr:colOff>
      <xdr:row>107</xdr:row>
      <xdr:rowOff>3751</xdr:rowOff>
    </xdr:to>
    <xdr:sp macro="" textlink="">
      <xdr:nvSpPr>
        <xdr:cNvPr id="247806" name="フリーフォーム: 図形 247805">
          <a:extLst>
            <a:ext uri="{FF2B5EF4-FFF2-40B4-BE49-F238E27FC236}">
              <a16:creationId xmlns:a16="http://schemas.microsoft.com/office/drawing/2014/main" id="{A8831CB7-F6E7-4E90-8F0B-6CC6C9CA63B2}"/>
            </a:ext>
          </a:extLst>
        </xdr:cNvPr>
        <xdr:cNvSpPr>
          <a:spLocks noChangeAspect="1"/>
        </xdr:cNvSpPr>
      </xdr:nvSpPr>
      <xdr:spPr>
        <a:xfrm>
          <a:off x="137196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107</xdr:row>
      <xdr:rowOff>75750</xdr:rowOff>
    </xdr:from>
    <xdr:to>
      <xdr:col>20</xdr:col>
      <xdr:colOff>237600</xdr:colOff>
      <xdr:row>111</xdr:row>
      <xdr:rowOff>163951</xdr:rowOff>
    </xdr:to>
    <xdr:sp macro="" textlink="">
      <xdr:nvSpPr>
        <xdr:cNvPr id="247807" name="フリーフォーム: 図形 247806">
          <a:extLst>
            <a:ext uri="{FF2B5EF4-FFF2-40B4-BE49-F238E27FC236}">
              <a16:creationId xmlns:a16="http://schemas.microsoft.com/office/drawing/2014/main" id="{F6D7B2E2-18A1-4E76-9629-88FD271B00B7}"/>
            </a:ext>
          </a:extLst>
        </xdr:cNvPr>
        <xdr:cNvSpPr>
          <a:spLocks noChangeAspect="1"/>
        </xdr:cNvSpPr>
      </xdr:nvSpPr>
      <xdr:spPr>
        <a:xfrm>
          <a:off x="136836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107</xdr:row>
      <xdr:rowOff>93749</xdr:rowOff>
    </xdr:from>
    <xdr:to>
      <xdr:col>19</xdr:col>
      <xdr:colOff>653401</xdr:colOff>
      <xdr:row>112</xdr:row>
      <xdr:rowOff>118501</xdr:rowOff>
    </xdr:to>
    <xdr:sp macro="" textlink="">
      <xdr:nvSpPr>
        <xdr:cNvPr id="247808" name="フリーフォーム: 図形 247807">
          <a:extLst>
            <a:ext uri="{FF2B5EF4-FFF2-40B4-BE49-F238E27FC236}">
              <a16:creationId xmlns:a16="http://schemas.microsoft.com/office/drawing/2014/main" id="{2A8A69BF-E27F-46CE-92B2-78A568F0F392}"/>
            </a:ext>
          </a:extLst>
        </xdr:cNvPr>
        <xdr:cNvSpPr>
          <a:spLocks noChangeAspect="1"/>
        </xdr:cNvSpPr>
      </xdr:nvSpPr>
      <xdr:spPr>
        <a:xfrm>
          <a:off x="134496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107</xdr:row>
      <xdr:rowOff>75750</xdr:rowOff>
    </xdr:from>
    <xdr:to>
      <xdr:col>19</xdr:col>
      <xdr:colOff>617401</xdr:colOff>
      <xdr:row>112</xdr:row>
      <xdr:rowOff>10501</xdr:rowOff>
    </xdr:to>
    <xdr:sp macro="" textlink="">
      <xdr:nvSpPr>
        <xdr:cNvPr id="247809" name="フリーフォーム: 図形 247808">
          <a:extLst>
            <a:ext uri="{FF2B5EF4-FFF2-40B4-BE49-F238E27FC236}">
              <a16:creationId xmlns:a16="http://schemas.microsoft.com/office/drawing/2014/main" id="{94FB28A4-9043-4308-A53B-915AA95DB902}"/>
            </a:ext>
          </a:extLst>
        </xdr:cNvPr>
        <xdr:cNvSpPr>
          <a:spLocks noChangeAspect="1"/>
        </xdr:cNvSpPr>
      </xdr:nvSpPr>
      <xdr:spPr>
        <a:xfrm>
          <a:off x="131256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101</xdr:row>
      <xdr:rowOff>42450</xdr:rowOff>
    </xdr:from>
    <xdr:to>
      <xdr:col>22</xdr:col>
      <xdr:colOff>550801</xdr:colOff>
      <xdr:row>102</xdr:row>
      <xdr:rowOff>15002</xdr:rowOff>
    </xdr:to>
    <xdr:sp macro="" textlink="">
      <xdr:nvSpPr>
        <xdr:cNvPr id="247810" name="フリーフォーム: 図形 247809">
          <a:extLst>
            <a:ext uri="{FF2B5EF4-FFF2-40B4-BE49-F238E27FC236}">
              <a16:creationId xmlns:a16="http://schemas.microsoft.com/office/drawing/2014/main" id="{CD691B92-A0BD-4DA0-9393-8BD1C450228D}"/>
            </a:ext>
          </a:extLst>
        </xdr:cNvPr>
        <xdr:cNvSpPr>
          <a:spLocks noChangeAspect="1"/>
        </xdr:cNvSpPr>
      </xdr:nvSpPr>
      <xdr:spPr>
        <a:xfrm>
          <a:off x="151704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101</xdr:row>
      <xdr:rowOff>42450</xdr:rowOff>
    </xdr:from>
    <xdr:to>
      <xdr:col>23</xdr:col>
      <xdr:colOff>405001</xdr:colOff>
      <xdr:row>102</xdr:row>
      <xdr:rowOff>15002</xdr:rowOff>
    </xdr:to>
    <xdr:sp macro="" textlink="">
      <xdr:nvSpPr>
        <xdr:cNvPr id="247811" name="フリーフォーム: 図形 247810">
          <a:extLst>
            <a:ext uri="{FF2B5EF4-FFF2-40B4-BE49-F238E27FC236}">
              <a16:creationId xmlns:a16="http://schemas.microsoft.com/office/drawing/2014/main" id="{6FC75D91-399F-4CB7-A78D-E9627DEC4436}"/>
            </a:ext>
          </a:extLst>
        </xdr:cNvPr>
        <xdr:cNvSpPr>
          <a:spLocks noChangeAspect="1"/>
        </xdr:cNvSpPr>
      </xdr:nvSpPr>
      <xdr:spPr>
        <a:xfrm>
          <a:off x="157104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101</xdr:row>
      <xdr:rowOff>114450</xdr:rowOff>
    </xdr:from>
    <xdr:to>
      <xdr:col>23</xdr:col>
      <xdr:colOff>477001</xdr:colOff>
      <xdr:row>107</xdr:row>
      <xdr:rowOff>21752</xdr:rowOff>
    </xdr:to>
    <xdr:sp macro="" textlink="">
      <xdr:nvSpPr>
        <xdr:cNvPr id="247812" name="フリーフォーム: 図形 247811">
          <a:extLst>
            <a:ext uri="{FF2B5EF4-FFF2-40B4-BE49-F238E27FC236}">
              <a16:creationId xmlns:a16="http://schemas.microsoft.com/office/drawing/2014/main" id="{17CAF329-F76D-4C73-A449-182575FF4AB9}"/>
            </a:ext>
          </a:extLst>
        </xdr:cNvPr>
        <xdr:cNvSpPr>
          <a:spLocks noChangeAspect="1"/>
        </xdr:cNvSpPr>
      </xdr:nvSpPr>
      <xdr:spPr>
        <a:xfrm>
          <a:off x="159623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107</xdr:row>
      <xdr:rowOff>75750</xdr:rowOff>
    </xdr:from>
    <xdr:to>
      <xdr:col>23</xdr:col>
      <xdr:colOff>297001</xdr:colOff>
      <xdr:row>112</xdr:row>
      <xdr:rowOff>136501</xdr:rowOff>
    </xdr:to>
    <xdr:sp macro="" textlink="">
      <xdr:nvSpPr>
        <xdr:cNvPr id="247813" name="フリーフォーム: 図形 247812">
          <a:extLst>
            <a:ext uri="{FF2B5EF4-FFF2-40B4-BE49-F238E27FC236}">
              <a16:creationId xmlns:a16="http://schemas.microsoft.com/office/drawing/2014/main" id="{5846F945-0378-4BB2-ADD1-E6BA129EA6E5}"/>
            </a:ext>
          </a:extLst>
        </xdr:cNvPr>
        <xdr:cNvSpPr>
          <a:spLocks noChangeAspect="1"/>
        </xdr:cNvSpPr>
      </xdr:nvSpPr>
      <xdr:spPr>
        <a:xfrm>
          <a:off x="157823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112</xdr:row>
      <xdr:rowOff>64500</xdr:rowOff>
    </xdr:from>
    <xdr:to>
      <xdr:col>22</xdr:col>
      <xdr:colOff>226801</xdr:colOff>
      <xdr:row>113</xdr:row>
      <xdr:rowOff>37051</xdr:rowOff>
    </xdr:to>
    <xdr:sp macro="" textlink="">
      <xdr:nvSpPr>
        <xdr:cNvPr id="247814" name="フリーフォーム: 図形 247813">
          <a:extLst>
            <a:ext uri="{FF2B5EF4-FFF2-40B4-BE49-F238E27FC236}">
              <a16:creationId xmlns:a16="http://schemas.microsoft.com/office/drawing/2014/main" id="{F007AB82-42EF-432D-9DFE-4ED61314CB56}"/>
            </a:ext>
          </a:extLst>
        </xdr:cNvPr>
        <xdr:cNvSpPr>
          <a:spLocks noChangeAspect="1"/>
        </xdr:cNvSpPr>
      </xdr:nvSpPr>
      <xdr:spPr>
        <a:xfrm>
          <a:off x="148284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112</xdr:row>
      <xdr:rowOff>64500</xdr:rowOff>
    </xdr:from>
    <xdr:to>
      <xdr:col>23</xdr:col>
      <xdr:colOff>45001</xdr:colOff>
      <xdr:row>113</xdr:row>
      <xdr:rowOff>37051</xdr:rowOff>
    </xdr:to>
    <xdr:sp macro="" textlink="">
      <xdr:nvSpPr>
        <xdr:cNvPr id="247815" name="フリーフォーム: 図形 247814">
          <a:extLst>
            <a:ext uri="{FF2B5EF4-FFF2-40B4-BE49-F238E27FC236}">
              <a16:creationId xmlns:a16="http://schemas.microsoft.com/office/drawing/2014/main" id="{CCAD07E4-080F-4B60-8726-BB533D5249EE}"/>
            </a:ext>
          </a:extLst>
        </xdr:cNvPr>
        <xdr:cNvSpPr>
          <a:spLocks noChangeAspect="1"/>
        </xdr:cNvSpPr>
      </xdr:nvSpPr>
      <xdr:spPr>
        <a:xfrm>
          <a:off x="153503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107</xdr:row>
      <xdr:rowOff>75750</xdr:rowOff>
    </xdr:from>
    <xdr:to>
      <xdr:col>21</xdr:col>
      <xdr:colOff>660601</xdr:colOff>
      <xdr:row>112</xdr:row>
      <xdr:rowOff>136501</xdr:rowOff>
    </xdr:to>
    <xdr:sp macro="" textlink="">
      <xdr:nvSpPr>
        <xdr:cNvPr id="247816" name="フリーフォーム: 図形 247815">
          <a:extLst>
            <a:ext uri="{FF2B5EF4-FFF2-40B4-BE49-F238E27FC236}">
              <a16:creationId xmlns:a16="http://schemas.microsoft.com/office/drawing/2014/main" id="{B83D7803-CE5E-4499-A21A-E54F3B5BDD66}"/>
            </a:ext>
          </a:extLst>
        </xdr:cNvPr>
        <xdr:cNvSpPr>
          <a:spLocks noChangeAspect="1"/>
        </xdr:cNvSpPr>
      </xdr:nvSpPr>
      <xdr:spPr>
        <a:xfrm>
          <a:off x="14774401" y="186876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101</xdr:row>
      <xdr:rowOff>114450</xdr:rowOff>
    </xdr:from>
    <xdr:to>
      <xdr:col>22</xdr:col>
      <xdr:colOff>118802</xdr:colOff>
      <xdr:row>107</xdr:row>
      <xdr:rowOff>21752</xdr:rowOff>
    </xdr:to>
    <xdr:sp macro="" textlink="">
      <xdr:nvSpPr>
        <xdr:cNvPr id="247817" name="フリーフォーム: 図形 247816">
          <a:extLst>
            <a:ext uri="{FF2B5EF4-FFF2-40B4-BE49-F238E27FC236}">
              <a16:creationId xmlns:a16="http://schemas.microsoft.com/office/drawing/2014/main" id="{09F73196-50B3-41E1-BFE2-1F0F632D7A9A}"/>
            </a:ext>
          </a:extLst>
        </xdr:cNvPr>
        <xdr:cNvSpPr>
          <a:spLocks noChangeAspect="1"/>
        </xdr:cNvSpPr>
      </xdr:nvSpPr>
      <xdr:spPr>
        <a:xfrm>
          <a:off x="149544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106</xdr:row>
      <xdr:rowOff>139199</xdr:rowOff>
    </xdr:from>
    <xdr:to>
      <xdr:col>22</xdr:col>
      <xdr:colOff>388801</xdr:colOff>
      <xdr:row>107</xdr:row>
      <xdr:rowOff>111751</xdr:rowOff>
    </xdr:to>
    <xdr:sp macro="" textlink="">
      <xdr:nvSpPr>
        <xdr:cNvPr id="247818" name="フリーフォーム: 図形 247817">
          <a:extLst>
            <a:ext uri="{FF2B5EF4-FFF2-40B4-BE49-F238E27FC236}">
              <a16:creationId xmlns:a16="http://schemas.microsoft.com/office/drawing/2014/main" id="{7302A6E6-0F4F-42BB-9916-5C7E31AC6572}"/>
            </a:ext>
          </a:extLst>
        </xdr:cNvPr>
        <xdr:cNvSpPr>
          <a:spLocks noChangeAspect="1"/>
        </xdr:cNvSpPr>
      </xdr:nvSpPr>
      <xdr:spPr>
        <a:xfrm>
          <a:off x="150264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106</xdr:row>
      <xdr:rowOff>139199</xdr:rowOff>
    </xdr:from>
    <xdr:to>
      <xdr:col>23</xdr:col>
      <xdr:colOff>207001</xdr:colOff>
      <xdr:row>107</xdr:row>
      <xdr:rowOff>111751</xdr:rowOff>
    </xdr:to>
    <xdr:sp macro="" textlink="">
      <xdr:nvSpPr>
        <xdr:cNvPr id="247819" name="フリーフォーム: 図形 247818">
          <a:extLst>
            <a:ext uri="{FF2B5EF4-FFF2-40B4-BE49-F238E27FC236}">
              <a16:creationId xmlns:a16="http://schemas.microsoft.com/office/drawing/2014/main" id="{CA5257A5-B1B4-4A12-B025-07933F852B88}"/>
            </a:ext>
          </a:extLst>
        </xdr:cNvPr>
        <xdr:cNvSpPr>
          <a:spLocks noChangeAspect="1"/>
        </xdr:cNvSpPr>
      </xdr:nvSpPr>
      <xdr:spPr>
        <a:xfrm>
          <a:off x="155303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102</xdr:row>
      <xdr:rowOff>51000</xdr:rowOff>
    </xdr:from>
    <xdr:to>
      <xdr:col>22</xdr:col>
      <xdr:colOff>406801</xdr:colOff>
      <xdr:row>107</xdr:row>
      <xdr:rowOff>3751</xdr:rowOff>
    </xdr:to>
    <xdr:sp macro="" textlink="">
      <xdr:nvSpPr>
        <xdr:cNvPr id="247820" name="フリーフォーム: 図形 247819">
          <a:extLst>
            <a:ext uri="{FF2B5EF4-FFF2-40B4-BE49-F238E27FC236}">
              <a16:creationId xmlns:a16="http://schemas.microsoft.com/office/drawing/2014/main" id="{7B57EECD-097C-4D5E-B2E7-D509DFF12729}"/>
            </a:ext>
          </a:extLst>
        </xdr:cNvPr>
        <xdr:cNvSpPr>
          <a:spLocks noChangeAspect="1"/>
        </xdr:cNvSpPr>
      </xdr:nvSpPr>
      <xdr:spPr>
        <a:xfrm>
          <a:off x="152243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101</xdr:row>
      <xdr:rowOff>114450</xdr:rowOff>
    </xdr:from>
    <xdr:to>
      <xdr:col>22</xdr:col>
      <xdr:colOff>658801</xdr:colOff>
      <xdr:row>106</xdr:row>
      <xdr:rowOff>157201</xdr:rowOff>
    </xdr:to>
    <xdr:sp macro="" textlink="">
      <xdr:nvSpPr>
        <xdr:cNvPr id="247821" name="フリーフォーム: 図形 247820">
          <a:extLst>
            <a:ext uri="{FF2B5EF4-FFF2-40B4-BE49-F238E27FC236}">
              <a16:creationId xmlns:a16="http://schemas.microsoft.com/office/drawing/2014/main" id="{B0B783F5-4DF9-4164-A6E0-934597BEE928}"/>
            </a:ext>
          </a:extLst>
        </xdr:cNvPr>
        <xdr:cNvSpPr>
          <a:spLocks noChangeAspect="1"/>
        </xdr:cNvSpPr>
      </xdr:nvSpPr>
      <xdr:spPr>
        <a:xfrm>
          <a:off x="154944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102</xdr:row>
      <xdr:rowOff>69000</xdr:rowOff>
    </xdr:from>
    <xdr:to>
      <xdr:col>23</xdr:col>
      <xdr:colOff>297001</xdr:colOff>
      <xdr:row>107</xdr:row>
      <xdr:rowOff>3751</xdr:rowOff>
    </xdr:to>
    <xdr:sp macro="" textlink="">
      <xdr:nvSpPr>
        <xdr:cNvPr id="247822" name="フリーフォーム: 図形 247821">
          <a:extLst>
            <a:ext uri="{FF2B5EF4-FFF2-40B4-BE49-F238E27FC236}">
              <a16:creationId xmlns:a16="http://schemas.microsoft.com/office/drawing/2014/main" id="{A660B53A-6CD8-47EC-ADB6-6797A6692E5E}"/>
            </a:ext>
          </a:extLst>
        </xdr:cNvPr>
        <xdr:cNvSpPr>
          <a:spLocks noChangeAspect="1"/>
        </xdr:cNvSpPr>
      </xdr:nvSpPr>
      <xdr:spPr>
        <a:xfrm>
          <a:off x="155484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107</xdr:row>
      <xdr:rowOff>75750</xdr:rowOff>
    </xdr:from>
    <xdr:to>
      <xdr:col>23</xdr:col>
      <xdr:colOff>9000</xdr:colOff>
      <xdr:row>111</xdr:row>
      <xdr:rowOff>163951</xdr:rowOff>
    </xdr:to>
    <xdr:sp macro="" textlink="">
      <xdr:nvSpPr>
        <xdr:cNvPr id="247823" name="フリーフォーム: 図形 247822">
          <a:extLst>
            <a:ext uri="{FF2B5EF4-FFF2-40B4-BE49-F238E27FC236}">
              <a16:creationId xmlns:a16="http://schemas.microsoft.com/office/drawing/2014/main" id="{E07EF1CC-0875-4D8B-92FE-762AAE441CA1}"/>
            </a:ext>
          </a:extLst>
        </xdr:cNvPr>
        <xdr:cNvSpPr>
          <a:spLocks noChangeAspect="1"/>
        </xdr:cNvSpPr>
      </xdr:nvSpPr>
      <xdr:spPr>
        <a:xfrm>
          <a:off x="155124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107</xdr:row>
      <xdr:rowOff>93749</xdr:rowOff>
    </xdr:from>
    <xdr:to>
      <xdr:col>22</xdr:col>
      <xdr:colOff>424801</xdr:colOff>
      <xdr:row>112</xdr:row>
      <xdr:rowOff>118501</xdr:rowOff>
    </xdr:to>
    <xdr:sp macro="" textlink="">
      <xdr:nvSpPr>
        <xdr:cNvPr id="247824" name="フリーフォーム: 図形 247823">
          <a:extLst>
            <a:ext uri="{FF2B5EF4-FFF2-40B4-BE49-F238E27FC236}">
              <a16:creationId xmlns:a16="http://schemas.microsoft.com/office/drawing/2014/main" id="{61A15C6F-BBFE-4B11-86BB-3C0DE405A935}"/>
            </a:ext>
          </a:extLst>
        </xdr:cNvPr>
        <xdr:cNvSpPr>
          <a:spLocks noChangeAspect="1"/>
        </xdr:cNvSpPr>
      </xdr:nvSpPr>
      <xdr:spPr>
        <a:xfrm>
          <a:off x="152784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107</xdr:row>
      <xdr:rowOff>75750</xdr:rowOff>
    </xdr:from>
    <xdr:to>
      <xdr:col>22</xdr:col>
      <xdr:colOff>388801</xdr:colOff>
      <xdr:row>112</xdr:row>
      <xdr:rowOff>10501</xdr:rowOff>
    </xdr:to>
    <xdr:sp macro="" textlink="">
      <xdr:nvSpPr>
        <xdr:cNvPr id="247825" name="フリーフォーム: 図形 247824">
          <a:extLst>
            <a:ext uri="{FF2B5EF4-FFF2-40B4-BE49-F238E27FC236}">
              <a16:creationId xmlns:a16="http://schemas.microsoft.com/office/drawing/2014/main" id="{D6CCD49A-105E-4253-8522-766DEEEE5E0C}"/>
            </a:ext>
          </a:extLst>
        </xdr:cNvPr>
        <xdr:cNvSpPr>
          <a:spLocks noChangeAspect="1"/>
        </xdr:cNvSpPr>
      </xdr:nvSpPr>
      <xdr:spPr>
        <a:xfrm>
          <a:off x="149544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101</xdr:row>
      <xdr:rowOff>42450</xdr:rowOff>
    </xdr:from>
    <xdr:to>
      <xdr:col>25</xdr:col>
      <xdr:colOff>322201</xdr:colOff>
      <xdr:row>102</xdr:row>
      <xdr:rowOff>15002</xdr:rowOff>
    </xdr:to>
    <xdr:sp macro="" textlink="">
      <xdr:nvSpPr>
        <xdr:cNvPr id="247826" name="フリーフォーム: 図形 247825">
          <a:extLst>
            <a:ext uri="{FF2B5EF4-FFF2-40B4-BE49-F238E27FC236}">
              <a16:creationId xmlns:a16="http://schemas.microsoft.com/office/drawing/2014/main" id="{705364D6-148E-4581-898A-309B5A899971}"/>
            </a:ext>
          </a:extLst>
        </xdr:cNvPr>
        <xdr:cNvSpPr>
          <a:spLocks noChangeAspect="1"/>
        </xdr:cNvSpPr>
      </xdr:nvSpPr>
      <xdr:spPr>
        <a:xfrm>
          <a:off x="169992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101</xdr:row>
      <xdr:rowOff>42450</xdr:rowOff>
    </xdr:from>
    <xdr:to>
      <xdr:col>26</xdr:col>
      <xdr:colOff>176401</xdr:colOff>
      <xdr:row>102</xdr:row>
      <xdr:rowOff>15002</xdr:rowOff>
    </xdr:to>
    <xdr:sp macro="" textlink="">
      <xdr:nvSpPr>
        <xdr:cNvPr id="247827" name="フリーフォーム: 図形 247826">
          <a:extLst>
            <a:ext uri="{FF2B5EF4-FFF2-40B4-BE49-F238E27FC236}">
              <a16:creationId xmlns:a16="http://schemas.microsoft.com/office/drawing/2014/main" id="{B839B028-4490-4C06-9BA4-3953DB54A906}"/>
            </a:ext>
          </a:extLst>
        </xdr:cNvPr>
        <xdr:cNvSpPr>
          <a:spLocks noChangeAspect="1"/>
        </xdr:cNvSpPr>
      </xdr:nvSpPr>
      <xdr:spPr>
        <a:xfrm>
          <a:off x="175392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101</xdr:row>
      <xdr:rowOff>114450</xdr:rowOff>
    </xdr:from>
    <xdr:to>
      <xdr:col>26</xdr:col>
      <xdr:colOff>248401</xdr:colOff>
      <xdr:row>107</xdr:row>
      <xdr:rowOff>21752</xdr:rowOff>
    </xdr:to>
    <xdr:sp macro="" textlink="">
      <xdr:nvSpPr>
        <xdr:cNvPr id="247828" name="フリーフォーム: 図形 247827">
          <a:extLst>
            <a:ext uri="{FF2B5EF4-FFF2-40B4-BE49-F238E27FC236}">
              <a16:creationId xmlns:a16="http://schemas.microsoft.com/office/drawing/2014/main" id="{1936C477-7493-4341-847E-EBC0D056A5C6}"/>
            </a:ext>
          </a:extLst>
        </xdr:cNvPr>
        <xdr:cNvSpPr>
          <a:spLocks noChangeAspect="1"/>
        </xdr:cNvSpPr>
      </xdr:nvSpPr>
      <xdr:spPr>
        <a:xfrm>
          <a:off x="177911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107</xdr:row>
      <xdr:rowOff>75750</xdr:rowOff>
    </xdr:from>
    <xdr:to>
      <xdr:col>26</xdr:col>
      <xdr:colOff>68401</xdr:colOff>
      <xdr:row>112</xdr:row>
      <xdr:rowOff>136501</xdr:rowOff>
    </xdr:to>
    <xdr:sp macro="" textlink="">
      <xdr:nvSpPr>
        <xdr:cNvPr id="247829" name="フリーフォーム: 図形 247828">
          <a:extLst>
            <a:ext uri="{FF2B5EF4-FFF2-40B4-BE49-F238E27FC236}">
              <a16:creationId xmlns:a16="http://schemas.microsoft.com/office/drawing/2014/main" id="{F5769F02-0F2F-4C8A-9344-B20C708DA993}"/>
            </a:ext>
          </a:extLst>
        </xdr:cNvPr>
        <xdr:cNvSpPr>
          <a:spLocks noChangeAspect="1"/>
        </xdr:cNvSpPr>
      </xdr:nvSpPr>
      <xdr:spPr>
        <a:xfrm>
          <a:off x="176111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112</xdr:row>
      <xdr:rowOff>64500</xdr:rowOff>
    </xdr:from>
    <xdr:to>
      <xdr:col>24</xdr:col>
      <xdr:colOff>684001</xdr:colOff>
      <xdr:row>113</xdr:row>
      <xdr:rowOff>37051</xdr:rowOff>
    </xdr:to>
    <xdr:sp macro="" textlink="">
      <xdr:nvSpPr>
        <xdr:cNvPr id="247830" name="フリーフォーム: 図形 247829">
          <a:extLst>
            <a:ext uri="{FF2B5EF4-FFF2-40B4-BE49-F238E27FC236}">
              <a16:creationId xmlns:a16="http://schemas.microsoft.com/office/drawing/2014/main" id="{2D36EB9E-4F34-4568-8D4B-59C8CE07B8D1}"/>
            </a:ext>
          </a:extLst>
        </xdr:cNvPr>
        <xdr:cNvSpPr>
          <a:spLocks noChangeAspect="1"/>
        </xdr:cNvSpPr>
      </xdr:nvSpPr>
      <xdr:spPr>
        <a:xfrm>
          <a:off x="166572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112</xdr:row>
      <xdr:rowOff>64500</xdr:rowOff>
    </xdr:from>
    <xdr:to>
      <xdr:col>25</xdr:col>
      <xdr:colOff>502201</xdr:colOff>
      <xdr:row>113</xdr:row>
      <xdr:rowOff>37051</xdr:rowOff>
    </xdr:to>
    <xdr:sp macro="" textlink="">
      <xdr:nvSpPr>
        <xdr:cNvPr id="247831" name="フリーフォーム: 図形 247830">
          <a:extLst>
            <a:ext uri="{FF2B5EF4-FFF2-40B4-BE49-F238E27FC236}">
              <a16:creationId xmlns:a16="http://schemas.microsoft.com/office/drawing/2014/main" id="{F794F17A-9103-4A12-8E61-B6A049D1DC8E}"/>
            </a:ext>
          </a:extLst>
        </xdr:cNvPr>
        <xdr:cNvSpPr>
          <a:spLocks noChangeAspect="1"/>
        </xdr:cNvSpPr>
      </xdr:nvSpPr>
      <xdr:spPr>
        <a:xfrm>
          <a:off x="171791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107</xdr:row>
      <xdr:rowOff>75750</xdr:rowOff>
    </xdr:from>
    <xdr:to>
      <xdr:col>24</xdr:col>
      <xdr:colOff>432001</xdr:colOff>
      <xdr:row>112</xdr:row>
      <xdr:rowOff>136501</xdr:rowOff>
    </xdr:to>
    <xdr:sp macro="" textlink="">
      <xdr:nvSpPr>
        <xdr:cNvPr id="247832" name="フリーフォーム: 図形 247831">
          <a:extLst>
            <a:ext uri="{FF2B5EF4-FFF2-40B4-BE49-F238E27FC236}">
              <a16:creationId xmlns:a16="http://schemas.microsoft.com/office/drawing/2014/main" id="{AAC1C875-1739-411C-834E-59AD4A8463A0}"/>
            </a:ext>
          </a:extLst>
        </xdr:cNvPr>
        <xdr:cNvSpPr>
          <a:spLocks noChangeAspect="1"/>
        </xdr:cNvSpPr>
      </xdr:nvSpPr>
      <xdr:spPr>
        <a:xfrm>
          <a:off x="16603201" y="186876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101</xdr:row>
      <xdr:rowOff>114450</xdr:rowOff>
    </xdr:from>
    <xdr:to>
      <xdr:col>24</xdr:col>
      <xdr:colOff>576002</xdr:colOff>
      <xdr:row>107</xdr:row>
      <xdr:rowOff>21752</xdr:rowOff>
    </xdr:to>
    <xdr:sp macro="" textlink="">
      <xdr:nvSpPr>
        <xdr:cNvPr id="247833" name="フリーフォーム: 図形 247832">
          <a:extLst>
            <a:ext uri="{FF2B5EF4-FFF2-40B4-BE49-F238E27FC236}">
              <a16:creationId xmlns:a16="http://schemas.microsoft.com/office/drawing/2014/main" id="{32197D98-25FC-418C-9961-4C05606DFA8B}"/>
            </a:ext>
          </a:extLst>
        </xdr:cNvPr>
        <xdr:cNvSpPr>
          <a:spLocks noChangeAspect="1"/>
        </xdr:cNvSpPr>
      </xdr:nvSpPr>
      <xdr:spPr>
        <a:xfrm>
          <a:off x="167832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106</xdr:row>
      <xdr:rowOff>139199</xdr:rowOff>
    </xdr:from>
    <xdr:to>
      <xdr:col>25</xdr:col>
      <xdr:colOff>160201</xdr:colOff>
      <xdr:row>107</xdr:row>
      <xdr:rowOff>111751</xdr:rowOff>
    </xdr:to>
    <xdr:sp macro="" textlink="">
      <xdr:nvSpPr>
        <xdr:cNvPr id="247834" name="フリーフォーム: 図形 247833">
          <a:extLst>
            <a:ext uri="{FF2B5EF4-FFF2-40B4-BE49-F238E27FC236}">
              <a16:creationId xmlns:a16="http://schemas.microsoft.com/office/drawing/2014/main" id="{B721AF4A-95A7-49D6-936D-CB313DCFA252}"/>
            </a:ext>
          </a:extLst>
        </xdr:cNvPr>
        <xdr:cNvSpPr>
          <a:spLocks noChangeAspect="1"/>
        </xdr:cNvSpPr>
      </xdr:nvSpPr>
      <xdr:spPr>
        <a:xfrm>
          <a:off x="168552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106</xdr:row>
      <xdr:rowOff>139199</xdr:rowOff>
    </xdr:from>
    <xdr:to>
      <xdr:col>25</xdr:col>
      <xdr:colOff>664201</xdr:colOff>
      <xdr:row>107</xdr:row>
      <xdr:rowOff>111751</xdr:rowOff>
    </xdr:to>
    <xdr:sp macro="" textlink="">
      <xdr:nvSpPr>
        <xdr:cNvPr id="247835" name="フリーフォーム: 図形 247834">
          <a:extLst>
            <a:ext uri="{FF2B5EF4-FFF2-40B4-BE49-F238E27FC236}">
              <a16:creationId xmlns:a16="http://schemas.microsoft.com/office/drawing/2014/main" id="{941ED4AF-5704-42DE-8F18-D8D4D247DF79}"/>
            </a:ext>
          </a:extLst>
        </xdr:cNvPr>
        <xdr:cNvSpPr>
          <a:spLocks noChangeAspect="1"/>
        </xdr:cNvSpPr>
      </xdr:nvSpPr>
      <xdr:spPr>
        <a:xfrm>
          <a:off x="173591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102</xdr:row>
      <xdr:rowOff>51000</xdr:rowOff>
    </xdr:from>
    <xdr:to>
      <xdr:col>25</xdr:col>
      <xdr:colOff>178201</xdr:colOff>
      <xdr:row>107</xdr:row>
      <xdr:rowOff>3751</xdr:rowOff>
    </xdr:to>
    <xdr:sp macro="" textlink="">
      <xdr:nvSpPr>
        <xdr:cNvPr id="247836" name="フリーフォーム: 図形 247835">
          <a:extLst>
            <a:ext uri="{FF2B5EF4-FFF2-40B4-BE49-F238E27FC236}">
              <a16:creationId xmlns:a16="http://schemas.microsoft.com/office/drawing/2014/main" id="{482037D9-C84F-4DBB-9931-9103FE946089}"/>
            </a:ext>
          </a:extLst>
        </xdr:cNvPr>
        <xdr:cNvSpPr>
          <a:spLocks noChangeAspect="1"/>
        </xdr:cNvSpPr>
      </xdr:nvSpPr>
      <xdr:spPr>
        <a:xfrm>
          <a:off x="170531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101</xdr:row>
      <xdr:rowOff>114450</xdr:rowOff>
    </xdr:from>
    <xdr:to>
      <xdr:col>25</xdr:col>
      <xdr:colOff>430201</xdr:colOff>
      <xdr:row>106</xdr:row>
      <xdr:rowOff>157201</xdr:rowOff>
    </xdr:to>
    <xdr:sp macro="" textlink="">
      <xdr:nvSpPr>
        <xdr:cNvPr id="247837" name="フリーフォーム: 図形 247836">
          <a:extLst>
            <a:ext uri="{FF2B5EF4-FFF2-40B4-BE49-F238E27FC236}">
              <a16:creationId xmlns:a16="http://schemas.microsoft.com/office/drawing/2014/main" id="{0AC6CE63-A65C-407E-8208-B65FF12476FB}"/>
            </a:ext>
          </a:extLst>
        </xdr:cNvPr>
        <xdr:cNvSpPr>
          <a:spLocks noChangeAspect="1"/>
        </xdr:cNvSpPr>
      </xdr:nvSpPr>
      <xdr:spPr>
        <a:xfrm>
          <a:off x="173232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102</xdr:row>
      <xdr:rowOff>69000</xdr:rowOff>
    </xdr:from>
    <xdr:to>
      <xdr:col>26</xdr:col>
      <xdr:colOff>68401</xdr:colOff>
      <xdr:row>107</xdr:row>
      <xdr:rowOff>3751</xdr:rowOff>
    </xdr:to>
    <xdr:sp macro="" textlink="">
      <xdr:nvSpPr>
        <xdr:cNvPr id="247838" name="フリーフォーム: 図形 247837">
          <a:extLst>
            <a:ext uri="{FF2B5EF4-FFF2-40B4-BE49-F238E27FC236}">
              <a16:creationId xmlns:a16="http://schemas.microsoft.com/office/drawing/2014/main" id="{0C20E5D4-1E76-4BF1-B26A-4BA06118F3A9}"/>
            </a:ext>
          </a:extLst>
        </xdr:cNvPr>
        <xdr:cNvSpPr>
          <a:spLocks noChangeAspect="1"/>
        </xdr:cNvSpPr>
      </xdr:nvSpPr>
      <xdr:spPr>
        <a:xfrm>
          <a:off x="173772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107</xdr:row>
      <xdr:rowOff>75750</xdr:rowOff>
    </xdr:from>
    <xdr:to>
      <xdr:col>25</xdr:col>
      <xdr:colOff>466200</xdr:colOff>
      <xdr:row>111</xdr:row>
      <xdr:rowOff>163951</xdr:rowOff>
    </xdr:to>
    <xdr:sp macro="" textlink="">
      <xdr:nvSpPr>
        <xdr:cNvPr id="247839" name="フリーフォーム: 図形 247838">
          <a:extLst>
            <a:ext uri="{FF2B5EF4-FFF2-40B4-BE49-F238E27FC236}">
              <a16:creationId xmlns:a16="http://schemas.microsoft.com/office/drawing/2014/main" id="{85FB63FD-79AC-4A12-9F5F-B9E0A368C8EC}"/>
            </a:ext>
          </a:extLst>
        </xdr:cNvPr>
        <xdr:cNvSpPr>
          <a:spLocks noChangeAspect="1"/>
        </xdr:cNvSpPr>
      </xdr:nvSpPr>
      <xdr:spPr>
        <a:xfrm>
          <a:off x="173412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107</xdr:row>
      <xdr:rowOff>93749</xdr:rowOff>
    </xdr:from>
    <xdr:to>
      <xdr:col>25</xdr:col>
      <xdr:colOff>196201</xdr:colOff>
      <xdr:row>112</xdr:row>
      <xdr:rowOff>118501</xdr:rowOff>
    </xdr:to>
    <xdr:sp macro="" textlink="">
      <xdr:nvSpPr>
        <xdr:cNvPr id="247840" name="フリーフォーム: 図形 247839">
          <a:extLst>
            <a:ext uri="{FF2B5EF4-FFF2-40B4-BE49-F238E27FC236}">
              <a16:creationId xmlns:a16="http://schemas.microsoft.com/office/drawing/2014/main" id="{AD60067C-C5DD-4028-A5F8-4FF8C85CF78D}"/>
            </a:ext>
          </a:extLst>
        </xdr:cNvPr>
        <xdr:cNvSpPr>
          <a:spLocks noChangeAspect="1"/>
        </xdr:cNvSpPr>
      </xdr:nvSpPr>
      <xdr:spPr>
        <a:xfrm>
          <a:off x="171072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107</xdr:row>
      <xdr:rowOff>75750</xdr:rowOff>
    </xdr:from>
    <xdr:to>
      <xdr:col>25</xdr:col>
      <xdr:colOff>160201</xdr:colOff>
      <xdr:row>112</xdr:row>
      <xdr:rowOff>10501</xdr:rowOff>
    </xdr:to>
    <xdr:sp macro="" textlink="">
      <xdr:nvSpPr>
        <xdr:cNvPr id="247841" name="フリーフォーム: 図形 247840">
          <a:extLst>
            <a:ext uri="{FF2B5EF4-FFF2-40B4-BE49-F238E27FC236}">
              <a16:creationId xmlns:a16="http://schemas.microsoft.com/office/drawing/2014/main" id="{27CACDC6-1126-4BF0-9B8F-4687C7D6D0BB}"/>
            </a:ext>
          </a:extLst>
        </xdr:cNvPr>
        <xdr:cNvSpPr>
          <a:spLocks noChangeAspect="1"/>
        </xdr:cNvSpPr>
      </xdr:nvSpPr>
      <xdr:spPr>
        <a:xfrm>
          <a:off x="167832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101</xdr:row>
      <xdr:rowOff>42450</xdr:rowOff>
    </xdr:from>
    <xdr:to>
      <xdr:col>28</xdr:col>
      <xdr:colOff>93601</xdr:colOff>
      <xdr:row>102</xdr:row>
      <xdr:rowOff>15002</xdr:rowOff>
    </xdr:to>
    <xdr:sp macro="" textlink="">
      <xdr:nvSpPr>
        <xdr:cNvPr id="247842" name="フリーフォーム: 図形 247841">
          <a:extLst>
            <a:ext uri="{FF2B5EF4-FFF2-40B4-BE49-F238E27FC236}">
              <a16:creationId xmlns:a16="http://schemas.microsoft.com/office/drawing/2014/main" id="{B90B347A-4172-47E7-A11E-1A1D4D1E2CF2}"/>
            </a:ext>
          </a:extLst>
        </xdr:cNvPr>
        <xdr:cNvSpPr>
          <a:spLocks noChangeAspect="1"/>
        </xdr:cNvSpPr>
      </xdr:nvSpPr>
      <xdr:spPr>
        <a:xfrm>
          <a:off x="188280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101</xdr:row>
      <xdr:rowOff>42450</xdr:rowOff>
    </xdr:from>
    <xdr:to>
      <xdr:col>28</xdr:col>
      <xdr:colOff>633601</xdr:colOff>
      <xdr:row>102</xdr:row>
      <xdr:rowOff>15002</xdr:rowOff>
    </xdr:to>
    <xdr:sp macro="" textlink="">
      <xdr:nvSpPr>
        <xdr:cNvPr id="247843" name="フリーフォーム: 図形 247842">
          <a:extLst>
            <a:ext uri="{FF2B5EF4-FFF2-40B4-BE49-F238E27FC236}">
              <a16:creationId xmlns:a16="http://schemas.microsoft.com/office/drawing/2014/main" id="{52C5DB87-D8C4-44DE-A3D1-2FB222FEC031}"/>
            </a:ext>
          </a:extLst>
        </xdr:cNvPr>
        <xdr:cNvSpPr>
          <a:spLocks noChangeAspect="1"/>
        </xdr:cNvSpPr>
      </xdr:nvSpPr>
      <xdr:spPr>
        <a:xfrm>
          <a:off x="193680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101</xdr:row>
      <xdr:rowOff>114450</xdr:rowOff>
    </xdr:from>
    <xdr:to>
      <xdr:col>29</xdr:col>
      <xdr:colOff>19801</xdr:colOff>
      <xdr:row>107</xdr:row>
      <xdr:rowOff>21752</xdr:rowOff>
    </xdr:to>
    <xdr:sp macro="" textlink="">
      <xdr:nvSpPr>
        <xdr:cNvPr id="247844" name="フリーフォーム: 図形 247843">
          <a:extLst>
            <a:ext uri="{FF2B5EF4-FFF2-40B4-BE49-F238E27FC236}">
              <a16:creationId xmlns:a16="http://schemas.microsoft.com/office/drawing/2014/main" id="{1A5CAE4E-5D17-433F-911A-7F63F1EFAAFA}"/>
            </a:ext>
          </a:extLst>
        </xdr:cNvPr>
        <xdr:cNvSpPr>
          <a:spLocks noChangeAspect="1"/>
        </xdr:cNvSpPr>
      </xdr:nvSpPr>
      <xdr:spPr>
        <a:xfrm>
          <a:off x="196199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107</xdr:row>
      <xdr:rowOff>75750</xdr:rowOff>
    </xdr:from>
    <xdr:to>
      <xdr:col>28</xdr:col>
      <xdr:colOff>525601</xdr:colOff>
      <xdr:row>112</xdr:row>
      <xdr:rowOff>136501</xdr:rowOff>
    </xdr:to>
    <xdr:sp macro="" textlink="">
      <xdr:nvSpPr>
        <xdr:cNvPr id="247845" name="フリーフォーム: 図形 247844">
          <a:extLst>
            <a:ext uri="{FF2B5EF4-FFF2-40B4-BE49-F238E27FC236}">
              <a16:creationId xmlns:a16="http://schemas.microsoft.com/office/drawing/2014/main" id="{37E5160C-1EF0-460E-B125-CA93A730F5A1}"/>
            </a:ext>
          </a:extLst>
        </xdr:cNvPr>
        <xdr:cNvSpPr>
          <a:spLocks noChangeAspect="1"/>
        </xdr:cNvSpPr>
      </xdr:nvSpPr>
      <xdr:spPr>
        <a:xfrm>
          <a:off x="194399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112</xdr:row>
      <xdr:rowOff>64500</xdr:rowOff>
    </xdr:from>
    <xdr:to>
      <xdr:col>27</xdr:col>
      <xdr:colOff>455401</xdr:colOff>
      <xdr:row>113</xdr:row>
      <xdr:rowOff>37051</xdr:rowOff>
    </xdr:to>
    <xdr:sp macro="" textlink="">
      <xdr:nvSpPr>
        <xdr:cNvPr id="247846" name="フリーフォーム: 図形 247845">
          <a:extLst>
            <a:ext uri="{FF2B5EF4-FFF2-40B4-BE49-F238E27FC236}">
              <a16:creationId xmlns:a16="http://schemas.microsoft.com/office/drawing/2014/main" id="{7170F022-1929-43FC-9592-532D87591580}"/>
            </a:ext>
          </a:extLst>
        </xdr:cNvPr>
        <xdr:cNvSpPr>
          <a:spLocks noChangeAspect="1"/>
        </xdr:cNvSpPr>
      </xdr:nvSpPr>
      <xdr:spPr>
        <a:xfrm>
          <a:off x="184860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112</xdr:row>
      <xdr:rowOff>64500</xdr:rowOff>
    </xdr:from>
    <xdr:to>
      <xdr:col>28</xdr:col>
      <xdr:colOff>273601</xdr:colOff>
      <xdr:row>113</xdr:row>
      <xdr:rowOff>37051</xdr:rowOff>
    </xdr:to>
    <xdr:sp macro="" textlink="">
      <xdr:nvSpPr>
        <xdr:cNvPr id="247847" name="フリーフォーム: 図形 247846">
          <a:extLst>
            <a:ext uri="{FF2B5EF4-FFF2-40B4-BE49-F238E27FC236}">
              <a16:creationId xmlns:a16="http://schemas.microsoft.com/office/drawing/2014/main" id="{8F936767-786C-4E90-9714-1C423B6005BC}"/>
            </a:ext>
          </a:extLst>
        </xdr:cNvPr>
        <xdr:cNvSpPr>
          <a:spLocks noChangeAspect="1"/>
        </xdr:cNvSpPr>
      </xdr:nvSpPr>
      <xdr:spPr>
        <a:xfrm>
          <a:off x="190079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107</xdr:row>
      <xdr:rowOff>75750</xdr:rowOff>
    </xdr:from>
    <xdr:to>
      <xdr:col>27</xdr:col>
      <xdr:colOff>203401</xdr:colOff>
      <xdr:row>112</xdr:row>
      <xdr:rowOff>136501</xdr:rowOff>
    </xdr:to>
    <xdr:sp macro="" textlink="">
      <xdr:nvSpPr>
        <xdr:cNvPr id="247848" name="フリーフォーム: 図形 247847">
          <a:extLst>
            <a:ext uri="{FF2B5EF4-FFF2-40B4-BE49-F238E27FC236}">
              <a16:creationId xmlns:a16="http://schemas.microsoft.com/office/drawing/2014/main" id="{4F8ADC32-9BD5-42EF-9390-1F90DC525073}"/>
            </a:ext>
          </a:extLst>
        </xdr:cNvPr>
        <xdr:cNvSpPr>
          <a:spLocks noChangeAspect="1"/>
        </xdr:cNvSpPr>
      </xdr:nvSpPr>
      <xdr:spPr>
        <a:xfrm>
          <a:off x="18432001" y="186876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101</xdr:row>
      <xdr:rowOff>114450</xdr:rowOff>
    </xdr:from>
    <xdr:to>
      <xdr:col>27</xdr:col>
      <xdr:colOff>347402</xdr:colOff>
      <xdr:row>107</xdr:row>
      <xdr:rowOff>21752</xdr:rowOff>
    </xdr:to>
    <xdr:sp macro="" textlink="">
      <xdr:nvSpPr>
        <xdr:cNvPr id="247849" name="フリーフォーム: 図形 247848">
          <a:extLst>
            <a:ext uri="{FF2B5EF4-FFF2-40B4-BE49-F238E27FC236}">
              <a16:creationId xmlns:a16="http://schemas.microsoft.com/office/drawing/2014/main" id="{842C7F3A-CF18-4B05-8308-CF76F4957C4F}"/>
            </a:ext>
          </a:extLst>
        </xdr:cNvPr>
        <xdr:cNvSpPr>
          <a:spLocks noChangeAspect="1"/>
        </xdr:cNvSpPr>
      </xdr:nvSpPr>
      <xdr:spPr>
        <a:xfrm>
          <a:off x="186120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106</xdr:row>
      <xdr:rowOff>139199</xdr:rowOff>
    </xdr:from>
    <xdr:to>
      <xdr:col>27</xdr:col>
      <xdr:colOff>617401</xdr:colOff>
      <xdr:row>107</xdr:row>
      <xdr:rowOff>111751</xdr:rowOff>
    </xdr:to>
    <xdr:sp macro="" textlink="">
      <xdr:nvSpPr>
        <xdr:cNvPr id="247850" name="フリーフォーム: 図形 247849">
          <a:extLst>
            <a:ext uri="{FF2B5EF4-FFF2-40B4-BE49-F238E27FC236}">
              <a16:creationId xmlns:a16="http://schemas.microsoft.com/office/drawing/2014/main" id="{0A6A3E1E-96C5-4581-A710-589993ED5C14}"/>
            </a:ext>
          </a:extLst>
        </xdr:cNvPr>
        <xdr:cNvSpPr>
          <a:spLocks noChangeAspect="1"/>
        </xdr:cNvSpPr>
      </xdr:nvSpPr>
      <xdr:spPr>
        <a:xfrm>
          <a:off x="186840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106</xdr:row>
      <xdr:rowOff>139199</xdr:rowOff>
    </xdr:from>
    <xdr:to>
      <xdr:col>28</xdr:col>
      <xdr:colOff>435601</xdr:colOff>
      <xdr:row>107</xdr:row>
      <xdr:rowOff>111751</xdr:rowOff>
    </xdr:to>
    <xdr:sp macro="" textlink="">
      <xdr:nvSpPr>
        <xdr:cNvPr id="247851" name="フリーフォーム: 図形 247850">
          <a:extLst>
            <a:ext uri="{FF2B5EF4-FFF2-40B4-BE49-F238E27FC236}">
              <a16:creationId xmlns:a16="http://schemas.microsoft.com/office/drawing/2014/main" id="{17086AAC-FA5B-4A4B-8586-514FCD7239F7}"/>
            </a:ext>
          </a:extLst>
        </xdr:cNvPr>
        <xdr:cNvSpPr>
          <a:spLocks noChangeAspect="1"/>
        </xdr:cNvSpPr>
      </xdr:nvSpPr>
      <xdr:spPr>
        <a:xfrm>
          <a:off x="191879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102</xdr:row>
      <xdr:rowOff>51000</xdr:rowOff>
    </xdr:from>
    <xdr:to>
      <xdr:col>27</xdr:col>
      <xdr:colOff>635401</xdr:colOff>
      <xdr:row>107</xdr:row>
      <xdr:rowOff>3751</xdr:rowOff>
    </xdr:to>
    <xdr:sp macro="" textlink="">
      <xdr:nvSpPr>
        <xdr:cNvPr id="247852" name="フリーフォーム: 図形 247851">
          <a:extLst>
            <a:ext uri="{FF2B5EF4-FFF2-40B4-BE49-F238E27FC236}">
              <a16:creationId xmlns:a16="http://schemas.microsoft.com/office/drawing/2014/main" id="{E5B52988-254C-411D-9925-0E114EEDBC61}"/>
            </a:ext>
          </a:extLst>
        </xdr:cNvPr>
        <xdr:cNvSpPr>
          <a:spLocks noChangeAspect="1"/>
        </xdr:cNvSpPr>
      </xdr:nvSpPr>
      <xdr:spPr>
        <a:xfrm>
          <a:off x="188819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101</xdr:row>
      <xdr:rowOff>114450</xdr:rowOff>
    </xdr:from>
    <xdr:to>
      <xdr:col>28</xdr:col>
      <xdr:colOff>201601</xdr:colOff>
      <xdr:row>106</xdr:row>
      <xdr:rowOff>157201</xdr:rowOff>
    </xdr:to>
    <xdr:sp macro="" textlink="">
      <xdr:nvSpPr>
        <xdr:cNvPr id="247853" name="フリーフォーム: 図形 247852">
          <a:extLst>
            <a:ext uri="{FF2B5EF4-FFF2-40B4-BE49-F238E27FC236}">
              <a16:creationId xmlns:a16="http://schemas.microsoft.com/office/drawing/2014/main" id="{4F2A667A-9453-4AF4-89A8-A5C433861853}"/>
            </a:ext>
          </a:extLst>
        </xdr:cNvPr>
        <xdr:cNvSpPr>
          <a:spLocks noChangeAspect="1"/>
        </xdr:cNvSpPr>
      </xdr:nvSpPr>
      <xdr:spPr>
        <a:xfrm>
          <a:off x="191520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102</xdr:row>
      <xdr:rowOff>69000</xdr:rowOff>
    </xdr:from>
    <xdr:to>
      <xdr:col>28</xdr:col>
      <xdr:colOff>525601</xdr:colOff>
      <xdr:row>107</xdr:row>
      <xdr:rowOff>3751</xdr:rowOff>
    </xdr:to>
    <xdr:sp macro="" textlink="">
      <xdr:nvSpPr>
        <xdr:cNvPr id="247854" name="フリーフォーム: 図形 247853">
          <a:extLst>
            <a:ext uri="{FF2B5EF4-FFF2-40B4-BE49-F238E27FC236}">
              <a16:creationId xmlns:a16="http://schemas.microsoft.com/office/drawing/2014/main" id="{0DFA73C7-ECF8-46BE-A96E-E329E8B8276D}"/>
            </a:ext>
          </a:extLst>
        </xdr:cNvPr>
        <xdr:cNvSpPr>
          <a:spLocks noChangeAspect="1"/>
        </xdr:cNvSpPr>
      </xdr:nvSpPr>
      <xdr:spPr>
        <a:xfrm>
          <a:off x="192060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107</xdr:row>
      <xdr:rowOff>75750</xdr:rowOff>
    </xdr:from>
    <xdr:to>
      <xdr:col>28</xdr:col>
      <xdr:colOff>237600</xdr:colOff>
      <xdr:row>111</xdr:row>
      <xdr:rowOff>163951</xdr:rowOff>
    </xdr:to>
    <xdr:sp macro="" textlink="">
      <xdr:nvSpPr>
        <xdr:cNvPr id="247855" name="フリーフォーム: 図形 247854">
          <a:extLst>
            <a:ext uri="{FF2B5EF4-FFF2-40B4-BE49-F238E27FC236}">
              <a16:creationId xmlns:a16="http://schemas.microsoft.com/office/drawing/2014/main" id="{B4453920-E3D0-4458-99F0-475E3BB5C5E3}"/>
            </a:ext>
          </a:extLst>
        </xdr:cNvPr>
        <xdr:cNvSpPr>
          <a:spLocks noChangeAspect="1"/>
        </xdr:cNvSpPr>
      </xdr:nvSpPr>
      <xdr:spPr>
        <a:xfrm>
          <a:off x="191700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107</xdr:row>
      <xdr:rowOff>93749</xdr:rowOff>
    </xdr:from>
    <xdr:to>
      <xdr:col>27</xdr:col>
      <xdr:colOff>653401</xdr:colOff>
      <xdr:row>112</xdr:row>
      <xdr:rowOff>118501</xdr:rowOff>
    </xdr:to>
    <xdr:sp macro="" textlink="">
      <xdr:nvSpPr>
        <xdr:cNvPr id="247856" name="フリーフォーム: 図形 247855">
          <a:extLst>
            <a:ext uri="{FF2B5EF4-FFF2-40B4-BE49-F238E27FC236}">
              <a16:creationId xmlns:a16="http://schemas.microsoft.com/office/drawing/2014/main" id="{D12C4872-3186-4718-A8A7-7C05ABC9B5F3}"/>
            </a:ext>
          </a:extLst>
        </xdr:cNvPr>
        <xdr:cNvSpPr>
          <a:spLocks noChangeAspect="1"/>
        </xdr:cNvSpPr>
      </xdr:nvSpPr>
      <xdr:spPr>
        <a:xfrm>
          <a:off x="189360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107</xdr:row>
      <xdr:rowOff>75750</xdr:rowOff>
    </xdr:from>
    <xdr:to>
      <xdr:col>27</xdr:col>
      <xdr:colOff>617401</xdr:colOff>
      <xdr:row>112</xdr:row>
      <xdr:rowOff>10501</xdr:rowOff>
    </xdr:to>
    <xdr:sp macro="" textlink="">
      <xdr:nvSpPr>
        <xdr:cNvPr id="247857" name="フリーフォーム: 図形 247856">
          <a:extLst>
            <a:ext uri="{FF2B5EF4-FFF2-40B4-BE49-F238E27FC236}">
              <a16:creationId xmlns:a16="http://schemas.microsoft.com/office/drawing/2014/main" id="{4E0A6E1D-17A3-4648-8310-CC139441E1B7}"/>
            </a:ext>
          </a:extLst>
        </xdr:cNvPr>
        <xdr:cNvSpPr>
          <a:spLocks noChangeAspect="1"/>
        </xdr:cNvSpPr>
      </xdr:nvSpPr>
      <xdr:spPr>
        <a:xfrm>
          <a:off x="186120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101</xdr:row>
      <xdr:rowOff>42450</xdr:rowOff>
    </xdr:from>
    <xdr:to>
      <xdr:col>30</xdr:col>
      <xdr:colOff>550801</xdr:colOff>
      <xdr:row>102</xdr:row>
      <xdr:rowOff>15002</xdr:rowOff>
    </xdr:to>
    <xdr:sp macro="" textlink="">
      <xdr:nvSpPr>
        <xdr:cNvPr id="247858" name="フリーフォーム: 図形 247857">
          <a:extLst>
            <a:ext uri="{FF2B5EF4-FFF2-40B4-BE49-F238E27FC236}">
              <a16:creationId xmlns:a16="http://schemas.microsoft.com/office/drawing/2014/main" id="{B0C073BC-1AD4-48C6-910E-6DAC1DF6B599}"/>
            </a:ext>
          </a:extLst>
        </xdr:cNvPr>
        <xdr:cNvSpPr>
          <a:spLocks noChangeAspect="1"/>
        </xdr:cNvSpPr>
      </xdr:nvSpPr>
      <xdr:spPr>
        <a:xfrm>
          <a:off x="206568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101</xdr:row>
      <xdr:rowOff>42450</xdr:rowOff>
    </xdr:from>
    <xdr:to>
      <xdr:col>31</xdr:col>
      <xdr:colOff>405001</xdr:colOff>
      <xdr:row>102</xdr:row>
      <xdr:rowOff>15002</xdr:rowOff>
    </xdr:to>
    <xdr:sp macro="" textlink="">
      <xdr:nvSpPr>
        <xdr:cNvPr id="247859" name="フリーフォーム: 図形 247858">
          <a:extLst>
            <a:ext uri="{FF2B5EF4-FFF2-40B4-BE49-F238E27FC236}">
              <a16:creationId xmlns:a16="http://schemas.microsoft.com/office/drawing/2014/main" id="{F5218E3E-A1B8-4A5C-BADD-E6158928DE17}"/>
            </a:ext>
          </a:extLst>
        </xdr:cNvPr>
        <xdr:cNvSpPr>
          <a:spLocks noChangeAspect="1"/>
        </xdr:cNvSpPr>
      </xdr:nvSpPr>
      <xdr:spPr>
        <a:xfrm>
          <a:off x="211968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101</xdr:row>
      <xdr:rowOff>114450</xdr:rowOff>
    </xdr:from>
    <xdr:to>
      <xdr:col>31</xdr:col>
      <xdr:colOff>477001</xdr:colOff>
      <xdr:row>107</xdr:row>
      <xdr:rowOff>21752</xdr:rowOff>
    </xdr:to>
    <xdr:sp macro="" textlink="">
      <xdr:nvSpPr>
        <xdr:cNvPr id="247860" name="フリーフォーム: 図形 247859">
          <a:extLst>
            <a:ext uri="{FF2B5EF4-FFF2-40B4-BE49-F238E27FC236}">
              <a16:creationId xmlns:a16="http://schemas.microsoft.com/office/drawing/2014/main" id="{4D7F3DB0-86E1-4462-A520-4FA50F65AEAF}"/>
            </a:ext>
          </a:extLst>
        </xdr:cNvPr>
        <xdr:cNvSpPr>
          <a:spLocks noChangeAspect="1"/>
        </xdr:cNvSpPr>
      </xdr:nvSpPr>
      <xdr:spPr>
        <a:xfrm>
          <a:off x="214487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107</xdr:row>
      <xdr:rowOff>75750</xdr:rowOff>
    </xdr:from>
    <xdr:to>
      <xdr:col>31</xdr:col>
      <xdr:colOff>297001</xdr:colOff>
      <xdr:row>112</xdr:row>
      <xdr:rowOff>136501</xdr:rowOff>
    </xdr:to>
    <xdr:sp macro="" textlink="">
      <xdr:nvSpPr>
        <xdr:cNvPr id="247861" name="フリーフォーム: 図形 247860">
          <a:extLst>
            <a:ext uri="{FF2B5EF4-FFF2-40B4-BE49-F238E27FC236}">
              <a16:creationId xmlns:a16="http://schemas.microsoft.com/office/drawing/2014/main" id="{A6F9B267-CEB0-42E7-896A-A69278E565F2}"/>
            </a:ext>
          </a:extLst>
        </xdr:cNvPr>
        <xdr:cNvSpPr>
          <a:spLocks noChangeAspect="1"/>
        </xdr:cNvSpPr>
      </xdr:nvSpPr>
      <xdr:spPr>
        <a:xfrm>
          <a:off x="212687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112</xdr:row>
      <xdr:rowOff>64500</xdr:rowOff>
    </xdr:from>
    <xdr:to>
      <xdr:col>30</xdr:col>
      <xdr:colOff>226801</xdr:colOff>
      <xdr:row>113</xdr:row>
      <xdr:rowOff>37051</xdr:rowOff>
    </xdr:to>
    <xdr:sp macro="" textlink="">
      <xdr:nvSpPr>
        <xdr:cNvPr id="247862" name="フリーフォーム: 図形 247861">
          <a:extLst>
            <a:ext uri="{FF2B5EF4-FFF2-40B4-BE49-F238E27FC236}">
              <a16:creationId xmlns:a16="http://schemas.microsoft.com/office/drawing/2014/main" id="{830FDC3B-A099-465B-8621-6B1F64EF3AB4}"/>
            </a:ext>
          </a:extLst>
        </xdr:cNvPr>
        <xdr:cNvSpPr>
          <a:spLocks noChangeAspect="1"/>
        </xdr:cNvSpPr>
      </xdr:nvSpPr>
      <xdr:spPr>
        <a:xfrm>
          <a:off x="203148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112</xdr:row>
      <xdr:rowOff>64500</xdr:rowOff>
    </xdr:from>
    <xdr:to>
      <xdr:col>31</xdr:col>
      <xdr:colOff>45001</xdr:colOff>
      <xdr:row>113</xdr:row>
      <xdr:rowOff>37051</xdr:rowOff>
    </xdr:to>
    <xdr:sp macro="" textlink="">
      <xdr:nvSpPr>
        <xdr:cNvPr id="247863" name="フリーフォーム: 図形 247862">
          <a:extLst>
            <a:ext uri="{FF2B5EF4-FFF2-40B4-BE49-F238E27FC236}">
              <a16:creationId xmlns:a16="http://schemas.microsoft.com/office/drawing/2014/main" id="{09FE667F-E6E2-4317-8AC6-9DDA74A30CA3}"/>
            </a:ext>
          </a:extLst>
        </xdr:cNvPr>
        <xdr:cNvSpPr>
          <a:spLocks noChangeAspect="1"/>
        </xdr:cNvSpPr>
      </xdr:nvSpPr>
      <xdr:spPr>
        <a:xfrm>
          <a:off x="208367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107</xdr:row>
      <xdr:rowOff>75750</xdr:rowOff>
    </xdr:from>
    <xdr:to>
      <xdr:col>29</xdr:col>
      <xdr:colOff>660601</xdr:colOff>
      <xdr:row>112</xdr:row>
      <xdr:rowOff>136501</xdr:rowOff>
    </xdr:to>
    <xdr:sp macro="" textlink="">
      <xdr:nvSpPr>
        <xdr:cNvPr id="247864" name="フリーフォーム: 図形 247863">
          <a:extLst>
            <a:ext uri="{FF2B5EF4-FFF2-40B4-BE49-F238E27FC236}">
              <a16:creationId xmlns:a16="http://schemas.microsoft.com/office/drawing/2014/main" id="{77C4200B-708C-499C-9251-9A822922D74E}"/>
            </a:ext>
          </a:extLst>
        </xdr:cNvPr>
        <xdr:cNvSpPr>
          <a:spLocks noChangeAspect="1"/>
        </xdr:cNvSpPr>
      </xdr:nvSpPr>
      <xdr:spPr>
        <a:xfrm>
          <a:off x="20260801" y="186876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101</xdr:row>
      <xdr:rowOff>114450</xdr:rowOff>
    </xdr:from>
    <xdr:to>
      <xdr:col>30</xdr:col>
      <xdr:colOff>118802</xdr:colOff>
      <xdr:row>107</xdr:row>
      <xdr:rowOff>21752</xdr:rowOff>
    </xdr:to>
    <xdr:sp macro="" textlink="">
      <xdr:nvSpPr>
        <xdr:cNvPr id="247865" name="フリーフォーム: 図形 247864">
          <a:extLst>
            <a:ext uri="{FF2B5EF4-FFF2-40B4-BE49-F238E27FC236}">
              <a16:creationId xmlns:a16="http://schemas.microsoft.com/office/drawing/2014/main" id="{A4FF299F-C100-400C-BC5E-F8E809D697EC}"/>
            </a:ext>
          </a:extLst>
        </xdr:cNvPr>
        <xdr:cNvSpPr>
          <a:spLocks noChangeAspect="1"/>
        </xdr:cNvSpPr>
      </xdr:nvSpPr>
      <xdr:spPr>
        <a:xfrm>
          <a:off x="204408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106</xdr:row>
      <xdr:rowOff>139199</xdr:rowOff>
    </xdr:from>
    <xdr:to>
      <xdr:col>30</xdr:col>
      <xdr:colOff>388801</xdr:colOff>
      <xdr:row>107</xdr:row>
      <xdr:rowOff>111751</xdr:rowOff>
    </xdr:to>
    <xdr:sp macro="" textlink="">
      <xdr:nvSpPr>
        <xdr:cNvPr id="247866" name="フリーフォーム: 図形 247865">
          <a:extLst>
            <a:ext uri="{FF2B5EF4-FFF2-40B4-BE49-F238E27FC236}">
              <a16:creationId xmlns:a16="http://schemas.microsoft.com/office/drawing/2014/main" id="{6CD6AE3F-0A9F-455C-9D54-71E15DBF0B5D}"/>
            </a:ext>
          </a:extLst>
        </xdr:cNvPr>
        <xdr:cNvSpPr>
          <a:spLocks noChangeAspect="1"/>
        </xdr:cNvSpPr>
      </xdr:nvSpPr>
      <xdr:spPr>
        <a:xfrm>
          <a:off x="205128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106</xdr:row>
      <xdr:rowOff>139199</xdr:rowOff>
    </xdr:from>
    <xdr:to>
      <xdr:col>31</xdr:col>
      <xdr:colOff>207001</xdr:colOff>
      <xdr:row>107</xdr:row>
      <xdr:rowOff>111751</xdr:rowOff>
    </xdr:to>
    <xdr:sp macro="" textlink="">
      <xdr:nvSpPr>
        <xdr:cNvPr id="247867" name="フリーフォーム: 図形 247866">
          <a:extLst>
            <a:ext uri="{FF2B5EF4-FFF2-40B4-BE49-F238E27FC236}">
              <a16:creationId xmlns:a16="http://schemas.microsoft.com/office/drawing/2014/main" id="{AF0CE463-4412-49CF-8E0B-7341456CA450}"/>
            </a:ext>
          </a:extLst>
        </xdr:cNvPr>
        <xdr:cNvSpPr>
          <a:spLocks noChangeAspect="1"/>
        </xdr:cNvSpPr>
      </xdr:nvSpPr>
      <xdr:spPr>
        <a:xfrm>
          <a:off x="210167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102</xdr:row>
      <xdr:rowOff>51000</xdr:rowOff>
    </xdr:from>
    <xdr:to>
      <xdr:col>30</xdr:col>
      <xdr:colOff>406801</xdr:colOff>
      <xdr:row>107</xdr:row>
      <xdr:rowOff>3751</xdr:rowOff>
    </xdr:to>
    <xdr:sp macro="" textlink="">
      <xdr:nvSpPr>
        <xdr:cNvPr id="247868" name="フリーフォーム: 図形 247867">
          <a:extLst>
            <a:ext uri="{FF2B5EF4-FFF2-40B4-BE49-F238E27FC236}">
              <a16:creationId xmlns:a16="http://schemas.microsoft.com/office/drawing/2014/main" id="{4EF47820-B089-48B1-A7A4-E089FB579AA7}"/>
            </a:ext>
          </a:extLst>
        </xdr:cNvPr>
        <xdr:cNvSpPr>
          <a:spLocks noChangeAspect="1"/>
        </xdr:cNvSpPr>
      </xdr:nvSpPr>
      <xdr:spPr>
        <a:xfrm>
          <a:off x="207107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101</xdr:row>
      <xdr:rowOff>114450</xdr:rowOff>
    </xdr:from>
    <xdr:to>
      <xdr:col>30</xdr:col>
      <xdr:colOff>658801</xdr:colOff>
      <xdr:row>106</xdr:row>
      <xdr:rowOff>157201</xdr:rowOff>
    </xdr:to>
    <xdr:sp macro="" textlink="">
      <xdr:nvSpPr>
        <xdr:cNvPr id="247869" name="フリーフォーム: 図形 247868">
          <a:extLst>
            <a:ext uri="{FF2B5EF4-FFF2-40B4-BE49-F238E27FC236}">
              <a16:creationId xmlns:a16="http://schemas.microsoft.com/office/drawing/2014/main" id="{9A7B573C-8635-415B-B838-7061A1DCFD17}"/>
            </a:ext>
          </a:extLst>
        </xdr:cNvPr>
        <xdr:cNvSpPr>
          <a:spLocks noChangeAspect="1"/>
        </xdr:cNvSpPr>
      </xdr:nvSpPr>
      <xdr:spPr>
        <a:xfrm>
          <a:off x="209808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102</xdr:row>
      <xdr:rowOff>69000</xdr:rowOff>
    </xdr:from>
    <xdr:to>
      <xdr:col>31</xdr:col>
      <xdr:colOff>297001</xdr:colOff>
      <xdr:row>107</xdr:row>
      <xdr:rowOff>3751</xdr:rowOff>
    </xdr:to>
    <xdr:sp macro="" textlink="">
      <xdr:nvSpPr>
        <xdr:cNvPr id="247870" name="フリーフォーム: 図形 247869">
          <a:extLst>
            <a:ext uri="{FF2B5EF4-FFF2-40B4-BE49-F238E27FC236}">
              <a16:creationId xmlns:a16="http://schemas.microsoft.com/office/drawing/2014/main" id="{C8864F53-4639-4A94-844C-4FBA044A89E0}"/>
            </a:ext>
          </a:extLst>
        </xdr:cNvPr>
        <xdr:cNvSpPr>
          <a:spLocks noChangeAspect="1"/>
        </xdr:cNvSpPr>
      </xdr:nvSpPr>
      <xdr:spPr>
        <a:xfrm>
          <a:off x="210348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107</xdr:row>
      <xdr:rowOff>75750</xdr:rowOff>
    </xdr:from>
    <xdr:to>
      <xdr:col>31</xdr:col>
      <xdr:colOff>9000</xdr:colOff>
      <xdr:row>111</xdr:row>
      <xdr:rowOff>163951</xdr:rowOff>
    </xdr:to>
    <xdr:sp macro="" textlink="">
      <xdr:nvSpPr>
        <xdr:cNvPr id="247871" name="フリーフォーム: 図形 247870">
          <a:extLst>
            <a:ext uri="{FF2B5EF4-FFF2-40B4-BE49-F238E27FC236}">
              <a16:creationId xmlns:a16="http://schemas.microsoft.com/office/drawing/2014/main" id="{567E0A1A-600F-4C36-9856-596D9C431075}"/>
            </a:ext>
          </a:extLst>
        </xdr:cNvPr>
        <xdr:cNvSpPr>
          <a:spLocks noChangeAspect="1"/>
        </xdr:cNvSpPr>
      </xdr:nvSpPr>
      <xdr:spPr>
        <a:xfrm>
          <a:off x="209988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107</xdr:row>
      <xdr:rowOff>93749</xdr:rowOff>
    </xdr:from>
    <xdr:to>
      <xdr:col>30</xdr:col>
      <xdr:colOff>424801</xdr:colOff>
      <xdr:row>112</xdr:row>
      <xdr:rowOff>118501</xdr:rowOff>
    </xdr:to>
    <xdr:sp macro="" textlink="">
      <xdr:nvSpPr>
        <xdr:cNvPr id="247872" name="フリーフォーム: 図形 247871">
          <a:extLst>
            <a:ext uri="{FF2B5EF4-FFF2-40B4-BE49-F238E27FC236}">
              <a16:creationId xmlns:a16="http://schemas.microsoft.com/office/drawing/2014/main" id="{9624A41A-BEC2-47C1-903E-AD873E750622}"/>
            </a:ext>
          </a:extLst>
        </xdr:cNvPr>
        <xdr:cNvSpPr>
          <a:spLocks noChangeAspect="1"/>
        </xdr:cNvSpPr>
      </xdr:nvSpPr>
      <xdr:spPr>
        <a:xfrm>
          <a:off x="207648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107</xdr:row>
      <xdr:rowOff>75750</xdr:rowOff>
    </xdr:from>
    <xdr:to>
      <xdr:col>30</xdr:col>
      <xdr:colOff>388801</xdr:colOff>
      <xdr:row>112</xdr:row>
      <xdr:rowOff>10501</xdr:rowOff>
    </xdr:to>
    <xdr:sp macro="" textlink="">
      <xdr:nvSpPr>
        <xdr:cNvPr id="247873" name="フリーフォーム: 図形 247872">
          <a:extLst>
            <a:ext uri="{FF2B5EF4-FFF2-40B4-BE49-F238E27FC236}">
              <a16:creationId xmlns:a16="http://schemas.microsoft.com/office/drawing/2014/main" id="{4AE8122D-B772-4094-ADA7-7A04D7BCDD8C}"/>
            </a:ext>
          </a:extLst>
        </xdr:cNvPr>
        <xdr:cNvSpPr>
          <a:spLocks noChangeAspect="1"/>
        </xdr:cNvSpPr>
      </xdr:nvSpPr>
      <xdr:spPr>
        <a:xfrm>
          <a:off x="204408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101</xdr:row>
      <xdr:rowOff>42450</xdr:rowOff>
    </xdr:from>
    <xdr:to>
      <xdr:col>33</xdr:col>
      <xdr:colOff>322201</xdr:colOff>
      <xdr:row>102</xdr:row>
      <xdr:rowOff>15002</xdr:rowOff>
    </xdr:to>
    <xdr:sp macro="" textlink="">
      <xdr:nvSpPr>
        <xdr:cNvPr id="247874" name="フリーフォーム: 図形 247873">
          <a:extLst>
            <a:ext uri="{FF2B5EF4-FFF2-40B4-BE49-F238E27FC236}">
              <a16:creationId xmlns:a16="http://schemas.microsoft.com/office/drawing/2014/main" id="{5C59D2C5-73BE-4861-B6D6-DC9139F55812}"/>
            </a:ext>
          </a:extLst>
        </xdr:cNvPr>
        <xdr:cNvSpPr>
          <a:spLocks noChangeAspect="1"/>
        </xdr:cNvSpPr>
      </xdr:nvSpPr>
      <xdr:spPr>
        <a:xfrm>
          <a:off x="224856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101</xdr:row>
      <xdr:rowOff>42450</xdr:rowOff>
    </xdr:from>
    <xdr:to>
      <xdr:col>34</xdr:col>
      <xdr:colOff>176401</xdr:colOff>
      <xdr:row>102</xdr:row>
      <xdr:rowOff>15002</xdr:rowOff>
    </xdr:to>
    <xdr:sp macro="" textlink="">
      <xdr:nvSpPr>
        <xdr:cNvPr id="247875" name="フリーフォーム: 図形 247874">
          <a:extLst>
            <a:ext uri="{FF2B5EF4-FFF2-40B4-BE49-F238E27FC236}">
              <a16:creationId xmlns:a16="http://schemas.microsoft.com/office/drawing/2014/main" id="{338A39BE-5AED-4CDF-964A-EC16F742CB73}"/>
            </a:ext>
          </a:extLst>
        </xdr:cNvPr>
        <xdr:cNvSpPr>
          <a:spLocks noChangeAspect="1"/>
        </xdr:cNvSpPr>
      </xdr:nvSpPr>
      <xdr:spPr>
        <a:xfrm>
          <a:off x="230256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101</xdr:row>
      <xdr:rowOff>114450</xdr:rowOff>
    </xdr:from>
    <xdr:to>
      <xdr:col>34</xdr:col>
      <xdr:colOff>248401</xdr:colOff>
      <xdr:row>107</xdr:row>
      <xdr:rowOff>21752</xdr:rowOff>
    </xdr:to>
    <xdr:sp macro="" textlink="">
      <xdr:nvSpPr>
        <xdr:cNvPr id="247876" name="フリーフォーム: 図形 247875">
          <a:extLst>
            <a:ext uri="{FF2B5EF4-FFF2-40B4-BE49-F238E27FC236}">
              <a16:creationId xmlns:a16="http://schemas.microsoft.com/office/drawing/2014/main" id="{B7F45C19-EC24-4719-A92B-16A230E34EC6}"/>
            </a:ext>
          </a:extLst>
        </xdr:cNvPr>
        <xdr:cNvSpPr>
          <a:spLocks noChangeAspect="1"/>
        </xdr:cNvSpPr>
      </xdr:nvSpPr>
      <xdr:spPr>
        <a:xfrm>
          <a:off x="232775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107</xdr:row>
      <xdr:rowOff>75750</xdr:rowOff>
    </xdr:from>
    <xdr:to>
      <xdr:col>34</xdr:col>
      <xdr:colOff>68401</xdr:colOff>
      <xdr:row>112</xdr:row>
      <xdr:rowOff>136501</xdr:rowOff>
    </xdr:to>
    <xdr:sp macro="" textlink="">
      <xdr:nvSpPr>
        <xdr:cNvPr id="247877" name="フリーフォーム: 図形 247876">
          <a:extLst>
            <a:ext uri="{FF2B5EF4-FFF2-40B4-BE49-F238E27FC236}">
              <a16:creationId xmlns:a16="http://schemas.microsoft.com/office/drawing/2014/main" id="{49730354-17A4-4929-815F-916F84E54A0C}"/>
            </a:ext>
          </a:extLst>
        </xdr:cNvPr>
        <xdr:cNvSpPr>
          <a:spLocks noChangeAspect="1"/>
        </xdr:cNvSpPr>
      </xdr:nvSpPr>
      <xdr:spPr>
        <a:xfrm>
          <a:off x="230975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112</xdr:row>
      <xdr:rowOff>64500</xdr:rowOff>
    </xdr:from>
    <xdr:to>
      <xdr:col>32</xdr:col>
      <xdr:colOff>684001</xdr:colOff>
      <xdr:row>113</xdr:row>
      <xdr:rowOff>37051</xdr:rowOff>
    </xdr:to>
    <xdr:sp macro="" textlink="">
      <xdr:nvSpPr>
        <xdr:cNvPr id="247878" name="フリーフォーム: 図形 247877">
          <a:extLst>
            <a:ext uri="{FF2B5EF4-FFF2-40B4-BE49-F238E27FC236}">
              <a16:creationId xmlns:a16="http://schemas.microsoft.com/office/drawing/2014/main" id="{25A54B95-BECF-4BC8-8622-E4DF9CA6BF2A}"/>
            </a:ext>
          </a:extLst>
        </xdr:cNvPr>
        <xdr:cNvSpPr>
          <a:spLocks noChangeAspect="1"/>
        </xdr:cNvSpPr>
      </xdr:nvSpPr>
      <xdr:spPr>
        <a:xfrm>
          <a:off x="221436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112</xdr:row>
      <xdr:rowOff>64500</xdr:rowOff>
    </xdr:from>
    <xdr:to>
      <xdr:col>33</xdr:col>
      <xdr:colOff>502201</xdr:colOff>
      <xdr:row>113</xdr:row>
      <xdr:rowOff>37051</xdr:rowOff>
    </xdr:to>
    <xdr:sp macro="" textlink="">
      <xdr:nvSpPr>
        <xdr:cNvPr id="247879" name="フリーフォーム: 図形 247878">
          <a:extLst>
            <a:ext uri="{FF2B5EF4-FFF2-40B4-BE49-F238E27FC236}">
              <a16:creationId xmlns:a16="http://schemas.microsoft.com/office/drawing/2014/main" id="{D5C9A464-8BB9-491A-9F73-AF37F461BC48}"/>
            </a:ext>
          </a:extLst>
        </xdr:cNvPr>
        <xdr:cNvSpPr>
          <a:spLocks noChangeAspect="1"/>
        </xdr:cNvSpPr>
      </xdr:nvSpPr>
      <xdr:spPr>
        <a:xfrm>
          <a:off x="226655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107</xdr:row>
      <xdr:rowOff>75750</xdr:rowOff>
    </xdr:from>
    <xdr:to>
      <xdr:col>32</xdr:col>
      <xdr:colOff>432001</xdr:colOff>
      <xdr:row>112</xdr:row>
      <xdr:rowOff>136501</xdr:rowOff>
    </xdr:to>
    <xdr:sp macro="" textlink="">
      <xdr:nvSpPr>
        <xdr:cNvPr id="247880" name="フリーフォーム: 図形 247879">
          <a:extLst>
            <a:ext uri="{FF2B5EF4-FFF2-40B4-BE49-F238E27FC236}">
              <a16:creationId xmlns:a16="http://schemas.microsoft.com/office/drawing/2014/main" id="{B4FE6087-85FC-47A5-A5BA-6A4AEFF7E5A9}"/>
            </a:ext>
          </a:extLst>
        </xdr:cNvPr>
        <xdr:cNvSpPr>
          <a:spLocks noChangeAspect="1"/>
        </xdr:cNvSpPr>
      </xdr:nvSpPr>
      <xdr:spPr>
        <a:xfrm>
          <a:off x="22089601" y="186876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101</xdr:row>
      <xdr:rowOff>114450</xdr:rowOff>
    </xdr:from>
    <xdr:to>
      <xdr:col>32</xdr:col>
      <xdr:colOff>576002</xdr:colOff>
      <xdr:row>107</xdr:row>
      <xdr:rowOff>21752</xdr:rowOff>
    </xdr:to>
    <xdr:sp macro="" textlink="">
      <xdr:nvSpPr>
        <xdr:cNvPr id="247881" name="フリーフォーム: 図形 247880">
          <a:extLst>
            <a:ext uri="{FF2B5EF4-FFF2-40B4-BE49-F238E27FC236}">
              <a16:creationId xmlns:a16="http://schemas.microsoft.com/office/drawing/2014/main" id="{CF8469A9-DA20-4FBB-9E3F-3A79AA16C970}"/>
            </a:ext>
          </a:extLst>
        </xdr:cNvPr>
        <xdr:cNvSpPr>
          <a:spLocks noChangeAspect="1"/>
        </xdr:cNvSpPr>
      </xdr:nvSpPr>
      <xdr:spPr>
        <a:xfrm>
          <a:off x="222696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106</xdr:row>
      <xdr:rowOff>139199</xdr:rowOff>
    </xdr:from>
    <xdr:to>
      <xdr:col>33</xdr:col>
      <xdr:colOff>160201</xdr:colOff>
      <xdr:row>107</xdr:row>
      <xdr:rowOff>111751</xdr:rowOff>
    </xdr:to>
    <xdr:sp macro="" textlink="">
      <xdr:nvSpPr>
        <xdr:cNvPr id="247882" name="フリーフォーム: 図形 247881">
          <a:extLst>
            <a:ext uri="{FF2B5EF4-FFF2-40B4-BE49-F238E27FC236}">
              <a16:creationId xmlns:a16="http://schemas.microsoft.com/office/drawing/2014/main" id="{C4B957D7-FAF1-48E1-8CFA-284E83B4280A}"/>
            </a:ext>
          </a:extLst>
        </xdr:cNvPr>
        <xdr:cNvSpPr>
          <a:spLocks noChangeAspect="1"/>
        </xdr:cNvSpPr>
      </xdr:nvSpPr>
      <xdr:spPr>
        <a:xfrm>
          <a:off x="223416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106</xdr:row>
      <xdr:rowOff>139199</xdr:rowOff>
    </xdr:from>
    <xdr:to>
      <xdr:col>33</xdr:col>
      <xdr:colOff>664201</xdr:colOff>
      <xdr:row>107</xdr:row>
      <xdr:rowOff>111751</xdr:rowOff>
    </xdr:to>
    <xdr:sp macro="" textlink="">
      <xdr:nvSpPr>
        <xdr:cNvPr id="247883" name="フリーフォーム: 図形 247882">
          <a:extLst>
            <a:ext uri="{FF2B5EF4-FFF2-40B4-BE49-F238E27FC236}">
              <a16:creationId xmlns:a16="http://schemas.microsoft.com/office/drawing/2014/main" id="{43DD2D7E-9A82-455C-A23C-88C1FC731536}"/>
            </a:ext>
          </a:extLst>
        </xdr:cNvPr>
        <xdr:cNvSpPr>
          <a:spLocks noChangeAspect="1"/>
        </xdr:cNvSpPr>
      </xdr:nvSpPr>
      <xdr:spPr>
        <a:xfrm>
          <a:off x="228455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102</xdr:row>
      <xdr:rowOff>51000</xdr:rowOff>
    </xdr:from>
    <xdr:to>
      <xdr:col>33</xdr:col>
      <xdr:colOff>178201</xdr:colOff>
      <xdr:row>107</xdr:row>
      <xdr:rowOff>3751</xdr:rowOff>
    </xdr:to>
    <xdr:sp macro="" textlink="">
      <xdr:nvSpPr>
        <xdr:cNvPr id="247884" name="フリーフォーム: 図形 247883">
          <a:extLst>
            <a:ext uri="{FF2B5EF4-FFF2-40B4-BE49-F238E27FC236}">
              <a16:creationId xmlns:a16="http://schemas.microsoft.com/office/drawing/2014/main" id="{0E3B585A-2881-4CD4-ABD9-D174421E73B8}"/>
            </a:ext>
          </a:extLst>
        </xdr:cNvPr>
        <xdr:cNvSpPr>
          <a:spLocks noChangeAspect="1"/>
        </xdr:cNvSpPr>
      </xdr:nvSpPr>
      <xdr:spPr>
        <a:xfrm>
          <a:off x="225395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101</xdr:row>
      <xdr:rowOff>114450</xdr:rowOff>
    </xdr:from>
    <xdr:to>
      <xdr:col>33</xdr:col>
      <xdr:colOff>430201</xdr:colOff>
      <xdr:row>106</xdr:row>
      <xdr:rowOff>157201</xdr:rowOff>
    </xdr:to>
    <xdr:sp macro="" textlink="">
      <xdr:nvSpPr>
        <xdr:cNvPr id="247885" name="フリーフォーム: 図形 247884">
          <a:extLst>
            <a:ext uri="{FF2B5EF4-FFF2-40B4-BE49-F238E27FC236}">
              <a16:creationId xmlns:a16="http://schemas.microsoft.com/office/drawing/2014/main" id="{D9673F25-6827-4D3C-8C59-CE80CF2C2B92}"/>
            </a:ext>
          </a:extLst>
        </xdr:cNvPr>
        <xdr:cNvSpPr>
          <a:spLocks noChangeAspect="1"/>
        </xdr:cNvSpPr>
      </xdr:nvSpPr>
      <xdr:spPr>
        <a:xfrm>
          <a:off x="228096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102</xdr:row>
      <xdr:rowOff>69000</xdr:rowOff>
    </xdr:from>
    <xdr:to>
      <xdr:col>34</xdr:col>
      <xdr:colOff>68401</xdr:colOff>
      <xdr:row>107</xdr:row>
      <xdr:rowOff>3751</xdr:rowOff>
    </xdr:to>
    <xdr:sp macro="" textlink="">
      <xdr:nvSpPr>
        <xdr:cNvPr id="247886" name="フリーフォーム: 図形 247885">
          <a:extLst>
            <a:ext uri="{FF2B5EF4-FFF2-40B4-BE49-F238E27FC236}">
              <a16:creationId xmlns:a16="http://schemas.microsoft.com/office/drawing/2014/main" id="{D76F6206-E506-42AD-9AEA-BE54EA990DFB}"/>
            </a:ext>
          </a:extLst>
        </xdr:cNvPr>
        <xdr:cNvSpPr>
          <a:spLocks noChangeAspect="1"/>
        </xdr:cNvSpPr>
      </xdr:nvSpPr>
      <xdr:spPr>
        <a:xfrm>
          <a:off x="228636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107</xdr:row>
      <xdr:rowOff>75750</xdr:rowOff>
    </xdr:from>
    <xdr:to>
      <xdr:col>33</xdr:col>
      <xdr:colOff>466200</xdr:colOff>
      <xdr:row>111</xdr:row>
      <xdr:rowOff>163951</xdr:rowOff>
    </xdr:to>
    <xdr:sp macro="" textlink="">
      <xdr:nvSpPr>
        <xdr:cNvPr id="247887" name="フリーフォーム: 図形 247886">
          <a:extLst>
            <a:ext uri="{FF2B5EF4-FFF2-40B4-BE49-F238E27FC236}">
              <a16:creationId xmlns:a16="http://schemas.microsoft.com/office/drawing/2014/main" id="{5C14F54D-36A6-4A46-87B8-1A9C895BE247}"/>
            </a:ext>
          </a:extLst>
        </xdr:cNvPr>
        <xdr:cNvSpPr>
          <a:spLocks noChangeAspect="1"/>
        </xdr:cNvSpPr>
      </xdr:nvSpPr>
      <xdr:spPr>
        <a:xfrm>
          <a:off x="228276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107</xdr:row>
      <xdr:rowOff>93749</xdr:rowOff>
    </xdr:from>
    <xdr:to>
      <xdr:col>33</xdr:col>
      <xdr:colOff>196201</xdr:colOff>
      <xdr:row>112</xdr:row>
      <xdr:rowOff>118501</xdr:rowOff>
    </xdr:to>
    <xdr:sp macro="" textlink="">
      <xdr:nvSpPr>
        <xdr:cNvPr id="247888" name="フリーフォーム: 図形 247887">
          <a:extLst>
            <a:ext uri="{FF2B5EF4-FFF2-40B4-BE49-F238E27FC236}">
              <a16:creationId xmlns:a16="http://schemas.microsoft.com/office/drawing/2014/main" id="{FD7AB787-F745-484D-888C-108CE7C946D0}"/>
            </a:ext>
          </a:extLst>
        </xdr:cNvPr>
        <xdr:cNvSpPr>
          <a:spLocks noChangeAspect="1"/>
        </xdr:cNvSpPr>
      </xdr:nvSpPr>
      <xdr:spPr>
        <a:xfrm>
          <a:off x="225936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107</xdr:row>
      <xdr:rowOff>75750</xdr:rowOff>
    </xdr:from>
    <xdr:to>
      <xdr:col>33</xdr:col>
      <xdr:colOff>160201</xdr:colOff>
      <xdr:row>112</xdr:row>
      <xdr:rowOff>10501</xdr:rowOff>
    </xdr:to>
    <xdr:sp macro="" textlink="">
      <xdr:nvSpPr>
        <xdr:cNvPr id="247889" name="フリーフォーム: 図形 247888">
          <a:extLst>
            <a:ext uri="{FF2B5EF4-FFF2-40B4-BE49-F238E27FC236}">
              <a16:creationId xmlns:a16="http://schemas.microsoft.com/office/drawing/2014/main" id="{287BF316-C56C-4625-A2B6-E52C0A63780A}"/>
            </a:ext>
          </a:extLst>
        </xdr:cNvPr>
        <xdr:cNvSpPr>
          <a:spLocks noChangeAspect="1"/>
        </xdr:cNvSpPr>
      </xdr:nvSpPr>
      <xdr:spPr>
        <a:xfrm>
          <a:off x="222696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101</xdr:row>
      <xdr:rowOff>42450</xdr:rowOff>
    </xdr:from>
    <xdr:to>
      <xdr:col>36</xdr:col>
      <xdr:colOff>93601</xdr:colOff>
      <xdr:row>102</xdr:row>
      <xdr:rowOff>15002</xdr:rowOff>
    </xdr:to>
    <xdr:sp macro="" textlink="">
      <xdr:nvSpPr>
        <xdr:cNvPr id="247890" name="フリーフォーム: 図形 247889">
          <a:extLst>
            <a:ext uri="{FF2B5EF4-FFF2-40B4-BE49-F238E27FC236}">
              <a16:creationId xmlns:a16="http://schemas.microsoft.com/office/drawing/2014/main" id="{1C048AFB-648C-495E-B80E-7804CAA81F09}"/>
            </a:ext>
          </a:extLst>
        </xdr:cNvPr>
        <xdr:cNvSpPr>
          <a:spLocks noChangeAspect="1"/>
        </xdr:cNvSpPr>
      </xdr:nvSpPr>
      <xdr:spPr>
        <a:xfrm>
          <a:off x="24314400" y="176256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101</xdr:row>
      <xdr:rowOff>42450</xdr:rowOff>
    </xdr:from>
    <xdr:to>
      <xdr:col>36</xdr:col>
      <xdr:colOff>633601</xdr:colOff>
      <xdr:row>102</xdr:row>
      <xdr:rowOff>15002</xdr:rowOff>
    </xdr:to>
    <xdr:sp macro="" textlink="">
      <xdr:nvSpPr>
        <xdr:cNvPr id="247891" name="フリーフォーム: 図形 247890">
          <a:extLst>
            <a:ext uri="{FF2B5EF4-FFF2-40B4-BE49-F238E27FC236}">
              <a16:creationId xmlns:a16="http://schemas.microsoft.com/office/drawing/2014/main" id="{29C63514-6F6D-4919-9AF7-3B779A8606EA}"/>
            </a:ext>
          </a:extLst>
        </xdr:cNvPr>
        <xdr:cNvSpPr>
          <a:spLocks noChangeAspect="1"/>
        </xdr:cNvSpPr>
      </xdr:nvSpPr>
      <xdr:spPr>
        <a:xfrm>
          <a:off x="24854401" y="176256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101</xdr:row>
      <xdr:rowOff>114450</xdr:rowOff>
    </xdr:from>
    <xdr:to>
      <xdr:col>37</xdr:col>
      <xdr:colOff>19801</xdr:colOff>
      <xdr:row>107</xdr:row>
      <xdr:rowOff>21752</xdr:rowOff>
    </xdr:to>
    <xdr:sp macro="" textlink="">
      <xdr:nvSpPr>
        <xdr:cNvPr id="247892" name="フリーフォーム: 図形 247891">
          <a:extLst>
            <a:ext uri="{FF2B5EF4-FFF2-40B4-BE49-F238E27FC236}">
              <a16:creationId xmlns:a16="http://schemas.microsoft.com/office/drawing/2014/main" id="{9D11E225-B153-46AC-A1C0-BFB5FAC04990}"/>
            </a:ext>
          </a:extLst>
        </xdr:cNvPr>
        <xdr:cNvSpPr>
          <a:spLocks noChangeAspect="1"/>
        </xdr:cNvSpPr>
      </xdr:nvSpPr>
      <xdr:spPr>
        <a:xfrm>
          <a:off x="25106399" y="176976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107</xdr:row>
      <xdr:rowOff>75750</xdr:rowOff>
    </xdr:from>
    <xdr:to>
      <xdr:col>36</xdr:col>
      <xdr:colOff>525601</xdr:colOff>
      <xdr:row>112</xdr:row>
      <xdr:rowOff>136501</xdr:rowOff>
    </xdr:to>
    <xdr:sp macro="" textlink="">
      <xdr:nvSpPr>
        <xdr:cNvPr id="247893" name="フリーフォーム: 図形 247892">
          <a:extLst>
            <a:ext uri="{FF2B5EF4-FFF2-40B4-BE49-F238E27FC236}">
              <a16:creationId xmlns:a16="http://schemas.microsoft.com/office/drawing/2014/main" id="{1183C37D-A9A6-4BA8-928A-617713AF7B59}"/>
            </a:ext>
          </a:extLst>
        </xdr:cNvPr>
        <xdr:cNvSpPr>
          <a:spLocks noChangeAspect="1"/>
        </xdr:cNvSpPr>
      </xdr:nvSpPr>
      <xdr:spPr>
        <a:xfrm>
          <a:off x="24926399" y="186876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112</xdr:row>
      <xdr:rowOff>64500</xdr:rowOff>
    </xdr:from>
    <xdr:to>
      <xdr:col>35</xdr:col>
      <xdr:colOff>455401</xdr:colOff>
      <xdr:row>113</xdr:row>
      <xdr:rowOff>37051</xdr:rowOff>
    </xdr:to>
    <xdr:sp macro="" textlink="">
      <xdr:nvSpPr>
        <xdr:cNvPr id="247894" name="フリーフォーム: 図形 247893">
          <a:extLst>
            <a:ext uri="{FF2B5EF4-FFF2-40B4-BE49-F238E27FC236}">
              <a16:creationId xmlns:a16="http://schemas.microsoft.com/office/drawing/2014/main" id="{45CBD188-DF19-4BDE-9905-6DBCC7F4DD76}"/>
            </a:ext>
          </a:extLst>
        </xdr:cNvPr>
        <xdr:cNvSpPr>
          <a:spLocks noChangeAspect="1"/>
        </xdr:cNvSpPr>
      </xdr:nvSpPr>
      <xdr:spPr>
        <a:xfrm>
          <a:off x="23972400" y="195336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112</xdr:row>
      <xdr:rowOff>64500</xdr:rowOff>
    </xdr:from>
    <xdr:to>
      <xdr:col>36</xdr:col>
      <xdr:colOff>273601</xdr:colOff>
      <xdr:row>113</xdr:row>
      <xdr:rowOff>37051</xdr:rowOff>
    </xdr:to>
    <xdr:sp macro="" textlink="">
      <xdr:nvSpPr>
        <xdr:cNvPr id="247895" name="フリーフォーム: 図形 247894">
          <a:extLst>
            <a:ext uri="{FF2B5EF4-FFF2-40B4-BE49-F238E27FC236}">
              <a16:creationId xmlns:a16="http://schemas.microsoft.com/office/drawing/2014/main" id="{49ABD838-08C5-47DE-9DE4-554F7E171CA2}"/>
            </a:ext>
          </a:extLst>
        </xdr:cNvPr>
        <xdr:cNvSpPr>
          <a:spLocks noChangeAspect="1"/>
        </xdr:cNvSpPr>
      </xdr:nvSpPr>
      <xdr:spPr>
        <a:xfrm>
          <a:off x="24494399" y="195336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107</xdr:row>
      <xdr:rowOff>75750</xdr:rowOff>
    </xdr:from>
    <xdr:to>
      <xdr:col>35</xdr:col>
      <xdr:colOff>203401</xdr:colOff>
      <xdr:row>112</xdr:row>
      <xdr:rowOff>136501</xdr:rowOff>
    </xdr:to>
    <xdr:sp macro="" textlink="">
      <xdr:nvSpPr>
        <xdr:cNvPr id="247896" name="フリーフォーム: 図形 247895">
          <a:extLst>
            <a:ext uri="{FF2B5EF4-FFF2-40B4-BE49-F238E27FC236}">
              <a16:creationId xmlns:a16="http://schemas.microsoft.com/office/drawing/2014/main" id="{5363BF4B-9A18-47DD-818C-5C31B37053FE}"/>
            </a:ext>
          </a:extLst>
        </xdr:cNvPr>
        <xdr:cNvSpPr>
          <a:spLocks noChangeAspect="1"/>
        </xdr:cNvSpPr>
      </xdr:nvSpPr>
      <xdr:spPr>
        <a:xfrm>
          <a:off x="23918401" y="186876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101</xdr:row>
      <xdr:rowOff>114450</xdr:rowOff>
    </xdr:from>
    <xdr:to>
      <xdr:col>35</xdr:col>
      <xdr:colOff>347402</xdr:colOff>
      <xdr:row>107</xdr:row>
      <xdr:rowOff>21752</xdr:rowOff>
    </xdr:to>
    <xdr:sp macro="" textlink="">
      <xdr:nvSpPr>
        <xdr:cNvPr id="247897" name="フリーフォーム: 図形 247896">
          <a:extLst>
            <a:ext uri="{FF2B5EF4-FFF2-40B4-BE49-F238E27FC236}">
              <a16:creationId xmlns:a16="http://schemas.microsoft.com/office/drawing/2014/main" id="{59CC645C-CEA6-4A87-9ECD-849E52A2C9EE}"/>
            </a:ext>
          </a:extLst>
        </xdr:cNvPr>
        <xdr:cNvSpPr>
          <a:spLocks noChangeAspect="1"/>
        </xdr:cNvSpPr>
      </xdr:nvSpPr>
      <xdr:spPr>
        <a:xfrm>
          <a:off x="24098400" y="176976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106</xdr:row>
      <xdr:rowOff>139199</xdr:rowOff>
    </xdr:from>
    <xdr:to>
      <xdr:col>35</xdr:col>
      <xdr:colOff>617401</xdr:colOff>
      <xdr:row>107</xdr:row>
      <xdr:rowOff>111751</xdr:rowOff>
    </xdr:to>
    <xdr:sp macro="" textlink="">
      <xdr:nvSpPr>
        <xdr:cNvPr id="247898" name="フリーフォーム: 図形 247897">
          <a:extLst>
            <a:ext uri="{FF2B5EF4-FFF2-40B4-BE49-F238E27FC236}">
              <a16:creationId xmlns:a16="http://schemas.microsoft.com/office/drawing/2014/main" id="{93FE601F-8C74-4BFE-90A8-660DD794D6C0}"/>
            </a:ext>
          </a:extLst>
        </xdr:cNvPr>
        <xdr:cNvSpPr>
          <a:spLocks noChangeAspect="1"/>
        </xdr:cNvSpPr>
      </xdr:nvSpPr>
      <xdr:spPr>
        <a:xfrm>
          <a:off x="24170401" y="185795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106</xdr:row>
      <xdr:rowOff>139199</xdr:rowOff>
    </xdr:from>
    <xdr:to>
      <xdr:col>36</xdr:col>
      <xdr:colOff>435601</xdr:colOff>
      <xdr:row>107</xdr:row>
      <xdr:rowOff>111751</xdr:rowOff>
    </xdr:to>
    <xdr:sp macro="" textlink="">
      <xdr:nvSpPr>
        <xdr:cNvPr id="247899" name="フリーフォーム: 図形 247898">
          <a:extLst>
            <a:ext uri="{FF2B5EF4-FFF2-40B4-BE49-F238E27FC236}">
              <a16:creationId xmlns:a16="http://schemas.microsoft.com/office/drawing/2014/main" id="{A0F5D174-1B2B-4FA5-8E3B-45840EC676A4}"/>
            </a:ext>
          </a:extLst>
        </xdr:cNvPr>
        <xdr:cNvSpPr>
          <a:spLocks noChangeAspect="1"/>
        </xdr:cNvSpPr>
      </xdr:nvSpPr>
      <xdr:spPr>
        <a:xfrm>
          <a:off x="24674399" y="185795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102</xdr:row>
      <xdr:rowOff>51000</xdr:rowOff>
    </xdr:from>
    <xdr:to>
      <xdr:col>35</xdr:col>
      <xdr:colOff>635401</xdr:colOff>
      <xdr:row>107</xdr:row>
      <xdr:rowOff>3751</xdr:rowOff>
    </xdr:to>
    <xdr:sp macro="" textlink="">
      <xdr:nvSpPr>
        <xdr:cNvPr id="247900" name="フリーフォーム: 図形 247899">
          <a:extLst>
            <a:ext uri="{FF2B5EF4-FFF2-40B4-BE49-F238E27FC236}">
              <a16:creationId xmlns:a16="http://schemas.microsoft.com/office/drawing/2014/main" id="{1E4F5D5E-99B0-403B-B789-D6C94DA025ED}"/>
            </a:ext>
          </a:extLst>
        </xdr:cNvPr>
        <xdr:cNvSpPr>
          <a:spLocks noChangeAspect="1"/>
        </xdr:cNvSpPr>
      </xdr:nvSpPr>
      <xdr:spPr>
        <a:xfrm>
          <a:off x="24368399" y="178056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101</xdr:row>
      <xdr:rowOff>114450</xdr:rowOff>
    </xdr:from>
    <xdr:to>
      <xdr:col>36</xdr:col>
      <xdr:colOff>201601</xdr:colOff>
      <xdr:row>106</xdr:row>
      <xdr:rowOff>157201</xdr:rowOff>
    </xdr:to>
    <xdr:sp macro="" textlink="">
      <xdr:nvSpPr>
        <xdr:cNvPr id="247901" name="フリーフォーム: 図形 247900">
          <a:extLst>
            <a:ext uri="{FF2B5EF4-FFF2-40B4-BE49-F238E27FC236}">
              <a16:creationId xmlns:a16="http://schemas.microsoft.com/office/drawing/2014/main" id="{56A93F91-478B-46B2-B1A7-2A22C9B5440E}"/>
            </a:ext>
          </a:extLst>
        </xdr:cNvPr>
        <xdr:cNvSpPr>
          <a:spLocks noChangeAspect="1"/>
        </xdr:cNvSpPr>
      </xdr:nvSpPr>
      <xdr:spPr>
        <a:xfrm>
          <a:off x="24638400" y="176976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102</xdr:row>
      <xdr:rowOff>69000</xdr:rowOff>
    </xdr:from>
    <xdr:to>
      <xdr:col>36</xdr:col>
      <xdr:colOff>525601</xdr:colOff>
      <xdr:row>107</xdr:row>
      <xdr:rowOff>3751</xdr:rowOff>
    </xdr:to>
    <xdr:sp macro="" textlink="">
      <xdr:nvSpPr>
        <xdr:cNvPr id="247902" name="フリーフォーム: 図形 247901">
          <a:extLst>
            <a:ext uri="{FF2B5EF4-FFF2-40B4-BE49-F238E27FC236}">
              <a16:creationId xmlns:a16="http://schemas.microsoft.com/office/drawing/2014/main" id="{E4178890-F737-4DAD-8C05-7AB1BD7F5D6B}"/>
            </a:ext>
          </a:extLst>
        </xdr:cNvPr>
        <xdr:cNvSpPr>
          <a:spLocks noChangeAspect="1"/>
        </xdr:cNvSpPr>
      </xdr:nvSpPr>
      <xdr:spPr>
        <a:xfrm>
          <a:off x="24692400" y="178236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107</xdr:row>
      <xdr:rowOff>75750</xdr:rowOff>
    </xdr:from>
    <xdr:to>
      <xdr:col>36</xdr:col>
      <xdr:colOff>237600</xdr:colOff>
      <xdr:row>111</xdr:row>
      <xdr:rowOff>163951</xdr:rowOff>
    </xdr:to>
    <xdr:sp macro="" textlink="">
      <xdr:nvSpPr>
        <xdr:cNvPr id="247903" name="フリーフォーム: 図形 247902">
          <a:extLst>
            <a:ext uri="{FF2B5EF4-FFF2-40B4-BE49-F238E27FC236}">
              <a16:creationId xmlns:a16="http://schemas.microsoft.com/office/drawing/2014/main" id="{85682FD4-3111-4AE9-B274-E7DDF0CBAC08}"/>
            </a:ext>
          </a:extLst>
        </xdr:cNvPr>
        <xdr:cNvSpPr>
          <a:spLocks noChangeAspect="1"/>
        </xdr:cNvSpPr>
      </xdr:nvSpPr>
      <xdr:spPr>
        <a:xfrm>
          <a:off x="24656400" y="186876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107</xdr:row>
      <xdr:rowOff>93749</xdr:rowOff>
    </xdr:from>
    <xdr:to>
      <xdr:col>35</xdr:col>
      <xdr:colOff>653401</xdr:colOff>
      <xdr:row>112</xdr:row>
      <xdr:rowOff>118501</xdr:rowOff>
    </xdr:to>
    <xdr:sp macro="" textlink="">
      <xdr:nvSpPr>
        <xdr:cNvPr id="247904" name="フリーフォーム: 図形 247903">
          <a:extLst>
            <a:ext uri="{FF2B5EF4-FFF2-40B4-BE49-F238E27FC236}">
              <a16:creationId xmlns:a16="http://schemas.microsoft.com/office/drawing/2014/main" id="{5DBD0147-5DA3-4E93-9EC1-91AC58C72904}"/>
            </a:ext>
          </a:extLst>
        </xdr:cNvPr>
        <xdr:cNvSpPr>
          <a:spLocks noChangeAspect="1"/>
        </xdr:cNvSpPr>
      </xdr:nvSpPr>
      <xdr:spPr>
        <a:xfrm>
          <a:off x="24422401" y="187055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107</xdr:row>
      <xdr:rowOff>75750</xdr:rowOff>
    </xdr:from>
    <xdr:to>
      <xdr:col>35</xdr:col>
      <xdr:colOff>617401</xdr:colOff>
      <xdr:row>112</xdr:row>
      <xdr:rowOff>10501</xdr:rowOff>
    </xdr:to>
    <xdr:sp macro="" textlink="">
      <xdr:nvSpPr>
        <xdr:cNvPr id="247905" name="フリーフォーム: 図形 247904">
          <a:extLst>
            <a:ext uri="{FF2B5EF4-FFF2-40B4-BE49-F238E27FC236}">
              <a16:creationId xmlns:a16="http://schemas.microsoft.com/office/drawing/2014/main" id="{09BBA88A-1755-48E8-BC21-283241023648}"/>
            </a:ext>
          </a:extLst>
        </xdr:cNvPr>
        <xdr:cNvSpPr>
          <a:spLocks noChangeAspect="1"/>
        </xdr:cNvSpPr>
      </xdr:nvSpPr>
      <xdr:spPr>
        <a:xfrm>
          <a:off x="24098400" y="186876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101</xdr:row>
      <xdr:rowOff>42450</xdr:rowOff>
    </xdr:from>
    <xdr:to>
      <xdr:col>38</xdr:col>
      <xdr:colOff>550801</xdr:colOff>
      <xdr:row>102</xdr:row>
      <xdr:rowOff>15002</xdr:rowOff>
    </xdr:to>
    <xdr:sp macro="" textlink="">
      <xdr:nvSpPr>
        <xdr:cNvPr id="247906" name="フリーフォーム: 図形 247905">
          <a:extLst>
            <a:ext uri="{FF2B5EF4-FFF2-40B4-BE49-F238E27FC236}">
              <a16:creationId xmlns:a16="http://schemas.microsoft.com/office/drawing/2014/main" id="{5203B89B-A58D-45E1-9046-112E0CFF7F85}"/>
            </a:ext>
          </a:extLst>
        </xdr:cNvPr>
        <xdr:cNvSpPr>
          <a:spLocks noChangeAspect="1"/>
        </xdr:cNvSpPr>
      </xdr:nvSpPr>
      <xdr:spPr>
        <a:xfrm>
          <a:off x="261432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101</xdr:row>
      <xdr:rowOff>42450</xdr:rowOff>
    </xdr:from>
    <xdr:to>
      <xdr:col>39</xdr:col>
      <xdr:colOff>405000</xdr:colOff>
      <xdr:row>102</xdr:row>
      <xdr:rowOff>15002</xdr:rowOff>
    </xdr:to>
    <xdr:sp macro="" textlink="">
      <xdr:nvSpPr>
        <xdr:cNvPr id="247907" name="フリーフォーム: 図形 247906">
          <a:extLst>
            <a:ext uri="{FF2B5EF4-FFF2-40B4-BE49-F238E27FC236}">
              <a16:creationId xmlns:a16="http://schemas.microsoft.com/office/drawing/2014/main" id="{AF4ABF02-7F9D-485E-8C5E-97F5D151437B}"/>
            </a:ext>
          </a:extLst>
        </xdr:cNvPr>
        <xdr:cNvSpPr>
          <a:spLocks noChangeAspect="1"/>
        </xdr:cNvSpPr>
      </xdr:nvSpPr>
      <xdr:spPr>
        <a:xfrm>
          <a:off x="266831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101</xdr:row>
      <xdr:rowOff>114450</xdr:rowOff>
    </xdr:from>
    <xdr:to>
      <xdr:col>39</xdr:col>
      <xdr:colOff>477001</xdr:colOff>
      <xdr:row>107</xdr:row>
      <xdr:rowOff>21752</xdr:rowOff>
    </xdr:to>
    <xdr:sp macro="" textlink="">
      <xdr:nvSpPr>
        <xdr:cNvPr id="247908" name="フリーフォーム: 図形 247907">
          <a:extLst>
            <a:ext uri="{FF2B5EF4-FFF2-40B4-BE49-F238E27FC236}">
              <a16:creationId xmlns:a16="http://schemas.microsoft.com/office/drawing/2014/main" id="{BB4FB73B-8223-430B-AFBD-9A52AF518E13}"/>
            </a:ext>
          </a:extLst>
        </xdr:cNvPr>
        <xdr:cNvSpPr>
          <a:spLocks noChangeAspect="1"/>
        </xdr:cNvSpPr>
      </xdr:nvSpPr>
      <xdr:spPr>
        <a:xfrm>
          <a:off x="269351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107</xdr:row>
      <xdr:rowOff>75750</xdr:rowOff>
    </xdr:from>
    <xdr:to>
      <xdr:col>39</xdr:col>
      <xdr:colOff>297000</xdr:colOff>
      <xdr:row>112</xdr:row>
      <xdr:rowOff>136501</xdr:rowOff>
    </xdr:to>
    <xdr:sp macro="" textlink="">
      <xdr:nvSpPr>
        <xdr:cNvPr id="247909" name="フリーフォーム: 図形 247908">
          <a:extLst>
            <a:ext uri="{FF2B5EF4-FFF2-40B4-BE49-F238E27FC236}">
              <a16:creationId xmlns:a16="http://schemas.microsoft.com/office/drawing/2014/main" id="{3867755C-BDA6-4062-A963-81231EA25837}"/>
            </a:ext>
          </a:extLst>
        </xdr:cNvPr>
        <xdr:cNvSpPr>
          <a:spLocks noChangeAspect="1"/>
        </xdr:cNvSpPr>
      </xdr:nvSpPr>
      <xdr:spPr>
        <a:xfrm>
          <a:off x="267552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112</xdr:row>
      <xdr:rowOff>64500</xdr:rowOff>
    </xdr:from>
    <xdr:to>
      <xdr:col>38</xdr:col>
      <xdr:colOff>226800</xdr:colOff>
      <xdr:row>113</xdr:row>
      <xdr:rowOff>37051</xdr:rowOff>
    </xdr:to>
    <xdr:sp macro="" textlink="">
      <xdr:nvSpPr>
        <xdr:cNvPr id="247910" name="フリーフォーム: 図形 247909">
          <a:extLst>
            <a:ext uri="{FF2B5EF4-FFF2-40B4-BE49-F238E27FC236}">
              <a16:creationId xmlns:a16="http://schemas.microsoft.com/office/drawing/2014/main" id="{8BC06D61-9018-4B01-B048-12E19DFD156F}"/>
            </a:ext>
          </a:extLst>
        </xdr:cNvPr>
        <xdr:cNvSpPr>
          <a:spLocks noChangeAspect="1"/>
        </xdr:cNvSpPr>
      </xdr:nvSpPr>
      <xdr:spPr>
        <a:xfrm>
          <a:off x="25801200" y="195336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112</xdr:row>
      <xdr:rowOff>64500</xdr:rowOff>
    </xdr:from>
    <xdr:to>
      <xdr:col>39</xdr:col>
      <xdr:colOff>45000</xdr:colOff>
      <xdr:row>113</xdr:row>
      <xdr:rowOff>37051</xdr:rowOff>
    </xdr:to>
    <xdr:sp macro="" textlink="">
      <xdr:nvSpPr>
        <xdr:cNvPr id="247911" name="フリーフォーム: 図形 247910">
          <a:extLst>
            <a:ext uri="{FF2B5EF4-FFF2-40B4-BE49-F238E27FC236}">
              <a16:creationId xmlns:a16="http://schemas.microsoft.com/office/drawing/2014/main" id="{FA742806-DE4C-46D2-A36F-EB428C333B86}"/>
            </a:ext>
          </a:extLst>
        </xdr:cNvPr>
        <xdr:cNvSpPr>
          <a:spLocks noChangeAspect="1"/>
        </xdr:cNvSpPr>
      </xdr:nvSpPr>
      <xdr:spPr>
        <a:xfrm>
          <a:off x="263231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107</xdr:row>
      <xdr:rowOff>75750</xdr:rowOff>
    </xdr:from>
    <xdr:to>
      <xdr:col>37</xdr:col>
      <xdr:colOff>660603</xdr:colOff>
      <xdr:row>112</xdr:row>
      <xdr:rowOff>136501</xdr:rowOff>
    </xdr:to>
    <xdr:sp macro="" textlink="">
      <xdr:nvSpPr>
        <xdr:cNvPr id="247912" name="フリーフォーム: 図形 247911">
          <a:extLst>
            <a:ext uri="{FF2B5EF4-FFF2-40B4-BE49-F238E27FC236}">
              <a16:creationId xmlns:a16="http://schemas.microsoft.com/office/drawing/2014/main" id="{63916C77-B319-428F-BE48-433299F58BB2}"/>
            </a:ext>
          </a:extLst>
        </xdr:cNvPr>
        <xdr:cNvSpPr>
          <a:spLocks noChangeAspect="1"/>
        </xdr:cNvSpPr>
      </xdr:nvSpPr>
      <xdr:spPr>
        <a:xfrm>
          <a:off x="25747201" y="18687600"/>
          <a:ext cx="288002" cy="918001"/>
        </a:xfrm>
        <a:custGeom>
          <a:avLst/>
          <a:gdLst/>
          <a:ahLst/>
          <a:cxnLst/>
          <a:rect l="0" t="0" r="0" b="0"/>
          <a:pathLst>
            <a:path w="288002" h="918001">
              <a:moveTo>
                <a:pt x="143998" y="54000"/>
              </a:moveTo>
              <a:lnTo>
                <a:pt x="215999" y="0"/>
              </a:lnTo>
              <a:lnTo>
                <a:pt x="288001"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101</xdr:row>
      <xdr:rowOff>114450</xdr:rowOff>
    </xdr:from>
    <xdr:to>
      <xdr:col>38</xdr:col>
      <xdr:colOff>118800</xdr:colOff>
      <xdr:row>107</xdr:row>
      <xdr:rowOff>21752</xdr:rowOff>
    </xdr:to>
    <xdr:sp macro="" textlink="">
      <xdr:nvSpPr>
        <xdr:cNvPr id="247913" name="フリーフォーム: 図形 247912">
          <a:extLst>
            <a:ext uri="{FF2B5EF4-FFF2-40B4-BE49-F238E27FC236}">
              <a16:creationId xmlns:a16="http://schemas.microsoft.com/office/drawing/2014/main" id="{6E756F4E-01C7-4BA4-B3CA-7EDD10131D89}"/>
            </a:ext>
          </a:extLst>
        </xdr:cNvPr>
        <xdr:cNvSpPr>
          <a:spLocks noChangeAspect="1"/>
        </xdr:cNvSpPr>
      </xdr:nvSpPr>
      <xdr:spPr>
        <a:xfrm>
          <a:off x="25927200" y="17697600"/>
          <a:ext cx="252000" cy="936002"/>
        </a:xfrm>
        <a:custGeom>
          <a:avLst/>
          <a:gdLst/>
          <a:ahLst/>
          <a:cxnLst/>
          <a:rect l="0" t="0" r="0" b="0"/>
          <a:pathLst>
            <a:path w="252000" h="936002">
              <a:moveTo>
                <a:pt x="126000" y="72001"/>
              </a:moveTo>
              <a:lnTo>
                <a:pt x="180000" y="0"/>
              </a:lnTo>
              <a:lnTo>
                <a:pt x="251999" y="108000"/>
              </a:lnTo>
              <a:lnTo>
                <a:pt x="143999"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106</xdr:row>
      <xdr:rowOff>139199</xdr:rowOff>
    </xdr:from>
    <xdr:to>
      <xdr:col>38</xdr:col>
      <xdr:colOff>388802</xdr:colOff>
      <xdr:row>107</xdr:row>
      <xdr:rowOff>111751</xdr:rowOff>
    </xdr:to>
    <xdr:sp macro="" textlink="">
      <xdr:nvSpPr>
        <xdr:cNvPr id="247914" name="フリーフォーム: 図形 247913">
          <a:extLst>
            <a:ext uri="{FF2B5EF4-FFF2-40B4-BE49-F238E27FC236}">
              <a16:creationId xmlns:a16="http://schemas.microsoft.com/office/drawing/2014/main" id="{677B3244-C326-44ED-A1A3-1EBFFCEC036B}"/>
            </a:ext>
          </a:extLst>
        </xdr:cNvPr>
        <xdr:cNvSpPr>
          <a:spLocks noChangeAspect="1"/>
        </xdr:cNvSpPr>
      </xdr:nvSpPr>
      <xdr:spPr>
        <a:xfrm>
          <a:off x="259992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106</xdr:row>
      <xdr:rowOff>139199</xdr:rowOff>
    </xdr:from>
    <xdr:to>
      <xdr:col>39</xdr:col>
      <xdr:colOff>207002</xdr:colOff>
      <xdr:row>107</xdr:row>
      <xdr:rowOff>111751</xdr:rowOff>
    </xdr:to>
    <xdr:sp macro="" textlink="">
      <xdr:nvSpPr>
        <xdr:cNvPr id="247915" name="フリーフォーム: 図形 247914">
          <a:extLst>
            <a:ext uri="{FF2B5EF4-FFF2-40B4-BE49-F238E27FC236}">
              <a16:creationId xmlns:a16="http://schemas.microsoft.com/office/drawing/2014/main" id="{693A7F61-A5B2-43B8-9E01-E8DEED55E2EB}"/>
            </a:ext>
          </a:extLst>
        </xdr:cNvPr>
        <xdr:cNvSpPr>
          <a:spLocks noChangeAspect="1"/>
        </xdr:cNvSpPr>
      </xdr:nvSpPr>
      <xdr:spPr>
        <a:xfrm>
          <a:off x="265032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102</xdr:row>
      <xdr:rowOff>51000</xdr:rowOff>
    </xdr:from>
    <xdr:to>
      <xdr:col>38</xdr:col>
      <xdr:colOff>406801</xdr:colOff>
      <xdr:row>107</xdr:row>
      <xdr:rowOff>3751</xdr:rowOff>
    </xdr:to>
    <xdr:sp macro="" textlink="">
      <xdr:nvSpPr>
        <xdr:cNvPr id="247916" name="フリーフォーム: 図形 247915">
          <a:extLst>
            <a:ext uri="{FF2B5EF4-FFF2-40B4-BE49-F238E27FC236}">
              <a16:creationId xmlns:a16="http://schemas.microsoft.com/office/drawing/2014/main" id="{F8CBF1E0-4D5E-4B69-B012-753630354AAF}"/>
            </a:ext>
          </a:extLst>
        </xdr:cNvPr>
        <xdr:cNvSpPr>
          <a:spLocks noChangeAspect="1"/>
        </xdr:cNvSpPr>
      </xdr:nvSpPr>
      <xdr:spPr>
        <a:xfrm>
          <a:off x="261972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101</xdr:row>
      <xdr:rowOff>114450</xdr:rowOff>
    </xdr:from>
    <xdr:to>
      <xdr:col>38</xdr:col>
      <xdr:colOff>658801</xdr:colOff>
      <xdr:row>106</xdr:row>
      <xdr:rowOff>157201</xdr:rowOff>
    </xdr:to>
    <xdr:sp macro="" textlink="">
      <xdr:nvSpPr>
        <xdr:cNvPr id="247917" name="フリーフォーム: 図形 247916">
          <a:extLst>
            <a:ext uri="{FF2B5EF4-FFF2-40B4-BE49-F238E27FC236}">
              <a16:creationId xmlns:a16="http://schemas.microsoft.com/office/drawing/2014/main" id="{7500D6A8-7D48-43B1-A757-080FB5E2569D}"/>
            </a:ext>
          </a:extLst>
        </xdr:cNvPr>
        <xdr:cNvSpPr>
          <a:spLocks noChangeAspect="1"/>
        </xdr:cNvSpPr>
      </xdr:nvSpPr>
      <xdr:spPr>
        <a:xfrm>
          <a:off x="264672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102</xdr:row>
      <xdr:rowOff>69000</xdr:rowOff>
    </xdr:from>
    <xdr:to>
      <xdr:col>39</xdr:col>
      <xdr:colOff>297000</xdr:colOff>
      <xdr:row>107</xdr:row>
      <xdr:rowOff>3751</xdr:rowOff>
    </xdr:to>
    <xdr:sp macro="" textlink="">
      <xdr:nvSpPr>
        <xdr:cNvPr id="247918" name="フリーフォーム: 図形 247917">
          <a:extLst>
            <a:ext uri="{FF2B5EF4-FFF2-40B4-BE49-F238E27FC236}">
              <a16:creationId xmlns:a16="http://schemas.microsoft.com/office/drawing/2014/main" id="{516B8882-42E3-4580-800F-A05FAC5912D5}"/>
            </a:ext>
          </a:extLst>
        </xdr:cNvPr>
        <xdr:cNvSpPr>
          <a:spLocks noChangeAspect="1"/>
        </xdr:cNvSpPr>
      </xdr:nvSpPr>
      <xdr:spPr>
        <a:xfrm>
          <a:off x="265212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107</xdr:row>
      <xdr:rowOff>75750</xdr:rowOff>
    </xdr:from>
    <xdr:to>
      <xdr:col>39</xdr:col>
      <xdr:colOff>9002</xdr:colOff>
      <xdr:row>111</xdr:row>
      <xdr:rowOff>163951</xdr:rowOff>
    </xdr:to>
    <xdr:sp macro="" textlink="">
      <xdr:nvSpPr>
        <xdr:cNvPr id="247919" name="フリーフォーム: 図形 247918">
          <a:extLst>
            <a:ext uri="{FF2B5EF4-FFF2-40B4-BE49-F238E27FC236}">
              <a16:creationId xmlns:a16="http://schemas.microsoft.com/office/drawing/2014/main" id="{3D4C9E30-EEF0-4804-BC5E-F84FF112D669}"/>
            </a:ext>
          </a:extLst>
        </xdr:cNvPr>
        <xdr:cNvSpPr>
          <a:spLocks noChangeAspect="1"/>
        </xdr:cNvSpPr>
      </xdr:nvSpPr>
      <xdr:spPr>
        <a:xfrm>
          <a:off x="264851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107</xdr:row>
      <xdr:rowOff>93749</xdr:rowOff>
    </xdr:from>
    <xdr:to>
      <xdr:col>38</xdr:col>
      <xdr:colOff>424800</xdr:colOff>
      <xdr:row>112</xdr:row>
      <xdr:rowOff>118501</xdr:rowOff>
    </xdr:to>
    <xdr:sp macro="" textlink="">
      <xdr:nvSpPr>
        <xdr:cNvPr id="247920" name="フリーフォーム: 図形 247919">
          <a:extLst>
            <a:ext uri="{FF2B5EF4-FFF2-40B4-BE49-F238E27FC236}">
              <a16:creationId xmlns:a16="http://schemas.microsoft.com/office/drawing/2014/main" id="{AF214930-593E-4D8D-8D19-91B0A6C58111}"/>
            </a:ext>
          </a:extLst>
        </xdr:cNvPr>
        <xdr:cNvSpPr>
          <a:spLocks noChangeAspect="1"/>
        </xdr:cNvSpPr>
      </xdr:nvSpPr>
      <xdr:spPr>
        <a:xfrm>
          <a:off x="262512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107</xdr:row>
      <xdr:rowOff>75750</xdr:rowOff>
    </xdr:from>
    <xdr:to>
      <xdr:col>38</xdr:col>
      <xdr:colOff>388802</xdr:colOff>
      <xdr:row>112</xdr:row>
      <xdr:rowOff>10501</xdr:rowOff>
    </xdr:to>
    <xdr:sp macro="" textlink="">
      <xdr:nvSpPr>
        <xdr:cNvPr id="247921" name="フリーフォーム: 図形 247920">
          <a:extLst>
            <a:ext uri="{FF2B5EF4-FFF2-40B4-BE49-F238E27FC236}">
              <a16:creationId xmlns:a16="http://schemas.microsoft.com/office/drawing/2014/main" id="{41F8AD55-5CC2-414A-942D-D49899E17750}"/>
            </a:ext>
          </a:extLst>
        </xdr:cNvPr>
        <xdr:cNvSpPr>
          <a:spLocks noChangeAspect="1"/>
        </xdr:cNvSpPr>
      </xdr:nvSpPr>
      <xdr:spPr>
        <a:xfrm>
          <a:off x="25927200" y="18687600"/>
          <a:ext cx="522002" cy="792001"/>
        </a:xfrm>
        <a:custGeom>
          <a:avLst/>
          <a:gdLst/>
          <a:ahLst/>
          <a:cxnLst/>
          <a:rect l="0" t="0" r="0" b="0"/>
          <a:pathLst>
            <a:path w="522002" h="792001">
              <a:moveTo>
                <a:pt x="395999" y="72001"/>
              </a:moveTo>
              <a:lnTo>
                <a:pt x="522001" y="0"/>
              </a:lnTo>
              <a:lnTo>
                <a:pt x="324001" y="378001"/>
              </a:lnTo>
              <a:lnTo>
                <a:pt x="162001"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101</xdr:row>
      <xdr:rowOff>42450</xdr:rowOff>
    </xdr:from>
    <xdr:to>
      <xdr:col>41</xdr:col>
      <xdr:colOff>322201</xdr:colOff>
      <xdr:row>102</xdr:row>
      <xdr:rowOff>15002</xdr:rowOff>
    </xdr:to>
    <xdr:sp macro="" textlink="">
      <xdr:nvSpPr>
        <xdr:cNvPr id="247922" name="フリーフォーム: 図形 247921">
          <a:extLst>
            <a:ext uri="{FF2B5EF4-FFF2-40B4-BE49-F238E27FC236}">
              <a16:creationId xmlns:a16="http://schemas.microsoft.com/office/drawing/2014/main" id="{8B8372CE-6866-449E-A62E-77BE629A22B2}"/>
            </a:ext>
          </a:extLst>
        </xdr:cNvPr>
        <xdr:cNvSpPr>
          <a:spLocks noChangeAspect="1"/>
        </xdr:cNvSpPr>
      </xdr:nvSpPr>
      <xdr:spPr>
        <a:xfrm>
          <a:off x="279720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101</xdr:row>
      <xdr:rowOff>42450</xdr:rowOff>
    </xdr:from>
    <xdr:to>
      <xdr:col>42</xdr:col>
      <xdr:colOff>176400</xdr:colOff>
      <xdr:row>102</xdr:row>
      <xdr:rowOff>15002</xdr:rowOff>
    </xdr:to>
    <xdr:sp macro="" textlink="">
      <xdr:nvSpPr>
        <xdr:cNvPr id="247923" name="フリーフォーム: 図形 247922">
          <a:extLst>
            <a:ext uri="{FF2B5EF4-FFF2-40B4-BE49-F238E27FC236}">
              <a16:creationId xmlns:a16="http://schemas.microsoft.com/office/drawing/2014/main" id="{0C4D5427-5B42-4F98-BCF7-A6D1CC6001D7}"/>
            </a:ext>
          </a:extLst>
        </xdr:cNvPr>
        <xdr:cNvSpPr>
          <a:spLocks noChangeAspect="1"/>
        </xdr:cNvSpPr>
      </xdr:nvSpPr>
      <xdr:spPr>
        <a:xfrm>
          <a:off x="285119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101</xdr:row>
      <xdr:rowOff>114450</xdr:rowOff>
    </xdr:from>
    <xdr:to>
      <xdr:col>42</xdr:col>
      <xdr:colOff>248401</xdr:colOff>
      <xdr:row>107</xdr:row>
      <xdr:rowOff>21752</xdr:rowOff>
    </xdr:to>
    <xdr:sp macro="" textlink="">
      <xdr:nvSpPr>
        <xdr:cNvPr id="247924" name="フリーフォーム: 図形 247923">
          <a:extLst>
            <a:ext uri="{FF2B5EF4-FFF2-40B4-BE49-F238E27FC236}">
              <a16:creationId xmlns:a16="http://schemas.microsoft.com/office/drawing/2014/main" id="{9C07D5C0-E6A6-4138-9690-4C215A51BA7E}"/>
            </a:ext>
          </a:extLst>
        </xdr:cNvPr>
        <xdr:cNvSpPr>
          <a:spLocks noChangeAspect="1"/>
        </xdr:cNvSpPr>
      </xdr:nvSpPr>
      <xdr:spPr>
        <a:xfrm>
          <a:off x="287639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107</xdr:row>
      <xdr:rowOff>75750</xdr:rowOff>
    </xdr:from>
    <xdr:to>
      <xdr:col>42</xdr:col>
      <xdr:colOff>68400</xdr:colOff>
      <xdr:row>112</xdr:row>
      <xdr:rowOff>136501</xdr:rowOff>
    </xdr:to>
    <xdr:sp macro="" textlink="">
      <xdr:nvSpPr>
        <xdr:cNvPr id="247925" name="フリーフォーム: 図形 247924">
          <a:extLst>
            <a:ext uri="{FF2B5EF4-FFF2-40B4-BE49-F238E27FC236}">
              <a16:creationId xmlns:a16="http://schemas.microsoft.com/office/drawing/2014/main" id="{5EE57F97-E841-48A8-8DAA-8156E811585D}"/>
            </a:ext>
          </a:extLst>
        </xdr:cNvPr>
        <xdr:cNvSpPr>
          <a:spLocks noChangeAspect="1"/>
        </xdr:cNvSpPr>
      </xdr:nvSpPr>
      <xdr:spPr>
        <a:xfrm>
          <a:off x="285840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112</xdr:row>
      <xdr:rowOff>64500</xdr:rowOff>
    </xdr:from>
    <xdr:to>
      <xdr:col>40</xdr:col>
      <xdr:colOff>684000</xdr:colOff>
      <xdr:row>113</xdr:row>
      <xdr:rowOff>37051</xdr:rowOff>
    </xdr:to>
    <xdr:sp macro="" textlink="">
      <xdr:nvSpPr>
        <xdr:cNvPr id="247926" name="フリーフォーム: 図形 247925">
          <a:extLst>
            <a:ext uri="{FF2B5EF4-FFF2-40B4-BE49-F238E27FC236}">
              <a16:creationId xmlns:a16="http://schemas.microsoft.com/office/drawing/2014/main" id="{A6FF1D28-CCED-4DB4-BB61-1D7199B58110}"/>
            </a:ext>
          </a:extLst>
        </xdr:cNvPr>
        <xdr:cNvSpPr>
          <a:spLocks noChangeAspect="1"/>
        </xdr:cNvSpPr>
      </xdr:nvSpPr>
      <xdr:spPr>
        <a:xfrm>
          <a:off x="276300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112</xdr:row>
      <xdr:rowOff>64500</xdr:rowOff>
    </xdr:from>
    <xdr:to>
      <xdr:col>41</xdr:col>
      <xdr:colOff>502200</xdr:colOff>
      <xdr:row>113</xdr:row>
      <xdr:rowOff>37051</xdr:rowOff>
    </xdr:to>
    <xdr:sp macro="" textlink="">
      <xdr:nvSpPr>
        <xdr:cNvPr id="247927" name="フリーフォーム: 図形 247926">
          <a:extLst>
            <a:ext uri="{FF2B5EF4-FFF2-40B4-BE49-F238E27FC236}">
              <a16:creationId xmlns:a16="http://schemas.microsoft.com/office/drawing/2014/main" id="{ECF030A9-A3ED-4F27-9001-5B59450E9E14}"/>
            </a:ext>
          </a:extLst>
        </xdr:cNvPr>
        <xdr:cNvSpPr>
          <a:spLocks noChangeAspect="1"/>
        </xdr:cNvSpPr>
      </xdr:nvSpPr>
      <xdr:spPr>
        <a:xfrm>
          <a:off x="281519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107</xdr:row>
      <xdr:rowOff>75750</xdr:rowOff>
    </xdr:from>
    <xdr:to>
      <xdr:col>40</xdr:col>
      <xdr:colOff>432003</xdr:colOff>
      <xdr:row>112</xdr:row>
      <xdr:rowOff>136501</xdr:rowOff>
    </xdr:to>
    <xdr:sp macro="" textlink="">
      <xdr:nvSpPr>
        <xdr:cNvPr id="247928" name="フリーフォーム: 図形 247927">
          <a:extLst>
            <a:ext uri="{FF2B5EF4-FFF2-40B4-BE49-F238E27FC236}">
              <a16:creationId xmlns:a16="http://schemas.microsoft.com/office/drawing/2014/main" id="{DB17A9F2-93EB-4CFB-8328-06B42931E39E}"/>
            </a:ext>
          </a:extLst>
        </xdr:cNvPr>
        <xdr:cNvSpPr>
          <a:spLocks noChangeAspect="1"/>
        </xdr:cNvSpPr>
      </xdr:nvSpPr>
      <xdr:spPr>
        <a:xfrm>
          <a:off x="275760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101</xdr:row>
      <xdr:rowOff>114450</xdr:rowOff>
    </xdr:from>
    <xdr:to>
      <xdr:col>40</xdr:col>
      <xdr:colOff>576000</xdr:colOff>
      <xdr:row>107</xdr:row>
      <xdr:rowOff>21752</xdr:rowOff>
    </xdr:to>
    <xdr:sp macro="" textlink="">
      <xdr:nvSpPr>
        <xdr:cNvPr id="247929" name="フリーフォーム: 図形 247928">
          <a:extLst>
            <a:ext uri="{FF2B5EF4-FFF2-40B4-BE49-F238E27FC236}">
              <a16:creationId xmlns:a16="http://schemas.microsoft.com/office/drawing/2014/main" id="{6319EB7C-2272-402B-86F1-61B1C7470506}"/>
            </a:ext>
          </a:extLst>
        </xdr:cNvPr>
        <xdr:cNvSpPr>
          <a:spLocks noChangeAspect="1"/>
        </xdr:cNvSpPr>
      </xdr:nvSpPr>
      <xdr:spPr>
        <a:xfrm>
          <a:off x="277559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106</xdr:row>
      <xdr:rowOff>139199</xdr:rowOff>
    </xdr:from>
    <xdr:to>
      <xdr:col>41</xdr:col>
      <xdr:colOff>160202</xdr:colOff>
      <xdr:row>107</xdr:row>
      <xdr:rowOff>111751</xdr:rowOff>
    </xdr:to>
    <xdr:sp macro="" textlink="">
      <xdr:nvSpPr>
        <xdr:cNvPr id="247930" name="フリーフォーム: 図形 247929">
          <a:extLst>
            <a:ext uri="{FF2B5EF4-FFF2-40B4-BE49-F238E27FC236}">
              <a16:creationId xmlns:a16="http://schemas.microsoft.com/office/drawing/2014/main" id="{B06C0B12-4994-4104-8AAC-3EECCFA224CF}"/>
            </a:ext>
          </a:extLst>
        </xdr:cNvPr>
        <xdr:cNvSpPr>
          <a:spLocks noChangeAspect="1"/>
        </xdr:cNvSpPr>
      </xdr:nvSpPr>
      <xdr:spPr>
        <a:xfrm>
          <a:off x="278280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106</xdr:row>
      <xdr:rowOff>139199</xdr:rowOff>
    </xdr:from>
    <xdr:to>
      <xdr:col>41</xdr:col>
      <xdr:colOff>664202</xdr:colOff>
      <xdr:row>107</xdr:row>
      <xdr:rowOff>111751</xdr:rowOff>
    </xdr:to>
    <xdr:sp macro="" textlink="">
      <xdr:nvSpPr>
        <xdr:cNvPr id="247931" name="フリーフォーム: 図形 247930">
          <a:extLst>
            <a:ext uri="{FF2B5EF4-FFF2-40B4-BE49-F238E27FC236}">
              <a16:creationId xmlns:a16="http://schemas.microsoft.com/office/drawing/2014/main" id="{7352FDEA-6CB6-4CA9-A97A-570A4E41F087}"/>
            </a:ext>
          </a:extLst>
        </xdr:cNvPr>
        <xdr:cNvSpPr>
          <a:spLocks noChangeAspect="1"/>
        </xdr:cNvSpPr>
      </xdr:nvSpPr>
      <xdr:spPr>
        <a:xfrm>
          <a:off x="283320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102</xdr:row>
      <xdr:rowOff>51000</xdr:rowOff>
    </xdr:from>
    <xdr:to>
      <xdr:col>41</xdr:col>
      <xdr:colOff>178201</xdr:colOff>
      <xdr:row>107</xdr:row>
      <xdr:rowOff>3751</xdr:rowOff>
    </xdr:to>
    <xdr:sp macro="" textlink="">
      <xdr:nvSpPr>
        <xdr:cNvPr id="247932" name="フリーフォーム: 図形 247931">
          <a:extLst>
            <a:ext uri="{FF2B5EF4-FFF2-40B4-BE49-F238E27FC236}">
              <a16:creationId xmlns:a16="http://schemas.microsoft.com/office/drawing/2014/main" id="{57577C6C-744B-44F5-8ECA-722A97CD55EF}"/>
            </a:ext>
          </a:extLst>
        </xdr:cNvPr>
        <xdr:cNvSpPr>
          <a:spLocks noChangeAspect="1"/>
        </xdr:cNvSpPr>
      </xdr:nvSpPr>
      <xdr:spPr>
        <a:xfrm>
          <a:off x="280260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101</xdr:row>
      <xdr:rowOff>114450</xdr:rowOff>
    </xdr:from>
    <xdr:to>
      <xdr:col>41</xdr:col>
      <xdr:colOff>430201</xdr:colOff>
      <xdr:row>106</xdr:row>
      <xdr:rowOff>157201</xdr:rowOff>
    </xdr:to>
    <xdr:sp macro="" textlink="">
      <xdr:nvSpPr>
        <xdr:cNvPr id="247933" name="フリーフォーム: 図形 247932">
          <a:extLst>
            <a:ext uri="{FF2B5EF4-FFF2-40B4-BE49-F238E27FC236}">
              <a16:creationId xmlns:a16="http://schemas.microsoft.com/office/drawing/2014/main" id="{4487D261-EE79-411B-B8CC-25CE2E141621}"/>
            </a:ext>
          </a:extLst>
        </xdr:cNvPr>
        <xdr:cNvSpPr>
          <a:spLocks noChangeAspect="1"/>
        </xdr:cNvSpPr>
      </xdr:nvSpPr>
      <xdr:spPr>
        <a:xfrm>
          <a:off x="282960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102</xdr:row>
      <xdr:rowOff>69000</xdr:rowOff>
    </xdr:from>
    <xdr:to>
      <xdr:col>42</xdr:col>
      <xdr:colOff>68400</xdr:colOff>
      <xdr:row>107</xdr:row>
      <xdr:rowOff>3751</xdr:rowOff>
    </xdr:to>
    <xdr:sp macro="" textlink="">
      <xdr:nvSpPr>
        <xdr:cNvPr id="247934" name="フリーフォーム: 図形 247933">
          <a:extLst>
            <a:ext uri="{FF2B5EF4-FFF2-40B4-BE49-F238E27FC236}">
              <a16:creationId xmlns:a16="http://schemas.microsoft.com/office/drawing/2014/main" id="{16C872B9-6293-4B42-93F2-7EA012C60772}"/>
            </a:ext>
          </a:extLst>
        </xdr:cNvPr>
        <xdr:cNvSpPr>
          <a:spLocks noChangeAspect="1"/>
        </xdr:cNvSpPr>
      </xdr:nvSpPr>
      <xdr:spPr>
        <a:xfrm>
          <a:off x="283500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107</xdr:row>
      <xdr:rowOff>75750</xdr:rowOff>
    </xdr:from>
    <xdr:to>
      <xdr:col>41</xdr:col>
      <xdr:colOff>466202</xdr:colOff>
      <xdr:row>111</xdr:row>
      <xdr:rowOff>163951</xdr:rowOff>
    </xdr:to>
    <xdr:sp macro="" textlink="">
      <xdr:nvSpPr>
        <xdr:cNvPr id="247935" name="フリーフォーム: 図形 247934">
          <a:extLst>
            <a:ext uri="{FF2B5EF4-FFF2-40B4-BE49-F238E27FC236}">
              <a16:creationId xmlns:a16="http://schemas.microsoft.com/office/drawing/2014/main" id="{3F45B547-5F41-4570-8E5C-79239C713827}"/>
            </a:ext>
          </a:extLst>
        </xdr:cNvPr>
        <xdr:cNvSpPr>
          <a:spLocks noChangeAspect="1"/>
        </xdr:cNvSpPr>
      </xdr:nvSpPr>
      <xdr:spPr>
        <a:xfrm>
          <a:off x="283139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107</xdr:row>
      <xdr:rowOff>93749</xdr:rowOff>
    </xdr:from>
    <xdr:to>
      <xdr:col>41</xdr:col>
      <xdr:colOff>196200</xdr:colOff>
      <xdr:row>112</xdr:row>
      <xdr:rowOff>118501</xdr:rowOff>
    </xdr:to>
    <xdr:sp macro="" textlink="">
      <xdr:nvSpPr>
        <xdr:cNvPr id="247936" name="フリーフォーム: 図形 247935">
          <a:extLst>
            <a:ext uri="{FF2B5EF4-FFF2-40B4-BE49-F238E27FC236}">
              <a16:creationId xmlns:a16="http://schemas.microsoft.com/office/drawing/2014/main" id="{FE47B4D5-8250-45CA-B490-B58899BE7F46}"/>
            </a:ext>
          </a:extLst>
        </xdr:cNvPr>
        <xdr:cNvSpPr>
          <a:spLocks noChangeAspect="1"/>
        </xdr:cNvSpPr>
      </xdr:nvSpPr>
      <xdr:spPr>
        <a:xfrm>
          <a:off x="280800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107</xdr:row>
      <xdr:rowOff>75750</xdr:rowOff>
    </xdr:from>
    <xdr:to>
      <xdr:col>41</xdr:col>
      <xdr:colOff>160202</xdr:colOff>
      <xdr:row>112</xdr:row>
      <xdr:rowOff>10501</xdr:rowOff>
    </xdr:to>
    <xdr:sp macro="" textlink="">
      <xdr:nvSpPr>
        <xdr:cNvPr id="247937" name="フリーフォーム: 図形 247936">
          <a:extLst>
            <a:ext uri="{FF2B5EF4-FFF2-40B4-BE49-F238E27FC236}">
              <a16:creationId xmlns:a16="http://schemas.microsoft.com/office/drawing/2014/main" id="{F2B64882-5D02-4630-979C-8D152CE99279}"/>
            </a:ext>
          </a:extLst>
        </xdr:cNvPr>
        <xdr:cNvSpPr>
          <a:spLocks noChangeAspect="1"/>
        </xdr:cNvSpPr>
      </xdr:nvSpPr>
      <xdr:spPr>
        <a:xfrm>
          <a:off x="277559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101</xdr:row>
      <xdr:rowOff>42450</xdr:rowOff>
    </xdr:from>
    <xdr:to>
      <xdr:col>44</xdr:col>
      <xdr:colOff>93601</xdr:colOff>
      <xdr:row>102</xdr:row>
      <xdr:rowOff>15002</xdr:rowOff>
    </xdr:to>
    <xdr:sp macro="" textlink="">
      <xdr:nvSpPr>
        <xdr:cNvPr id="247938" name="フリーフォーム: 図形 247937">
          <a:extLst>
            <a:ext uri="{FF2B5EF4-FFF2-40B4-BE49-F238E27FC236}">
              <a16:creationId xmlns:a16="http://schemas.microsoft.com/office/drawing/2014/main" id="{4F62B9AC-EA9F-4A2A-8836-97F5D15EDB39}"/>
            </a:ext>
          </a:extLst>
        </xdr:cNvPr>
        <xdr:cNvSpPr>
          <a:spLocks noChangeAspect="1"/>
        </xdr:cNvSpPr>
      </xdr:nvSpPr>
      <xdr:spPr>
        <a:xfrm>
          <a:off x="298008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101</xdr:row>
      <xdr:rowOff>42450</xdr:rowOff>
    </xdr:from>
    <xdr:to>
      <xdr:col>44</xdr:col>
      <xdr:colOff>633600</xdr:colOff>
      <xdr:row>102</xdr:row>
      <xdr:rowOff>15002</xdr:rowOff>
    </xdr:to>
    <xdr:sp macro="" textlink="">
      <xdr:nvSpPr>
        <xdr:cNvPr id="247939" name="フリーフォーム: 図形 247938">
          <a:extLst>
            <a:ext uri="{FF2B5EF4-FFF2-40B4-BE49-F238E27FC236}">
              <a16:creationId xmlns:a16="http://schemas.microsoft.com/office/drawing/2014/main" id="{85A0D40B-2C41-4C8F-8134-35501E9AA5DC}"/>
            </a:ext>
          </a:extLst>
        </xdr:cNvPr>
        <xdr:cNvSpPr>
          <a:spLocks noChangeAspect="1"/>
        </xdr:cNvSpPr>
      </xdr:nvSpPr>
      <xdr:spPr>
        <a:xfrm>
          <a:off x="303407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101</xdr:row>
      <xdr:rowOff>114450</xdr:rowOff>
    </xdr:from>
    <xdr:to>
      <xdr:col>45</xdr:col>
      <xdr:colOff>19801</xdr:colOff>
      <xdr:row>107</xdr:row>
      <xdr:rowOff>21752</xdr:rowOff>
    </xdr:to>
    <xdr:sp macro="" textlink="">
      <xdr:nvSpPr>
        <xdr:cNvPr id="247940" name="フリーフォーム: 図形 247939">
          <a:extLst>
            <a:ext uri="{FF2B5EF4-FFF2-40B4-BE49-F238E27FC236}">
              <a16:creationId xmlns:a16="http://schemas.microsoft.com/office/drawing/2014/main" id="{03B7C1EC-1C8C-4D97-998B-6C0E3EDF4A33}"/>
            </a:ext>
          </a:extLst>
        </xdr:cNvPr>
        <xdr:cNvSpPr>
          <a:spLocks noChangeAspect="1"/>
        </xdr:cNvSpPr>
      </xdr:nvSpPr>
      <xdr:spPr>
        <a:xfrm>
          <a:off x="305927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107</xdr:row>
      <xdr:rowOff>75750</xdr:rowOff>
    </xdr:from>
    <xdr:to>
      <xdr:col>44</xdr:col>
      <xdr:colOff>525600</xdr:colOff>
      <xdr:row>112</xdr:row>
      <xdr:rowOff>136501</xdr:rowOff>
    </xdr:to>
    <xdr:sp macro="" textlink="">
      <xdr:nvSpPr>
        <xdr:cNvPr id="247941" name="フリーフォーム: 図形 247940">
          <a:extLst>
            <a:ext uri="{FF2B5EF4-FFF2-40B4-BE49-F238E27FC236}">
              <a16:creationId xmlns:a16="http://schemas.microsoft.com/office/drawing/2014/main" id="{FB748118-40B2-4437-9587-4BE07A02ACB5}"/>
            </a:ext>
          </a:extLst>
        </xdr:cNvPr>
        <xdr:cNvSpPr>
          <a:spLocks noChangeAspect="1"/>
        </xdr:cNvSpPr>
      </xdr:nvSpPr>
      <xdr:spPr>
        <a:xfrm>
          <a:off x="304128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112</xdr:row>
      <xdr:rowOff>64500</xdr:rowOff>
    </xdr:from>
    <xdr:to>
      <xdr:col>43</xdr:col>
      <xdr:colOff>455400</xdr:colOff>
      <xdr:row>113</xdr:row>
      <xdr:rowOff>37051</xdr:rowOff>
    </xdr:to>
    <xdr:sp macro="" textlink="">
      <xdr:nvSpPr>
        <xdr:cNvPr id="247942" name="フリーフォーム: 図形 247941">
          <a:extLst>
            <a:ext uri="{FF2B5EF4-FFF2-40B4-BE49-F238E27FC236}">
              <a16:creationId xmlns:a16="http://schemas.microsoft.com/office/drawing/2014/main" id="{B3800F77-762E-4EB0-A8BD-CF1D045F4B47}"/>
            </a:ext>
          </a:extLst>
        </xdr:cNvPr>
        <xdr:cNvSpPr>
          <a:spLocks noChangeAspect="1"/>
        </xdr:cNvSpPr>
      </xdr:nvSpPr>
      <xdr:spPr>
        <a:xfrm>
          <a:off x="294588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112</xdr:row>
      <xdr:rowOff>64500</xdr:rowOff>
    </xdr:from>
    <xdr:to>
      <xdr:col>44</xdr:col>
      <xdr:colOff>273600</xdr:colOff>
      <xdr:row>113</xdr:row>
      <xdr:rowOff>37051</xdr:rowOff>
    </xdr:to>
    <xdr:sp macro="" textlink="">
      <xdr:nvSpPr>
        <xdr:cNvPr id="247943" name="フリーフォーム: 図形 247942">
          <a:extLst>
            <a:ext uri="{FF2B5EF4-FFF2-40B4-BE49-F238E27FC236}">
              <a16:creationId xmlns:a16="http://schemas.microsoft.com/office/drawing/2014/main" id="{50828C14-AB9A-44D5-A481-8C490FF983CF}"/>
            </a:ext>
          </a:extLst>
        </xdr:cNvPr>
        <xdr:cNvSpPr>
          <a:spLocks noChangeAspect="1"/>
        </xdr:cNvSpPr>
      </xdr:nvSpPr>
      <xdr:spPr>
        <a:xfrm>
          <a:off x="299807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107</xdr:row>
      <xdr:rowOff>75750</xdr:rowOff>
    </xdr:from>
    <xdr:to>
      <xdr:col>43</xdr:col>
      <xdr:colOff>203403</xdr:colOff>
      <xdr:row>112</xdr:row>
      <xdr:rowOff>136501</xdr:rowOff>
    </xdr:to>
    <xdr:sp macro="" textlink="">
      <xdr:nvSpPr>
        <xdr:cNvPr id="247944" name="フリーフォーム: 図形 247943">
          <a:extLst>
            <a:ext uri="{FF2B5EF4-FFF2-40B4-BE49-F238E27FC236}">
              <a16:creationId xmlns:a16="http://schemas.microsoft.com/office/drawing/2014/main" id="{E6BACAC8-2E2F-4C82-84BC-3AA3CF8A386E}"/>
            </a:ext>
          </a:extLst>
        </xdr:cNvPr>
        <xdr:cNvSpPr>
          <a:spLocks noChangeAspect="1"/>
        </xdr:cNvSpPr>
      </xdr:nvSpPr>
      <xdr:spPr>
        <a:xfrm>
          <a:off x="294048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101</xdr:row>
      <xdr:rowOff>114450</xdr:rowOff>
    </xdr:from>
    <xdr:to>
      <xdr:col>43</xdr:col>
      <xdr:colOff>347400</xdr:colOff>
      <xdr:row>107</xdr:row>
      <xdr:rowOff>21752</xdr:rowOff>
    </xdr:to>
    <xdr:sp macro="" textlink="">
      <xdr:nvSpPr>
        <xdr:cNvPr id="247945" name="フリーフォーム: 図形 247944">
          <a:extLst>
            <a:ext uri="{FF2B5EF4-FFF2-40B4-BE49-F238E27FC236}">
              <a16:creationId xmlns:a16="http://schemas.microsoft.com/office/drawing/2014/main" id="{93D810CB-F037-4CEA-90FA-CFAAD40765D9}"/>
            </a:ext>
          </a:extLst>
        </xdr:cNvPr>
        <xdr:cNvSpPr>
          <a:spLocks noChangeAspect="1"/>
        </xdr:cNvSpPr>
      </xdr:nvSpPr>
      <xdr:spPr>
        <a:xfrm>
          <a:off x="295847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106</xdr:row>
      <xdr:rowOff>139199</xdr:rowOff>
    </xdr:from>
    <xdr:to>
      <xdr:col>43</xdr:col>
      <xdr:colOff>617402</xdr:colOff>
      <xdr:row>107</xdr:row>
      <xdr:rowOff>111751</xdr:rowOff>
    </xdr:to>
    <xdr:sp macro="" textlink="">
      <xdr:nvSpPr>
        <xdr:cNvPr id="247946" name="フリーフォーム: 図形 247945">
          <a:extLst>
            <a:ext uri="{FF2B5EF4-FFF2-40B4-BE49-F238E27FC236}">
              <a16:creationId xmlns:a16="http://schemas.microsoft.com/office/drawing/2014/main" id="{F3AC729F-E9B0-46D1-B3F3-7AC46B8D94C6}"/>
            </a:ext>
          </a:extLst>
        </xdr:cNvPr>
        <xdr:cNvSpPr>
          <a:spLocks noChangeAspect="1"/>
        </xdr:cNvSpPr>
      </xdr:nvSpPr>
      <xdr:spPr>
        <a:xfrm>
          <a:off x="296568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106</xdr:row>
      <xdr:rowOff>139199</xdr:rowOff>
    </xdr:from>
    <xdr:to>
      <xdr:col>44</xdr:col>
      <xdr:colOff>435602</xdr:colOff>
      <xdr:row>107</xdr:row>
      <xdr:rowOff>111751</xdr:rowOff>
    </xdr:to>
    <xdr:sp macro="" textlink="">
      <xdr:nvSpPr>
        <xdr:cNvPr id="247947" name="フリーフォーム: 図形 247946">
          <a:extLst>
            <a:ext uri="{FF2B5EF4-FFF2-40B4-BE49-F238E27FC236}">
              <a16:creationId xmlns:a16="http://schemas.microsoft.com/office/drawing/2014/main" id="{17226264-720C-4113-ACC8-F0F9BC89F98D}"/>
            </a:ext>
          </a:extLst>
        </xdr:cNvPr>
        <xdr:cNvSpPr>
          <a:spLocks noChangeAspect="1"/>
        </xdr:cNvSpPr>
      </xdr:nvSpPr>
      <xdr:spPr>
        <a:xfrm>
          <a:off x="301608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102</xdr:row>
      <xdr:rowOff>51000</xdr:rowOff>
    </xdr:from>
    <xdr:to>
      <xdr:col>43</xdr:col>
      <xdr:colOff>635401</xdr:colOff>
      <xdr:row>107</xdr:row>
      <xdr:rowOff>3751</xdr:rowOff>
    </xdr:to>
    <xdr:sp macro="" textlink="">
      <xdr:nvSpPr>
        <xdr:cNvPr id="247948" name="フリーフォーム: 図形 247947">
          <a:extLst>
            <a:ext uri="{FF2B5EF4-FFF2-40B4-BE49-F238E27FC236}">
              <a16:creationId xmlns:a16="http://schemas.microsoft.com/office/drawing/2014/main" id="{3420575B-7470-4A5A-9952-AB8AF912431B}"/>
            </a:ext>
          </a:extLst>
        </xdr:cNvPr>
        <xdr:cNvSpPr>
          <a:spLocks noChangeAspect="1"/>
        </xdr:cNvSpPr>
      </xdr:nvSpPr>
      <xdr:spPr>
        <a:xfrm>
          <a:off x="298548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101</xdr:row>
      <xdr:rowOff>114450</xdr:rowOff>
    </xdr:from>
    <xdr:to>
      <xdr:col>44</xdr:col>
      <xdr:colOff>201601</xdr:colOff>
      <xdr:row>106</xdr:row>
      <xdr:rowOff>157201</xdr:rowOff>
    </xdr:to>
    <xdr:sp macro="" textlink="">
      <xdr:nvSpPr>
        <xdr:cNvPr id="247949" name="フリーフォーム: 図形 247948">
          <a:extLst>
            <a:ext uri="{FF2B5EF4-FFF2-40B4-BE49-F238E27FC236}">
              <a16:creationId xmlns:a16="http://schemas.microsoft.com/office/drawing/2014/main" id="{00CCD78E-EBFE-4BD9-BF02-79C3883189FD}"/>
            </a:ext>
          </a:extLst>
        </xdr:cNvPr>
        <xdr:cNvSpPr>
          <a:spLocks noChangeAspect="1"/>
        </xdr:cNvSpPr>
      </xdr:nvSpPr>
      <xdr:spPr>
        <a:xfrm>
          <a:off x="301248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102</xdr:row>
      <xdr:rowOff>69000</xdr:rowOff>
    </xdr:from>
    <xdr:to>
      <xdr:col>44</xdr:col>
      <xdr:colOff>525600</xdr:colOff>
      <xdr:row>107</xdr:row>
      <xdr:rowOff>3751</xdr:rowOff>
    </xdr:to>
    <xdr:sp macro="" textlink="">
      <xdr:nvSpPr>
        <xdr:cNvPr id="247950" name="フリーフォーム: 図形 247949">
          <a:extLst>
            <a:ext uri="{FF2B5EF4-FFF2-40B4-BE49-F238E27FC236}">
              <a16:creationId xmlns:a16="http://schemas.microsoft.com/office/drawing/2014/main" id="{192C6C15-D46F-46FB-8C8D-246E13D843CF}"/>
            </a:ext>
          </a:extLst>
        </xdr:cNvPr>
        <xdr:cNvSpPr>
          <a:spLocks noChangeAspect="1"/>
        </xdr:cNvSpPr>
      </xdr:nvSpPr>
      <xdr:spPr>
        <a:xfrm>
          <a:off x="301788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107</xdr:row>
      <xdr:rowOff>75750</xdr:rowOff>
    </xdr:from>
    <xdr:to>
      <xdr:col>44</xdr:col>
      <xdr:colOff>237602</xdr:colOff>
      <xdr:row>111</xdr:row>
      <xdr:rowOff>163951</xdr:rowOff>
    </xdr:to>
    <xdr:sp macro="" textlink="">
      <xdr:nvSpPr>
        <xdr:cNvPr id="247951" name="フリーフォーム: 図形 247950">
          <a:extLst>
            <a:ext uri="{FF2B5EF4-FFF2-40B4-BE49-F238E27FC236}">
              <a16:creationId xmlns:a16="http://schemas.microsoft.com/office/drawing/2014/main" id="{3B23D1C3-6745-4059-9419-D2F49D6120D7}"/>
            </a:ext>
          </a:extLst>
        </xdr:cNvPr>
        <xdr:cNvSpPr>
          <a:spLocks noChangeAspect="1"/>
        </xdr:cNvSpPr>
      </xdr:nvSpPr>
      <xdr:spPr>
        <a:xfrm>
          <a:off x="301427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107</xdr:row>
      <xdr:rowOff>93749</xdr:rowOff>
    </xdr:from>
    <xdr:to>
      <xdr:col>43</xdr:col>
      <xdr:colOff>653400</xdr:colOff>
      <xdr:row>112</xdr:row>
      <xdr:rowOff>118501</xdr:rowOff>
    </xdr:to>
    <xdr:sp macro="" textlink="">
      <xdr:nvSpPr>
        <xdr:cNvPr id="247952" name="フリーフォーム: 図形 247951">
          <a:extLst>
            <a:ext uri="{FF2B5EF4-FFF2-40B4-BE49-F238E27FC236}">
              <a16:creationId xmlns:a16="http://schemas.microsoft.com/office/drawing/2014/main" id="{FDABACE8-D288-422D-962F-E59B3200F42D}"/>
            </a:ext>
          </a:extLst>
        </xdr:cNvPr>
        <xdr:cNvSpPr>
          <a:spLocks noChangeAspect="1"/>
        </xdr:cNvSpPr>
      </xdr:nvSpPr>
      <xdr:spPr>
        <a:xfrm>
          <a:off x="299088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107</xdr:row>
      <xdr:rowOff>75750</xdr:rowOff>
    </xdr:from>
    <xdr:to>
      <xdr:col>43</xdr:col>
      <xdr:colOff>617402</xdr:colOff>
      <xdr:row>112</xdr:row>
      <xdr:rowOff>10501</xdr:rowOff>
    </xdr:to>
    <xdr:sp macro="" textlink="">
      <xdr:nvSpPr>
        <xdr:cNvPr id="247953" name="フリーフォーム: 図形 247952">
          <a:extLst>
            <a:ext uri="{FF2B5EF4-FFF2-40B4-BE49-F238E27FC236}">
              <a16:creationId xmlns:a16="http://schemas.microsoft.com/office/drawing/2014/main" id="{E718B33B-2881-482D-B7F8-53DE40C28693}"/>
            </a:ext>
          </a:extLst>
        </xdr:cNvPr>
        <xdr:cNvSpPr>
          <a:spLocks noChangeAspect="1"/>
        </xdr:cNvSpPr>
      </xdr:nvSpPr>
      <xdr:spPr>
        <a:xfrm>
          <a:off x="295847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101</xdr:row>
      <xdr:rowOff>42450</xdr:rowOff>
    </xdr:from>
    <xdr:to>
      <xdr:col>46</xdr:col>
      <xdr:colOff>550801</xdr:colOff>
      <xdr:row>102</xdr:row>
      <xdr:rowOff>15002</xdr:rowOff>
    </xdr:to>
    <xdr:sp macro="" textlink="">
      <xdr:nvSpPr>
        <xdr:cNvPr id="247954" name="フリーフォーム: 図形 247953">
          <a:extLst>
            <a:ext uri="{FF2B5EF4-FFF2-40B4-BE49-F238E27FC236}">
              <a16:creationId xmlns:a16="http://schemas.microsoft.com/office/drawing/2014/main" id="{80E495EE-82E5-4A91-9711-E114A22D5F17}"/>
            </a:ext>
          </a:extLst>
        </xdr:cNvPr>
        <xdr:cNvSpPr>
          <a:spLocks noChangeAspect="1"/>
        </xdr:cNvSpPr>
      </xdr:nvSpPr>
      <xdr:spPr>
        <a:xfrm>
          <a:off x="316296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101</xdr:row>
      <xdr:rowOff>42450</xdr:rowOff>
    </xdr:from>
    <xdr:to>
      <xdr:col>47</xdr:col>
      <xdr:colOff>405000</xdr:colOff>
      <xdr:row>102</xdr:row>
      <xdr:rowOff>15002</xdr:rowOff>
    </xdr:to>
    <xdr:sp macro="" textlink="">
      <xdr:nvSpPr>
        <xdr:cNvPr id="247955" name="フリーフォーム: 図形 247954">
          <a:extLst>
            <a:ext uri="{FF2B5EF4-FFF2-40B4-BE49-F238E27FC236}">
              <a16:creationId xmlns:a16="http://schemas.microsoft.com/office/drawing/2014/main" id="{09FD1346-6632-4AD2-8D3E-D230B45040BD}"/>
            </a:ext>
          </a:extLst>
        </xdr:cNvPr>
        <xdr:cNvSpPr>
          <a:spLocks noChangeAspect="1"/>
        </xdr:cNvSpPr>
      </xdr:nvSpPr>
      <xdr:spPr>
        <a:xfrm>
          <a:off x="321695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101</xdr:row>
      <xdr:rowOff>114450</xdr:rowOff>
    </xdr:from>
    <xdr:to>
      <xdr:col>47</xdr:col>
      <xdr:colOff>477001</xdr:colOff>
      <xdr:row>107</xdr:row>
      <xdr:rowOff>21752</xdr:rowOff>
    </xdr:to>
    <xdr:sp macro="" textlink="">
      <xdr:nvSpPr>
        <xdr:cNvPr id="247956" name="フリーフォーム: 図形 247955">
          <a:extLst>
            <a:ext uri="{FF2B5EF4-FFF2-40B4-BE49-F238E27FC236}">
              <a16:creationId xmlns:a16="http://schemas.microsoft.com/office/drawing/2014/main" id="{22B06ABC-E480-4761-ACC4-E162DF319C10}"/>
            </a:ext>
          </a:extLst>
        </xdr:cNvPr>
        <xdr:cNvSpPr>
          <a:spLocks noChangeAspect="1"/>
        </xdr:cNvSpPr>
      </xdr:nvSpPr>
      <xdr:spPr>
        <a:xfrm>
          <a:off x="324215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107</xdr:row>
      <xdr:rowOff>75750</xdr:rowOff>
    </xdr:from>
    <xdr:to>
      <xdr:col>47</xdr:col>
      <xdr:colOff>297000</xdr:colOff>
      <xdr:row>112</xdr:row>
      <xdr:rowOff>136501</xdr:rowOff>
    </xdr:to>
    <xdr:sp macro="" textlink="">
      <xdr:nvSpPr>
        <xdr:cNvPr id="247957" name="フリーフォーム: 図形 247956">
          <a:extLst>
            <a:ext uri="{FF2B5EF4-FFF2-40B4-BE49-F238E27FC236}">
              <a16:creationId xmlns:a16="http://schemas.microsoft.com/office/drawing/2014/main" id="{5211C3D5-7E3F-4F0B-8323-67695C1215F1}"/>
            </a:ext>
          </a:extLst>
        </xdr:cNvPr>
        <xdr:cNvSpPr>
          <a:spLocks noChangeAspect="1"/>
        </xdr:cNvSpPr>
      </xdr:nvSpPr>
      <xdr:spPr>
        <a:xfrm>
          <a:off x="322416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112</xdr:row>
      <xdr:rowOff>64500</xdr:rowOff>
    </xdr:from>
    <xdr:to>
      <xdr:col>46</xdr:col>
      <xdr:colOff>226800</xdr:colOff>
      <xdr:row>113</xdr:row>
      <xdr:rowOff>37051</xdr:rowOff>
    </xdr:to>
    <xdr:sp macro="" textlink="">
      <xdr:nvSpPr>
        <xdr:cNvPr id="247958" name="フリーフォーム: 図形 247957">
          <a:extLst>
            <a:ext uri="{FF2B5EF4-FFF2-40B4-BE49-F238E27FC236}">
              <a16:creationId xmlns:a16="http://schemas.microsoft.com/office/drawing/2014/main" id="{D44699C5-3F30-48F8-94A0-FB89DD80C568}"/>
            </a:ext>
          </a:extLst>
        </xdr:cNvPr>
        <xdr:cNvSpPr>
          <a:spLocks noChangeAspect="1"/>
        </xdr:cNvSpPr>
      </xdr:nvSpPr>
      <xdr:spPr>
        <a:xfrm>
          <a:off x="312876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112</xdr:row>
      <xdr:rowOff>64500</xdr:rowOff>
    </xdr:from>
    <xdr:to>
      <xdr:col>47</xdr:col>
      <xdr:colOff>45000</xdr:colOff>
      <xdr:row>113</xdr:row>
      <xdr:rowOff>37051</xdr:rowOff>
    </xdr:to>
    <xdr:sp macro="" textlink="">
      <xdr:nvSpPr>
        <xdr:cNvPr id="247959" name="フリーフォーム: 図形 247958">
          <a:extLst>
            <a:ext uri="{FF2B5EF4-FFF2-40B4-BE49-F238E27FC236}">
              <a16:creationId xmlns:a16="http://schemas.microsoft.com/office/drawing/2014/main" id="{F03F01EB-30BA-408A-9F55-264A46381E84}"/>
            </a:ext>
          </a:extLst>
        </xdr:cNvPr>
        <xdr:cNvSpPr>
          <a:spLocks noChangeAspect="1"/>
        </xdr:cNvSpPr>
      </xdr:nvSpPr>
      <xdr:spPr>
        <a:xfrm>
          <a:off x="318095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107</xdr:row>
      <xdr:rowOff>75750</xdr:rowOff>
    </xdr:from>
    <xdr:to>
      <xdr:col>45</xdr:col>
      <xdr:colOff>660603</xdr:colOff>
      <xdr:row>112</xdr:row>
      <xdr:rowOff>136501</xdr:rowOff>
    </xdr:to>
    <xdr:sp macro="" textlink="">
      <xdr:nvSpPr>
        <xdr:cNvPr id="247960" name="フリーフォーム: 図形 247959">
          <a:extLst>
            <a:ext uri="{FF2B5EF4-FFF2-40B4-BE49-F238E27FC236}">
              <a16:creationId xmlns:a16="http://schemas.microsoft.com/office/drawing/2014/main" id="{B6875448-C9EE-4606-8DCD-6806EAECE324}"/>
            </a:ext>
          </a:extLst>
        </xdr:cNvPr>
        <xdr:cNvSpPr>
          <a:spLocks noChangeAspect="1"/>
        </xdr:cNvSpPr>
      </xdr:nvSpPr>
      <xdr:spPr>
        <a:xfrm>
          <a:off x="312336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101</xdr:row>
      <xdr:rowOff>114450</xdr:rowOff>
    </xdr:from>
    <xdr:to>
      <xdr:col>46</xdr:col>
      <xdr:colOff>118800</xdr:colOff>
      <xdr:row>107</xdr:row>
      <xdr:rowOff>21752</xdr:rowOff>
    </xdr:to>
    <xdr:sp macro="" textlink="">
      <xdr:nvSpPr>
        <xdr:cNvPr id="247961" name="フリーフォーム: 図形 247960">
          <a:extLst>
            <a:ext uri="{FF2B5EF4-FFF2-40B4-BE49-F238E27FC236}">
              <a16:creationId xmlns:a16="http://schemas.microsoft.com/office/drawing/2014/main" id="{6D59BA4F-A5BE-4937-9B3F-3156994C2FBF}"/>
            </a:ext>
          </a:extLst>
        </xdr:cNvPr>
        <xdr:cNvSpPr>
          <a:spLocks noChangeAspect="1"/>
        </xdr:cNvSpPr>
      </xdr:nvSpPr>
      <xdr:spPr>
        <a:xfrm>
          <a:off x="314135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106</xdr:row>
      <xdr:rowOff>139199</xdr:rowOff>
    </xdr:from>
    <xdr:to>
      <xdr:col>46</xdr:col>
      <xdr:colOff>388802</xdr:colOff>
      <xdr:row>107</xdr:row>
      <xdr:rowOff>111751</xdr:rowOff>
    </xdr:to>
    <xdr:sp macro="" textlink="">
      <xdr:nvSpPr>
        <xdr:cNvPr id="247962" name="フリーフォーム: 図形 247961">
          <a:extLst>
            <a:ext uri="{FF2B5EF4-FFF2-40B4-BE49-F238E27FC236}">
              <a16:creationId xmlns:a16="http://schemas.microsoft.com/office/drawing/2014/main" id="{6F3832DD-B1C3-4FD1-863F-7DFC58055F63}"/>
            </a:ext>
          </a:extLst>
        </xdr:cNvPr>
        <xdr:cNvSpPr>
          <a:spLocks noChangeAspect="1"/>
        </xdr:cNvSpPr>
      </xdr:nvSpPr>
      <xdr:spPr>
        <a:xfrm>
          <a:off x="314856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106</xdr:row>
      <xdr:rowOff>139199</xdr:rowOff>
    </xdr:from>
    <xdr:to>
      <xdr:col>47</xdr:col>
      <xdr:colOff>207002</xdr:colOff>
      <xdr:row>107</xdr:row>
      <xdr:rowOff>111751</xdr:rowOff>
    </xdr:to>
    <xdr:sp macro="" textlink="">
      <xdr:nvSpPr>
        <xdr:cNvPr id="247963" name="フリーフォーム: 図形 247962">
          <a:extLst>
            <a:ext uri="{FF2B5EF4-FFF2-40B4-BE49-F238E27FC236}">
              <a16:creationId xmlns:a16="http://schemas.microsoft.com/office/drawing/2014/main" id="{EACC598C-AE8F-4917-A43F-075EA6681853}"/>
            </a:ext>
          </a:extLst>
        </xdr:cNvPr>
        <xdr:cNvSpPr>
          <a:spLocks noChangeAspect="1"/>
        </xdr:cNvSpPr>
      </xdr:nvSpPr>
      <xdr:spPr>
        <a:xfrm>
          <a:off x="319896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102</xdr:row>
      <xdr:rowOff>51000</xdr:rowOff>
    </xdr:from>
    <xdr:to>
      <xdr:col>46</xdr:col>
      <xdr:colOff>406801</xdr:colOff>
      <xdr:row>107</xdr:row>
      <xdr:rowOff>3751</xdr:rowOff>
    </xdr:to>
    <xdr:sp macro="" textlink="">
      <xdr:nvSpPr>
        <xdr:cNvPr id="247964" name="フリーフォーム: 図形 247963">
          <a:extLst>
            <a:ext uri="{FF2B5EF4-FFF2-40B4-BE49-F238E27FC236}">
              <a16:creationId xmlns:a16="http://schemas.microsoft.com/office/drawing/2014/main" id="{5546411A-A993-4507-A94B-57A3060CB9D4}"/>
            </a:ext>
          </a:extLst>
        </xdr:cNvPr>
        <xdr:cNvSpPr>
          <a:spLocks noChangeAspect="1"/>
        </xdr:cNvSpPr>
      </xdr:nvSpPr>
      <xdr:spPr>
        <a:xfrm>
          <a:off x="316836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101</xdr:row>
      <xdr:rowOff>114450</xdr:rowOff>
    </xdr:from>
    <xdr:to>
      <xdr:col>46</xdr:col>
      <xdr:colOff>658801</xdr:colOff>
      <xdr:row>106</xdr:row>
      <xdr:rowOff>157201</xdr:rowOff>
    </xdr:to>
    <xdr:sp macro="" textlink="">
      <xdr:nvSpPr>
        <xdr:cNvPr id="247965" name="フリーフォーム: 図形 247964">
          <a:extLst>
            <a:ext uri="{FF2B5EF4-FFF2-40B4-BE49-F238E27FC236}">
              <a16:creationId xmlns:a16="http://schemas.microsoft.com/office/drawing/2014/main" id="{CE1D2713-7310-40DB-A9DC-748AC7ADB5B8}"/>
            </a:ext>
          </a:extLst>
        </xdr:cNvPr>
        <xdr:cNvSpPr>
          <a:spLocks noChangeAspect="1"/>
        </xdr:cNvSpPr>
      </xdr:nvSpPr>
      <xdr:spPr>
        <a:xfrm>
          <a:off x="319536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102</xdr:row>
      <xdr:rowOff>69000</xdr:rowOff>
    </xdr:from>
    <xdr:to>
      <xdr:col>47</xdr:col>
      <xdr:colOff>297000</xdr:colOff>
      <xdr:row>107</xdr:row>
      <xdr:rowOff>3751</xdr:rowOff>
    </xdr:to>
    <xdr:sp macro="" textlink="">
      <xdr:nvSpPr>
        <xdr:cNvPr id="247966" name="フリーフォーム: 図形 247965">
          <a:extLst>
            <a:ext uri="{FF2B5EF4-FFF2-40B4-BE49-F238E27FC236}">
              <a16:creationId xmlns:a16="http://schemas.microsoft.com/office/drawing/2014/main" id="{EF2DFB9F-29BF-405E-910B-73314FE70AB5}"/>
            </a:ext>
          </a:extLst>
        </xdr:cNvPr>
        <xdr:cNvSpPr>
          <a:spLocks noChangeAspect="1"/>
        </xdr:cNvSpPr>
      </xdr:nvSpPr>
      <xdr:spPr>
        <a:xfrm>
          <a:off x="320076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107</xdr:row>
      <xdr:rowOff>75750</xdr:rowOff>
    </xdr:from>
    <xdr:to>
      <xdr:col>47</xdr:col>
      <xdr:colOff>9002</xdr:colOff>
      <xdr:row>111</xdr:row>
      <xdr:rowOff>163951</xdr:rowOff>
    </xdr:to>
    <xdr:sp macro="" textlink="">
      <xdr:nvSpPr>
        <xdr:cNvPr id="247967" name="フリーフォーム: 図形 247966">
          <a:extLst>
            <a:ext uri="{FF2B5EF4-FFF2-40B4-BE49-F238E27FC236}">
              <a16:creationId xmlns:a16="http://schemas.microsoft.com/office/drawing/2014/main" id="{89C0677A-FF41-473A-AE5A-5819E91BB952}"/>
            </a:ext>
          </a:extLst>
        </xdr:cNvPr>
        <xdr:cNvSpPr>
          <a:spLocks noChangeAspect="1"/>
        </xdr:cNvSpPr>
      </xdr:nvSpPr>
      <xdr:spPr>
        <a:xfrm>
          <a:off x="319715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107</xdr:row>
      <xdr:rowOff>93749</xdr:rowOff>
    </xdr:from>
    <xdr:to>
      <xdr:col>46</xdr:col>
      <xdr:colOff>424800</xdr:colOff>
      <xdr:row>112</xdr:row>
      <xdr:rowOff>118501</xdr:rowOff>
    </xdr:to>
    <xdr:sp macro="" textlink="">
      <xdr:nvSpPr>
        <xdr:cNvPr id="247968" name="フリーフォーム: 図形 247967">
          <a:extLst>
            <a:ext uri="{FF2B5EF4-FFF2-40B4-BE49-F238E27FC236}">
              <a16:creationId xmlns:a16="http://schemas.microsoft.com/office/drawing/2014/main" id="{4EC397B3-9B20-4F0B-A022-200C89BB4A3E}"/>
            </a:ext>
          </a:extLst>
        </xdr:cNvPr>
        <xdr:cNvSpPr>
          <a:spLocks noChangeAspect="1"/>
        </xdr:cNvSpPr>
      </xdr:nvSpPr>
      <xdr:spPr>
        <a:xfrm>
          <a:off x="317376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107</xdr:row>
      <xdr:rowOff>75750</xdr:rowOff>
    </xdr:from>
    <xdr:to>
      <xdr:col>46</xdr:col>
      <xdr:colOff>388802</xdr:colOff>
      <xdr:row>112</xdr:row>
      <xdr:rowOff>10501</xdr:rowOff>
    </xdr:to>
    <xdr:sp macro="" textlink="">
      <xdr:nvSpPr>
        <xdr:cNvPr id="247969" name="フリーフォーム: 図形 247968">
          <a:extLst>
            <a:ext uri="{FF2B5EF4-FFF2-40B4-BE49-F238E27FC236}">
              <a16:creationId xmlns:a16="http://schemas.microsoft.com/office/drawing/2014/main" id="{31385BCE-152A-49D3-B5C4-5B0E79853FF2}"/>
            </a:ext>
          </a:extLst>
        </xdr:cNvPr>
        <xdr:cNvSpPr>
          <a:spLocks noChangeAspect="1"/>
        </xdr:cNvSpPr>
      </xdr:nvSpPr>
      <xdr:spPr>
        <a:xfrm>
          <a:off x="314135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101</xdr:row>
      <xdr:rowOff>42450</xdr:rowOff>
    </xdr:from>
    <xdr:to>
      <xdr:col>49</xdr:col>
      <xdr:colOff>322201</xdr:colOff>
      <xdr:row>102</xdr:row>
      <xdr:rowOff>15002</xdr:rowOff>
    </xdr:to>
    <xdr:sp macro="" textlink="">
      <xdr:nvSpPr>
        <xdr:cNvPr id="247970" name="フリーフォーム: 図形 247969">
          <a:extLst>
            <a:ext uri="{FF2B5EF4-FFF2-40B4-BE49-F238E27FC236}">
              <a16:creationId xmlns:a16="http://schemas.microsoft.com/office/drawing/2014/main" id="{06892E58-B2F2-483B-A9E3-BBD66FDF0070}"/>
            </a:ext>
          </a:extLst>
        </xdr:cNvPr>
        <xdr:cNvSpPr>
          <a:spLocks noChangeAspect="1"/>
        </xdr:cNvSpPr>
      </xdr:nvSpPr>
      <xdr:spPr>
        <a:xfrm>
          <a:off x="334584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101</xdr:row>
      <xdr:rowOff>42450</xdr:rowOff>
    </xdr:from>
    <xdr:to>
      <xdr:col>50</xdr:col>
      <xdr:colOff>176400</xdr:colOff>
      <xdr:row>102</xdr:row>
      <xdr:rowOff>15002</xdr:rowOff>
    </xdr:to>
    <xdr:sp macro="" textlink="">
      <xdr:nvSpPr>
        <xdr:cNvPr id="247971" name="フリーフォーム: 図形 247970">
          <a:extLst>
            <a:ext uri="{FF2B5EF4-FFF2-40B4-BE49-F238E27FC236}">
              <a16:creationId xmlns:a16="http://schemas.microsoft.com/office/drawing/2014/main" id="{E16DD8EA-4E5F-4614-B4BC-EBE405106ED3}"/>
            </a:ext>
          </a:extLst>
        </xdr:cNvPr>
        <xdr:cNvSpPr>
          <a:spLocks noChangeAspect="1"/>
        </xdr:cNvSpPr>
      </xdr:nvSpPr>
      <xdr:spPr>
        <a:xfrm>
          <a:off x="339983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101</xdr:row>
      <xdr:rowOff>114450</xdr:rowOff>
    </xdr:from>
    <xdr:to>
      <xdr:col>50</xdr:col>
      <xdr:colOff>248401</xdr:colOff>
      <xdr:row>107</xdr:row>
      <xdr:rowOff>21752</xdr:rowOff>
    </xdr:to>
    <xdr:sp macro="" textlink="">
      <xdr:nvSpPr>
        <xdr:cNvPr id="247972" name="フリーフォーム: 図形 247971">
          <a:extLst>
            <a:ext uri="{FF2B5EF4-FFF2-40B4-BE49-F238E27FC236}">
              <a16:creationId xmlns:a16="http://schemas.microsoft.com/office/drawing/2014/main" id="{480BB819-17E1-43C4-B09A-482CF913A632}"/>
            </a:ext>
          </a:extLst>
        </xdr:cNvPr>
        <xdr:cNvSpPr>
          <a:spLocks noChangeAspect="1"/>
        </xdr:cNvSpPr>
      </xdr:nvSpPr>
      <xdr:spPr>
        <a:xfrm>
          <a:off x="342503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107</xdr:row>
      <xdr:rowOff>75750</xdr:rowOff>
    </xdr:from>
    <xdr:to>
      <xdr:col>50</xdr:col>
      <xdr:colOff>68400</xdr:colOff>
      <xdr:row>112</xdr:row>
      <xdr:rowOff>136501</xdr:rowOff>
    </xdr:to>
    <xdr:sp macro="" textlink="">
      <xdr:nvSpPr>
        <xdr:cNvPr id="247973" name="フリーフォーム: 図形 247972">
          <a:extLst>
            <a:ext uri="{FF2B5EF4-FFF2-40B4-BE49-F238E27FC236}">
              <a16:creationId xmlns:a16="http://schemas.microsoft.com/office/drawing/2014/main" id="{AD55E35E-3472-41A5-8D51-ADCDD3C057E8}"/>
            </a:ext>
          </a:extLst>
        </xdr:cNvPr>
        <xdr:cNvSpPr>
          <a:spLocks noChangeAspect="1"/>
        </xdr:cNvSpPr>
      </xdr:nvSpPr>
      <xdr:spPr>
        <a:xfrm>
          <a:off x="340704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112</xdr:row>
      <xdr:rowOff>64500</xdr:rowOff>
    </xdr:from>
    <xdr:to>
      <xdr:col>48</xdr:col>
      <xdr:colOff>684000</xdr:colOff>
      <xdr:row>113</xdr:row>
      <xdr:rowOff>37051</xdr:rowOff>
    </xdr:to>
    <xdr:sp macro="" textlink="">
      <xdr:nvSpPr>
        <xdr:cNvPr id="247974" name="フリーフォーム: 図形 247973">
          <a:extLst>
            <a:ext uri="{FF2B5EF4-FFF2-40B4-BE49-F238E27FC236}">
              <a16:creationId xmlns:a16="http://schemas.microsoft.com/office/drawing/2014/main" id="{23BD2623-DDC4-427A-BAF1-A53C5FB58380}"/>
            </a:ext>
          </a:extLst>
        </xdr:cNvPr>
        <xdr:cNvSpPr>
          <a:spLocks noChangeAspect="1"/>
        </xdr:cNvSpPr>
      </xdr:nvSpPr>
      <xdr:spPr>
        <a:xfrm>
          <a:off x="331164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112</xdr:row>
      <xdr:rowOff>64500</xdr:rowOff>
    </xdr:from>
    <xdr:to>
      <xdr:col>49</xdr:col>
      <xdr:colOff>502200</xdr:colOff>
      <xdr:row>113</xdr:row>
      <xdr:rowOff>37051</xdr:rowOff>
    </xdr:to>
    <xdr:sp macro="" textlink="">
      <xdr:nvSpPr>
        <xdr:cNvPr id="247975" name="フリーフォーム: 図形 247974">
          <a:extLst>
            <a:ext uri="{FF2B5EF4-FFF2-40B4-BE49-F238E27FC236}">
              <a16:creationId xmlns:a16="http://schemas.microsoft.com/office/drawing/2014/main" id="{827FFD89-8CE9-497F-A44F-1897FAFE2566}"/>
            </a:ext>
          </a:extLst>
        </xdr:cNvPr>
        <xdr:cNvSpPr>
          <a:spLocks noChangeAspect="1"/>
        </xdr:cNvSpPr>
      </xdr:nvSpPr>
      <xdr:spPr>
        <a:xfrm>
          <a:off x="336383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107</xdr:row>
      <xdr:rowOff>75750</xdr:rowOff>
    </xdr:from>
    <xdr:to>
      <xdr:col>48</xdr:col>
      <xdr:colOff>432003</xdr:colOff>
      <xdr:row>112</xdr:row>
      <xdr:rowOff>136501</xdr:rowOff>
    </xdr:to>
    <xdr:sp macro="" textlink="">
      <xdr:nvSpPr>
        <xdr:cNvPr id="247976" name="フリーフォーム: 図形 247975">
          <a:extLst>
            <a:ext uri="{FF2B5EF4-FFF2-40B4-BE49-F238E27FC236}">
              <a16:creationId xmlns:a16="http://schemas.microsoft.com/office/drawing/2014/main" id="{993AA282-E3C7-4AF1-933A-A01B083E1E68}"/>
            </a:ext>
          </a:extLst>
        </xdr:cNvPr>
        <xdr:cNvSpPr>
          <a:spLocks noChangeAspect="1"/>
        </xdr:cNvSpPr>
      </xdr:nvSpPr>
      <xdr:spPr>
        <a:xfrm>
          <a:off x="330624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101</xdr:row>
      <xdr:rowOff>114450</xdr:rowOff>
    </xdr:from>
    <xdr:to>
      <xdr:col>48</xdr:col>
      <xdr:colOff>576000</xdr:colOff>
      <xdr:row>107</xdr:row>
      <xdr:rowOff>21752</xdr:rowOff>
    </xdr:to>
    <xdr:sp macro="" textlink="">
      <xdr:nvSpPr>
        <xdr:cNvPr id="247977" name="フリーフォーム: 図形 247976">
          <a:extLst>
            <a:ext uri="{FF2B5EF4-FFF2-40B4-BE49-F238E27FC236}">
              <a16:creationId xmlns:a16="http://schemas.microsoft.com/office/drawing/2014/main" id="{5F8D7961-5A97-42C5-8392-7FC4516C5873}"/>
            </a:ext>
          </a:extLst>
        </xdr:cNvPr>
        <xdr:cNvSpPr>
          <a:spLocks noChangeAspect="1"/>
        </xdr:cNvSpPr>
      </xdr:nvSpPr>
      <xdr:spPr>
        <a:xfrm>
          <a:off x="332423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106</xdr:row>
      <xdr:rowOff>139199</xdr:rowOff>
    </xdr:from>
    <xdr:to>
      <xdr:col>49</xdr:col>
      <xdr:colOff>160202</xdr:colOff>
      <xdr:row>107</xdr:row>
      <xdr:rowOff>111751</xdr:rowOff>
    </xdr:to>
    <xdr:sp macro="" textlink="">
      <xdr:nvSpPr>
        <xdr:cNvPr id="247978" name="フリーフォーム: 図形 247977">
          <a:extLst>
            <a:ext uri="{FF2B5EF4-FFF2-40B4-BE49-F238E27FC236}">
              <a16:creationId xmlns:a16="http://schemas.microsoft.com/office/drawing/2014/main" id="{9753EFDD-1E16-48D3-90F5-CC0197D6CDC5}"/>
            </a:ext>
          </a:extLst>
        </xdr:cNvPr>
        <xdr:cNvSpPr>
          <a:spLocks noChangeAspect="1"/>
        </xdr:cNvSpPr>
      </xdr:nvSpPr>
      <xdr:spPr>
        <a:xfrm>
          <a:off x="333144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106</xdr:row>
      <xdr:rowOff>139199</xdr:rowOff>
    </xdr:from>
    <xdr:to>
      <xdr:col>49</xdr:col>
      <xdr:colOff>664202</xdr:colOff>
      <xdr:row>107</xdr:row>
      <xdr:rowOff>111751</xdr:rowOff>
    </xdr:to>
    <xdr:sp macro="" textlink="">
      <xdr:nvSpPr>
        <xdr:cNvPr id="247979" name="フリーフォーム: 図形 247978">
          <a:extLst>
            <a:ext uri="{FF2B5EF4-FFF2-40B4-BE49-F238E27FC236}">
              <a16:creationId xmlns:a16="http://schemas.microsoft.com/office/drawing/2014/main" id="{E94ACF04-8B62-4605-9046-C2B79D4C6CD0}"/>
            </a:ext>
          </a:extLst>
        </xdr:cNvPr>
        <xdr:cNvSpPr>
          <a:spLocks noChangeAspect="1"/>
        </xdr:cNvSpPr>
      </xdr:nvSpPr>
      <xdr:spPr>
        <a:xfrm>
          <a:off x="338184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102</xdr:row>
      <xdr:rowOff>51000</xdr:rowOff>
    </xdr:from>
    <xdr:to>
      <xdr:col>49</xdr:col>
      <xdr:colOff>178201</xdr:colOff>
      <xdr:row>107</xdr:row>
      <xdr:rowOff>3751</xdr:rowOff>
    </xdr:to>
    <xdr:sp macro="" textlink="">
      <xdr:nvSpPr>
        <xdr:cNvPr id="247980" name="フリーフォーム: 図形 247979">
          <a:extLst>
            <a:ext uri="{FF2B5EF4-FFF2-40B4-BE49-F238E27FC236}">
              <a16:creationId xmlns:a16="http://schemas.microsoft.com/office/drawing/2014/main" id="{7718C850-D8D4-4DDD-B73C-4A30B4A96E8E}"/>
            </a:ext>
          </a:extLst>
        </xdr:cNvPr>
        <xdr:cNvSpPr>
          <a:spLocks noChangeAspect="1"/>
        </xdr:cNvSpPr>
      </xdr:nvSpPr>
      <xdr:spPr>
        <a:xfrm>
          <a:off x="335124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101</xdr:row>
      <xdr:rowOff>114450</xdr:rowOff>
    </xdr:from>
    <xdr:to>
      <xdr:col>49</xdr:col>
      <xdr:colOff>430201</xdr:colOff>
      <xdr:row>106</xdr:row>
      <xdr:rowOff>157201</xdr:rowOff>
    </xdr:to>
    <xdr:sp macro="" textlink="">
      <xdr:nvSpPr>
        <xdr:cNvPr id="247981" name="フリーフォーム: 図形 247980">
          <a:extLst>
            <a:ext uri="{FF2B5EF4-FFF2-40B4-BE49-F238E27FC236}">
              <a16:creationId xmlns:a16="http://schemas.microsoft.com/office/drawing/2014/main" id="{58946476-85E3-432A-AB68-1A69699ABF00}"/>
            </a:ext>
          </a:extLst>
        </xdr:cNvPr>
        <xdr:cNvSpPr>
          <a:spLocks noChangeAspect="1"/>
        </xdr:cNvSpPr>
      </xdr:nvSpPr>
      <xdr:spPr>
        <a:xfrm>
          <a:off x="337824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102</xdr:row>
      <xdr:rowOff>69000</xdr:rowOff>
    </xdr:from>
    <xdr:to>
      <xdr:col>50</xdr:col>
      <xdr:colOff>68400</xdr:colOff>
      <xdr:row>107</xdr:row>
      <xdr:rowOff>3751</xdr:rowOff>
    </xdr:to>
    <xdr:sp macro="" textlink="">
      <xdr:nvSpPr>
        <xdr:cNvPr id="247982" name="フリーフォーム: 図形 247981">
          <a:extLst>
            <a:ext uri="{FF2B5EF4-FFF2-40B4-BE49-F238E27FC236}">
              <a16:creationId xmlns:a16="http://schemas.microsoft.com/office/drawing/2014/main" id="{4B58C110-4910-4C74-AEB6-75DC469F1AE3}"/>
            </a:ext>
          </a:extLst>
        </xdr:cNvPr>
        <xdr:cNvSpPr>
          <a:spLocks noChangeAspect="1"/>
        </xdr:cNvSpPr>
      </xdr:nvSpPr>
      <xdr:spPr>
        <a:xfrm>
          <a:off x="338364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107</xdr:row>
      <xdr:rowOff>75750</xdr:rowOff>
    </xdr:from>
    <xdr:to>
      <xdr:col>49</xdr:col>
      <xdr:colOff>466202</xdr:colOff>
      <xdr:row>111</xdr:row>
      <xdr:rowOff>163951</xdr:rowOff>
    </xdr:to>
    <xdr:sp macro="" textlink="">
      <xdr:nvSpPr>
        <xdr:cNvPr id="247983" name="フリーフォーム: 図形 247982">
          <a:extLst>
            <a:ext uri="{FF2B5EF4-FFF2-40B4-BE49-F238E27FC236}">
              <a16:creationId xmlns:a16="http://schemas.microsoft.com/office/drawing/2014/main" id="{FD252382-39F9-4627-9A9A-5450589A0C68}"/>
            </a:ext>
          </a:extLst>
        </xdr:cNvPr>
        <xdr:cNvSpPr>
          <a:spLocks noChangeAspect="1"/>
        </xdr:cNvSpPr>
      </xdr:nvSpPr>
      <xdr:spPr>
        <a:xfrm>
          <a:off x="338003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107</xdr:row>
      <xdr:rowOff>93749</xdr:rowOff>
    </xdr:from>
    <xdr:to>
      <xdr:col>49</xdr:col>
      <xdr:colOff>196200</xdr:colOff>
      <xdr:row>112</xdr:row>
      <xdr:rowOff>118501</xdr:rowOff>
    </xdr:to>
    <xdr:sp macro="" textlink="">
      <xdr:nvSpPr>
        <xdr:cNvPr id="247984" name="フリーフォーム: 図形 247983">
          <a:extLst>
            <a:ext uri="{FF2B5EF4-FFF2-40B4-BE49-F238E27FC236}">
              <a16:creationId xmlns:a16="http://schemas.microsoft.com/office/drawing/2014/main" id="{996CCFD1-9A99-4EA9-895A-7E56FCA96155}"/>
            </a:ext>
          </a:extLst>
        </xdr:cNvPr>
        <xdr:cNvSpPr>
          <a:spLocks noChangeAspect="1"/>
        </xdr:cNvSpPr>
      </xdr:nvSpPr>
      <xdr:spPr>
        <a:xfrm>
          <a:off x="335664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107</xdr:row>
      <xdr:rowOff>75750</xdr:rowOff>
    </xdr:from>
    <xdr:to>
      <xdr:col>49</xdr:col>
      <xdr:colOff>160202</xdr:colOff>
      <xdr:row>112</xdr:row>
      <xdr:rowOff>10501</xdr:rowOff>
    </xdr:to>
    <xdr:sp macro="" textlink="">
      <xdr:nvSpPr>
        <xdr:cNvPr id="247985" name="フリーフォーム: 図形 247984">
          <a:extLst>
            <a:ext uri="{FF2B5EF4-FFF2-40B4-BE49-F238E27FC236}">
              <a16:creationId xmlns:a16="http://schemas.microsoft.com/office/drawing/2014/main" id="{3936E6C8-90A0-4785-B932-BE019027FC35}"/>
            </a:ext>
          </a:extLst>
        </xdr:cNvPr>
        <xdr:cNvSpPr>
          <a:spLocks noChangeAspect="1"/>
        </xdr:cNvSpPr>
      </xdr:nvSpPr>
      <xdr:spPr>
        <a:xfrm>
          <a:off x="332423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101</xdr:row>
      <xdr:rowOff>42450</xdr:rowOff>
    </xdr:from>
    <xdr:to>
      <xdr:col>52</xdr:col>
      <xdr:colOff>93601</xdr:colOff>
      <xdr:row>102</xdr:row>
      <xdr:rowOff>15002</xdr:rowOff>
    </xdr:to>
    <xdr:sp macro="" textlink="">
      <xdr:nvSpPr>
        <xdr:cNvPr id="247986" name="フリーフォーム: 図形 247985">
          <a:extLst>
            <a:ext uri="{FF2B5EF4-FFF2-40B4-BE49-F238E27FC236}">
              <a16:creationId xmlns:a16="http://schemas.microsoft.com/office/drawing/2014/main" id="{94CFAA28-6E82-46D2-8AB9-46E59F627197}"/>
            </a:ext>
          </a:extLst>
        </xdr:cNvPr>
        <xdr:cNvSpPr>
          <a:spLocks noChangeAspect="1"/>
        </xdr:cNvSpPr>
      </xdr:nvSpPr>
      <xdr:spPr>
        <a:xfrm>
          <a:off x="352872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101</xdr:row>
      <xdr:rowOff>42450</xdr:rowOff>
    </xdr:from>
    <xdr:to>
      <xdr:col>52</xdr:col>
      <xdr:colOff>633600</xdr:colOff>
      <xdr:row>102</xdr:row>
      <xdr:rowOff>15002</xdr:rowOff>
    </xdr:to>
    <xdr:sp macro="" textlink="">
      <xdr:nvSpPr>
        <xdr:cNvPr id="247987" name="フリーフォーム: 図形 247986">
          <a:extLst>
            <a:ext uri="{FF2B5EF4-FFF2-40B4-BE49-F238E27FC236}">
              <a16:creationId xmlns:a16="http://schemas.microsoft.com/office/drawing/2014/main" id="{5E5CB431-FEC7-4DF1-BED3-9084CFFC3D4B}"/>
            </a:ext>
          </a:extLst>
        </xdr:cNvPr>
        <xdr:cNvSpPr>
          <a:spLocks noChangeAspect="1"/>
        </xdr:cNvSpPr>
      </xdr:nvSpPr>
      <xdr:spPr>
        <a:xfrm>
          <a:off x="358271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101</xdr:row>
      <xdr:rowOff>114450</xdr:rowOff>
    </xdr:from>
    <xdr:to>
      <xdr:col>53</xdr:col>
      <xdr:colOff>19801</xdr:colOff>
      <xdr:row>107</xdr:row>
      <xdr:rowOff>21752</xdr:rowOff>
    </xdr:to>
    <xdr:sp macro="" textlink="">
      <xdr:nvSpPr>
        <xdr:cNvPr id="247988" name="フリーフォーム: 図形 247987">
          <a:extLst>
            <a:ext uri="{FF2B5EF4-FFF2-40B4-BE49-F238E27FC236}">
              <a16:creationId xmlns:a16="http://schemas.microsoft.com/office/drawing/2014/main" id="{08E1BD07-0FC9-48B2-8B75-5DCE34F0AFD2}"/>
            </a:ext>
          </a:extLst>
        </xdr:cNvPr>
        <xdr:cNvSpPr>
          <a:spLocks noChangeAspect="1"/>
        </xdr:cNvSpPr>
      </xdr:nvSpPr>
      <xdr:spPr>
        <a:xfrm>
          <a:off x="360791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107</xdr:row>
      <xdr:rowOff>75750</xdr:rowOff>
    </xdr:from>
    <xdr:to>
      <xdr:col>52</xdr:col>
      <xdr:colOff>525600</xdr:colOff>
      <xdr:row>112</xdr:row>
      <xdr:rowOff>136501</xdr:rowOff>
    </xdr:to>
    <xdr:sp macro="" textlink="">
      <xdr:nvSpPr>
        <xdr:cNvPr id="247989" name="フリーフォーム: 図形 247988">
          <a:extLst>
            <a:ext uri="{FF2B5EF4-FFF2-40B4-BE49-F238E27FC236}">
              <a16:creationId xmlns:a16="http://schemas.microsoft.com/office/drawing/2014/main" id="{65B0A997-C91D-49ED-BBD8-229576B4BAD6}"/>
            </a:ext>
          </a:extLst>
        </xdr:cNvPr>
        <xdr:cNvSpPr>
          <a:spLocks noChangeAspect="1"/>
        </xdr:cNvSpPr>
      </xdr:nvSpPr>
      <xdr:spPr>
        <a:xfrm>
          <a:off x="358992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112</xdr:row>
      <xdr:rowOff>64500</xdr:rowOff>
    </xdr:from>
    <xdr:to>
      <xdr:col>51</xdr:col>
      <xdr:colOff>455400</xdr:colOff>
      <xdr:row>113</xdr:row>
      <xdr:rowOff>37051</xdr:rowOff>
    </xdr:to>
    <xdr:sp macro="" textlink="">
      <xdr:nvSpPr>
        <xdr:cNvPr id="247990" name="フリーフォーム: 図形 247989">
          <a:extLst>
            <a:ext uri="{FF2B5EF4-FFF2-40B4-BE49-F238E27FC236}">
              <a16:creationId xmlns:a16="http://schemas.microsoft.com/office/drawing/2014/main" id="{B954ED28-2469-4076-ADD5-7C56E1E41C9E}"/>
            </a:ext>
          </a:extLst>
        </xdr:cNvPr>
        <xdr:cNvSpPr>
          <a:spLocks noChangeAspect="1"/>
        </xdr:cNvSpPr>
      </xdr:nvSpPr>
      <xdr:spPr>
        <a:xfrm>
          <a:off x="349452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112</xdr:row>
      <xdr:rowOff>64500</xdr:rowOff>
    </xdr:from>
    <xdr:to>
      <xdr:col>52</xdr:col>
      <xdr:colOff>273600</xdr:colOff>
      <xdr:row>113</xdr:row>
      <xdr:rowOff>37051</xdr:rowOff>
    </xdr:to>
    <xdr:sp macro="" textlink="">
      <xdr:nvSpPr>
        <xdr:cNvPr id="247991" name="フリーフォーム: 図形 247990">
          <a:extLst>
            <a:ext uri="{FF2B5EF4-FFF2-40B4-BE49-F238E27FC236}">
              <a16:creationId xmlns:a16="http://schemas.microsoft.com/office/drawing/2014/main" id="{B5FDC05D-DFCD-4152-BA19-1390836F20D1}"/>
            </a:ext>
          </a:extLst>
        </xdr:cNvPr>
        <xdr:cNvSpPr>
          <a:spLocks noChangeAspect="1"/>
        </xdr:cNvSpPr>
      </xdr:nvSpPr>
      <xdr:spPr>
        <a:xfrm>
          <a:off x="354671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107</xdr:row>
      <xdr:rowOff>75750</xdr:rowOff>
    </xdr:from>
    <xdr:to>
      <xdr:col>51</xdr:col>
      <xdr:colOff>203403</xdr:colOff>
      <xdr:row>112</xdr:row>
      <xdr:rowOff>136501</xdr:rowOff>
    </xdr:to>
    <xdr:sp macro="" textlink="">
      <xdr:nvSpPr>
        <xdr:cNvPr id="247992" name="フリーフォーム: 図形 247991">
          <a:extLst>
            <a:ext uri="{FF2B5EF4-FFF2-40B4-BE49-F238E27FC236}">
              <a16:creationId xmlns:a16="http://schemas.microsoft.com/office/drawing/2014/main" id="{DE8BCE08-1E18-4E81-AC0D-AAC43E433564}"/>
            </a:ext>
          </a:extLst>
        </xdr:cNvPr>
        <xdr:cNvSpPr>
          <a:spLocks noChangeAspect="1"/>
        </xdr:cNvSpPr>
      </xdr:nvSpPr>
      <xdr:spPr>
        <a:xfrm>
          <a:off x="348912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101</xdr:row>
      <xdr:rowOff>114450</xdr:rowOff>
    </xdr:from>
    <xdr:to>
      <xdr:col>51</xdr:col>
      <xdr:colOff>347400</xdr:colOff>
      <xdr:row>107</xdr:row>
      <xdr:rowOff>21752</xdr:rowOff>
    </xdr:to>
    <xdr:sp macro="" textlink="">
      <xdr:nvSpPr>
        <xdr:cNvPr id="247993" name="フリーフォーム: 図形 247992">
          <a:extLst>
            <a:ext uri="{FF2B5EF4-FFF2-40B4-BE49-F238E27FC236}">
              <a16:creationId xmlns:a16="http://schemas.microsoft.com/office/drawing/2014/main" id="{3E485CF4-8E1A-48A7-9FC7-D7F4FA9190D5}"/>
            </a:ext>
          </a:extLst>
        </xdr:cNvPr>
        <xdr:cNvSpPr>
          <a:spLocks noChangeAspect="1"/>
        </xdr:cNvSpPr>
      </xdr:nvSpPr>
      <xdr:spPr>
        <a:xfrm>
          <a:off x="350711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106</xdr:row>
      <xdr:rowOff>139199</xdr:rowOff>
    </xdr:from>
    <xdr:to>
      <xdr:col>51</xdr:col>
      <xdr:colOff>617402</xdr:colOff>
      <xdr:row>107</xdr:row>
      <xdr:rowOff>111751</xdr:rowOff>
    </xdr:to>
    <xdr:sp macro="" textlink="">
      <xdr:nvSpPr>
        <xdr:cNvPr id="247994" name="フリーフォーム: 図形 247993">
          <a:extLst>
            <a:ext uri="{FF2B5EF4-FFF2-40B4-BE49-F238E27FC236}">
              <a16:creationId xmlns:a16="http://schemas.microsoft.com/office/drawing/2014/main" id="{86A299D5-B2FD-41BE-A9D2-4016CA3FBC0A}"/>
            </a:ext>
          </a:extLst>
        </xdr:cNvPr>
        <xdr:cNvSpPr>
          <a:spLocks noChangeAspect="1"/>
        </xdr:cNvSpPr>
      </xdr:nvSpPr>
      <xdr:spPr>
        <a:xfrm>
          <a:off x="351432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106</xdr:row>
      <xdr:rowOff>139199</xdr:rowOff>
    </xdr:from>
    <xdr:to>
      <xdr:col>52</xdr:col>
      <xdr:colOff>435602</xdr:colOff>
      <xdr:row>107</xdr:row>
      <xdr:rowOff>111751</xdr:rowOff>
    </xdr:to>
    <xdr:sp macro="" textlink="">
      <xdr:nvSpPr>
        <xdr:cNvPr id="247995" name="フリーフォーム: 図形 247994">
          <a:extLst>
            <a:ext uri="{FF2B5EF4-FFF2-40B4-BE49-F238E27FC236}">
              <a16:creationId xmlns:a16="http://schemas.microsoft.com/office/drawing/2014/main" id="{56DBEA66-C8E1-4428-8FAF-2BBDE4045137}"/>
            </a:ext>
          </a:extLst>
        </xdr:cNvPr>
        <xdr:cNvSpPr>
          <a:spLocks noChangeAspect="1"/>
        </xdr:cNvSpPr>
      </xdr:nvSpPr>
      <xdr:spPr>
        <a:xfrm>
          <a:off x="356472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102</xdr:row>
      <xdr:rowOff>51000</xdr:rowOff>
    </xdr:from>
    <xdr:to>
      <xdr:col>51</xdr:col>
      <xdr:colOff>635401</xdr:colOff>
      <xdr:row>107</xdr:row>
      <xdr:rowOff>3751</xdr:rowOff>
    </xdr:to>
    <xdr:sp macro="" textlink="">
      <xdr:nvSpPr>
        <xdr:cNvPr id="247996" name="フリーフォーム: 図形 247995">
          <a:extLst>
            <a:ext uri="{FF2B5EF4-FFF2-40B4-BE49-F238E27FC236}">
              <a16:creationId xmlns:a16="http://schemas.microsoft.com/office/drawing/2014/main" id="{3070308C-3617-4FFB-AB5F-C613793B75D7}"/>
            </a:ext>
          </a:extLst>
        </xdr:cNvPr>
        <xdr:cNvSpPr>
          <a:spLocks noChangeAspect="1"/>
        </xdr:cNvSpPr>
      </xdr:nvSpPr>
      <xdr:spPr>
        <a:xfrm>
          <a:off x="353412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101</xdr:row>
      <xdr:rowOff>114450</xdr:rowOff>
    </xdr:from>
    <xdr:to>
      <xdr:col>52</xdr:col>
      <xdr:colOff>201601</xdr:colOff>
      <xdr:row>106</xdr:row>
      <xdr:rowOff>157201</xdr:rowOff>
    </xdr:to>
    <xdr:sp macro="" textlink="">
      <xdr:nvSpPr>
        <xdr:cNvPr id="247997" name="フリーフォーム: 図形 247996">
          <a:extLst>
            <a:ext uri="{FF2B5EF4-FFF2-40B4-BE49-F238E27FC236}">
              <a16:creationId xmlns:a16="http://schemas.microsoft.com/office/drawing/2014/main" id="{EE0B030C-D22C-4167-A56C-1AA706ED4115}"/>
            </a:ext>
          </a:extLst>
        </xdr:cNvPr>
        <xdr:cNvSpPr>
          <a:spLocks noChangeAspect="1"/>
        </xdr:cNvSpPr>
      </xdr:nvSpPr>
      <xdr:spPr>
        <a:xfrm>
          <a:off x="356112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102</xdr:row>
      <xdr:rowOff>69000</xdr:rowOff>
    </xdr:from>
    <xdr:to>
      <xdr:col>52</xdr:col>
      <xdr:colOff>525600</xdr:colOff>
      <xdr:row>107</xdr:row>
      <xdr:rowOff>3751</xdr:rowOff>
    </xdr:to>
    <xdr:sp macro="" textlink="">
      <xdr:nvSpPr>
        <xdr:cNvPr id="247998" name="フリーフォーム: 図形 247997">
          <a:extLst>
            <a:ext uri="{FF2B5EF4-FFF2-40B4-BE49-F238E27FC236}">
              <a16:creationId xmlns:a16="http://schemas.microsoft.com/office/drawing/2014/main" id="{7526EBEF-EEF6-413D-9889-0F87C17CB851}"/>
            </a:ext>
          </a:extLst>
        </xdr:cNvPr>
        <xdr:cNvSpPr>
          <a:spLocks noChangeAspect="1"/>
        </xdr:cNvSpPr>
      </xdr:nvSpPr>
      <xdr:spPr>
        <a:xfrm>
          <a:off x="356652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107</xdr:row>
      <xdr:rowOff>75750</xdr:rowOff>
    </xdr:from>
    <xdr:to>
      <xdr:col>52</xdr:col>
      <xdr:colOff>237602</xdr:colOff>
      <xdr:row>111</xdr:row>
      <xdr:rowOff>163951</xdr:rowOff>
    </xdr:to>
    <xdr:sp macro="" textlink="">
      <xdr:nvSpPr>
        <xdr:cNvPr id="247999" name="フリーフォーム: 図形 247998">
          <a:extLst>
            <a:ext uri="{FF2B5EF4-FFF2-40B4-BE49-F238E27FC236}">
              <a16:creationId xmlns:a16="http://schemas.microsoft.com/office/drawing/2014/main" id="{1D65CEC8-2E46-48DB-B27D-F8DA8F28D367}"/>
            </a:ext>
          </a:extLst>
        </xdr:cNvPr>
        <xdr:cNvSpPr>
          <a:spLocks noChangeAspect="1"/>
        </xdr:cNvSpPr>
      </xdr:nvSpPr>
      <xdr:spPr>
        <a:xfrm>
          <a:off x="356291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107</xdr:row>
      <xdr:rowOff>93749</xdr:rowOff>
    </xdr:from>
    <xdr:to>
      <xdr:col>51</xdr:col>
      <xdr:colOff>653400</xdr:colOff>
      <xdr:row>112</xdr:row>
      <xdr:rowOff>118501</xdr:rowOff>
    </xdr:to>
    <xdr:sp macro="" textlink="">
      <xdr:nvSpPr>
        <xdr:cNvPr id="248000" name="フリーフォーム: 図形 247999">
          <a:extLst>
            <a:ext uri="{FF2B5EF4-FFF2-40B4-BE49-F238E27FC236}">
              <a16:creationId xmlns:a16="http://schemas.microsoft.com/office/drawing/2014/main" id="{DD5A1C62-3A4B-4144-996D-7E46F635F62C}"/>
            </a:ext>
          </a:extLst>
        </xdr:cNvPr>
        <xdr:cNvSpPr>
          <a:spLocks noChangeAspect="1"/>
        </xdr:cNvSpPr>
      </xdr:nvSpPr>
      <xdr:spPr>
        <a:xfrm>
          <a:off x="353952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107</xdr:row>
      <xdr:rowOff>75750</xdr:rowOff>
    </xdr:from>
    <xdr:to>
      <xdr:col>51</xdr:col>
      <xdr:colOff>617402</xdr:colOff>
      <xdr:row>112</xdr:row>
      <xdr:rowOff>10501</xdr:rowOff>
    </xdr:to>
    <xdr:sp macro="" textlink="">
      <xdr:nvSpPr>
        <xdr:cNvPr id="248001" name="フリーフォーム: 図形 248000">
          <a:extLst>
            <a:ext uri="{FF2B5EF4-FFF2-40B4-BE49-F238E27FC236}">
              <a16:creationId xmlns:a16="http://schemas.microsoft.com/office/drawing/2014/main" id="{F3CDF6AD-B9B0-4CFA-899E-114BB7284396}"/>
            </a:ext>
          </a:extLst>
        </xdr:cNvPr>
        <xdr:cNvSpPr>
          <a:spLocks noChangeAspect="1"/>
        </xdr:cNvSpPr>
      </xdr:nvSpPr>
      <xdr:spPr>
        <a:xfrm>
          <a:off x="350711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101</xdr:row>
      <xdr:rowOff>42450</xdr:rowOff>
    </xdr:from>
    <xdr:to>
      <xdr:col>54</xdr:col>
      <xdr:colOff>550801</xdr:colOff>
      <xdr:row>102</xdr:row>
      <xdr:rowOff>15002</xdr:rowOff>
    </xdr:to>
    <xdr:sp macro="" textlink="">
      <xdr:nvSpPr>
        <xdr:cNvPr id="248002" name="フリーフォーム: 図形 248001">
          <a:extLst>
            <a:ext uri="{FF2B5EF4-FFF2-40B4-BE49-F238E27FC236}">
              <a16:creationId xmlns:a16="http://schemas.microsoft.com/office/drawing/2014/main" id="{C1A99365-E838-4064-B5F8-60A0EEF5EBF6}"/>
            </a:ext>
          </a:extLst>
        </xdr:cNvPr>
        <xdr:cNvSpPr>
          <a:spLocks noChangeAspect="1"/>
        </xdr:cNvSpPr>
      </xdr:nvSpPr>
      <xdr:spPr>
        <a:xfrm>
          <a:off x="371160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101</xdr:row>
      <xdr:rowOff>42450</xdr:rowOff>
    </xdr:from>
    <xdr:to>
      <xdr:col>55</xdr:col>
      <xdr:colOff>405000</xdr:colOff>
      <xdr:row>102</xdr:row>
      <xdr:rowOff>15002</xdr:rowOff>
    </xdr:to>
    <xdr:sp macro="" textlink="">
      <xdr:nvSpPr>
        <xdr:cNvPr id="248003" name="フリーフォーム: 図形 248002">
          <a:extLst>
            <a:ext uri="{FF2B5EF4-FFF2-40B4-BE49-F238E27FC236}">
              <a16:creationId xmlns:a16="http://schemas.microsoft.com/office/drawing/2014/main" id="{ABC92728-D101-42DD-AB18-FF6E38FD1671}"/>
            </a:ext>
          </a:extLst>
        </xdr:cNvPr>
        <xdr:cNvSpPr>
          <a:spLocks noChangeAspect="1"/>
        </xdr:cNvSpPr>
      </xdr:nvSpPr>
      <xdr:spPr>
        <a:xfrm>
          <a:off x="376559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101</xdr:row>
      <xdr:rowOff>114450</xdr:rowOff>
    </xdr:from>
    <xdr:to>
      <xdr:col>55</xdr:col>
      <xdr:colOff>477001</xdr:colOff>
      <xdr:row>107</xdr:row>
      <xdr:rowOff>21752</xdr:rowOff>
    </xdr:to>
    <xdr:sp macro="" textlink="">
      <xdr:nvSpPr>
        <xdr:cNvPr id="248004" name="フリーフォーム: 図形 248003">
          <a:extLst>
            <a:ext uri="{FF2B5EF4-FFF2-40B4-BE49-F238E27FC236}">
              <a16:creationId xmlns:a16="http://schemas.microsoft.com/office/drawing/2014/main" id="{F5A98988-03E0-4931-B286-E718E5489A1E}"/>
            </a:ext>
          </a:extLst>
        </xdr:cNvPr>
        <xdr:cNvSpPr>
          <a:spLocks noChangeAspect="1"/>
        </xdr:cNvSpPr>
      </xdr:nvSpPr>
      <xdr:spPr>
        <a:xfrm>
          <a:off x="379079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107</xdr:row>
      <xdr:rowOff>75750</xdr:rowOff>
    </xdr:from>
    <xdr:to>
      <xdr:col>55</xdr:col>
      <xdr:colOff>297000</xdr:colOff>
      <xdr:row>112</xdr:row>
      <xdr:rowOff>136501</xdr:rowOff>
    </xdr:to>
    <xdr:sp macro="" textlink="">
      <xdr:nvSpPr>
        <xdr:cNvPr id="248005" name="フリーフォーム: 図形 248004">
          <a:extLst>
            <a:ext uri="{FF2B5EF4-FFF2-40B4-BE49-F238E27FC236}">
              <a16:creationId xmlns:a16="http://schemas.microsoft.com/office/drawing/2014/main" id="{0D335CED-06FB-4FB6-8FC7-CFBC8664C452}"/>
            </a:ext>
          </a:extLst>
        </xdr:cNvPr>
        <xdr:cNvSpPr>
          <a:spLocks noChangeAspect="1"/>
        </xdr:cNvSpPr>
      </xdr:nvSpPr>
      <xdr:spPr>
        <a:xfrm>
          <a:off x="377280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112</xdr:row>
      <xdr:rowOff>64500</xdr:rowOff>
    </xdr:from>
    <xdr:to>
      <xdr:col>54</xdr:col>
      <xdr:colOff>226800</xdr:colOff>
      <xdr:row>113</xdr:row>
      <xdr:rowOff>37051</xdr:rowOff>
    </xdr:to>
    <xdr:sp macro="" textlink="">
      <xdr:nvSpPr>
        <xdr:cNvPr id="248006" name="フリーフォーム: 図形 248005">
          <a:extLst>
            <a:ext uri="{FF2B5EF4-FFF2-40B4-BE49-F238E27FC236}">
              <a16:creationId xmlns:a16="http://schemas.microsoft.com/office/drawing/2014/main" id="{CA2753E5-3581-4636-9647-D694C4021ABE}"/>
            </a:ext>
          </a:extLst>
        </xdr:cNvPr>
        <xdr:cNvSpPr>
          <a:spLocks noChangeAspect="1"/>
        </xdr:cNvSpPr>
      </xdr:nvSpPr>
      <xdr:spPr>
        <a:xfrm>
          <a:off x="367740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112</xdr:row>
      <xdr:rowOff>64500</xdr:rowOff>
    </xdr:from>
    <xdr:to>
      <xdr:col>55</xdr:col>
      <xdr:colOff>45000</xdr:colOff>
      <xdr:row>113</xdr:row>
      <xdr:rowOff>37051</xdr:rowOff>
    </xdr:to>
    <xdr:sp macro="" textlink="">
      <xdr:nvSpPr>
        <xdr:cNvPr id="248007" name="フリーフォーム: 図形 248006">
          <a:extLst>
            <a:ext uri="{FF2B5EF4-FFF2-40B4-BE49-F238E27FC236}">
              <a16:creationId xmlns:a16="http://schemas.microsoft.com/office/drawing/2014/main" id="{FD9D6554-2302-4C74-A1B9-A27E1DB2248A}"/>
            </a:ext>
          </a:extLst>
        </xdr:cNvPr>
        <xdr:cNvSpPr>
          <a:spLocks noChangeAspect="1"/>
        </xdr:cNvSpPr>
      </xdr:nvSpPr>
      <xdr:spPr>
        <a:xfrm>
          <a:off x="372959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107</xdr:row>
      <xdr:rowOff>75750</xdr:rowOff>
    </xdr:from>
    <xdr:to>
      <xdr:col>53</xdr:col>
      <xdr:colOff>660603</xdr:colOff>
      <xdr:row>112</xdr:row>
      <xdr:rowOff>136501</xdr:rowOff>
    </xdr:to>
    <xdr:sp macro="" textlink="">
      <xdr:nvSpPr>
        <xdr:cNvPr id="248008" name="フリーフォーム: 図形 248007">
          <a:extLst>
            <a:ext uri="{FF2B5EF4-FFF2-40B4-BE49-F238E27FC236}">
              <a16:creationId xmlns:a16="http://schemas.microsoft.com/office/drawing/2014/main" id="{F6BAB42A-BB91-47BD-A5BE-AA35590DE22A}"/>
            </a:ext>
          </a:extLst>
        </xdr:cNvPr>
        <xdr:cNvSpPr>
          <a:spLocks noChangeAspect="1"/>
        </xdr:cNvSpPr>
      </xdr:nvSpPr>
      <xdr:spPr>
        <a:xfrm>
          <a:off x="367200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101</xdr:row>
      <xdr:rowOff>114450</xdr:rowOff>
    </xdr:from>
    <xdr:to>
      <xdr:col>54</xdr:col>
      <xdr:colOff>118800</xdr:colOff>
      <xdr:row>107</xdr:row>
      <xdr:rowOff>21752</xdr:rowOff>
    </xdr:to>
    <xdr:sp macro="" textlink="">
      <xdr:nvSpPr>
        <xdr:cNvPr id="248009" name="フリーフォーム: 図形 248008">
          <a:extLst>
            <a:ext uri="{FF2B5EF4-FFF2-40B4-BE49-F238E27FC236}">
              <a16:creationId xmlns:a16="http://schemas.microsoft.com/office/drawing/2014/main" id="{8154E04B-AD6D-4D83-8A94-A46C3300A913}"/>
            </a:ext>
          </a:extLst>
        </xdr:cNvPr>
        <xdr:cNvSpPr>
          <a:spLocks noChangeAspect="1"/>
        </xdr:cNvSpPr>
      </xdr:nvSpPr>
      <xdr:spPr>
        <a:xfrm>
          <a:off x="368999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106</xdr:row>
      <xdr:rowOff>139199</xdr:rowOff>
    </xdr:from>
    <xdr:to>
      <xdr:col>54</xdr:col>
      <xdr:colOff>388802</xdr:colOff>
      <xdr:row>107</xdr:row>
      <xdr:rowOff>111751</xdr:rowOff>
    </xdr:to>
    <xdr:sp macro="" textlink="">
      <xdr:nvSpPr>
        <xdr:cNvPr id="248010" name="フリーフォーム: 図形 248009">
          <a:extLst>
            <a:ext uri="{FF2B5EF4-FFF2-40B4-BE49-F238E27FC236}">
              <a16:creationId xmlns:a16="http://schemas.microsoft.com/office/drawing/2014/main" id="{C0071B7B-18C2-4CEC-A413-064EDA3877CF}"/>
            </a:ext>
          </a:extLst>
        </xdr:cNvPr>
        <xdr:cNvSpPr>
          <a:spLocks noChangeAspect="1"/>
        </xdr:cNvSpPr>
      </xdr:nvSpPr>
      <xdr:spPr>
        <a:xfrm>
          <a:off x="369720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106</xdr:row>
      <xdr:rowOff>139199</xdr:rowOff>
    </xdr:from>
    <xdr:to>
      <xdr:col>55</xdr:col>
      <xdr:colOff>207002</xdr:colOff>
      <xdr:row>107</xdr:row>
      <xdr:rowOff>111751</xdr:rowOff>
    </xdr:to>
    <xdr:sp macro="" textlink="">
      <xdr:nvSpPr>
        <xdr:cNvPr id="248011" name="フリーフォーム: 図形 248010">
          <a:extLst>
            <a:ext uri="{FF2B5EF4-FFF2-40B4-BE49-F238E27FC236}">
              <a16:creationId xmlns:a16="http://schemas.microsoft.com/office/drawing/2014/main" id="{FC095BAA-4253-4928-A897-CE121E2CB81E}"/>
            </a:ext>
          </a:extLst>
        </xdr:cNvPr>
        <xdr:cNvSpPr>
          <a:spLocks noChangeAspect="1"/>
        </xdr:cNvSpPr>
      </xdr:nvSpPr>
      <xdr:spPr>
        <a:xfrm>
          <a:off x="374760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102</xdr:row>
      <xdr:rowOff>51000</xdr:rowOff>
    </xdr:from>
    <xdr:to>
      <xdr:col>54</xdr:col>
      <xdr:colOff>406801</xdr:colOff>
      <xdr:row>107</xdr:row>
      <xdr:rowOff>3751</xdr:rowOff>
    </xdr:to>
    <xdr:sp macro="" textlink="">
      <xdr:nvSpPr>
        <xdr:cNvPr id="248012" name="フリーフォーム: 図形 248011">
          <a:extLst>
            <a:ext uri="{FF2B5EF4-FFF2-40B4-BE49-F238E27FC236}">
              <a16:creationId xmlns:a16="http://schemas.microsoft.com/office/drawing/2014/main" id="{E0EDBBF7-026D-435D-ADF3-B9E3179FDA00}"/>
            </a:ext>
          </a:extLst>
        </xdr:cNvPr>
        <xdr:cNvSpPr>
          <a:spLocks noChangeAspect="1"/>
        </xdr:cNvSpPr>
      </xdr:nvSpPr>
      <xdr:spPr>
        <a:xfrm>
          <a:off x="371700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101</xdr:row>
      <xdr:rowOff>114450</xdr:rowOff>
    </xdr:from>
    <xdr:to>
      <xdr:col>54</xdr:col>
      <xdr:colOff>658801</xdr:colOff>
      <xdr:row>106</xdr:row>
      <xdr:rowOff>157201</xdr:rowOff>
    </xdr:to>
    <xdr:sp macro="" textlink="">
      <xdr:nvSpPr>
        <xdr:cNvPr id="248013" name="フリーフォーム: 図形 248012">
          <a:extLst>
            <a:ext uri="{FF2B5EF4-FFF2-40B4-BE49-F238E27FC236}">
              <a16:creationId xmlns:a16="http://schemas.microsoft.com/office/drawing/2014/main" id="{CA7F4E49-EF30-4954-A2AA-CC63D140700C}"/>
            </a:ext>
          </a:extLst>
        </xdr:cNvPr>
        <xdr:cNvSpPr>
          <a:spLocks noChangeAspect="1"/>
        </xdr:cNvSpPr>
      </xdr:nvSpPr>
      <xdr:spPr>
        <a:xfrm>
          <a:off x="374400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102</xdr:row>
      <xdr:rowOff>69000</xdr:rowOff>
    </xdr:from>
    <xdr:to>
      <xdr:col>55</xdr:col>
      <xdr:colOff>297000</xdr:colOff>
      <xdr:row>107</xdr:row>
      <xdr:rowOff>3751</xdr:rowOff>
    </xdr:to>
    <xdr:sp macro="" textlink="">
      <xdr:nvSpPr>
        <xdr:cNvPr id="248014" name="フリーフォーム: 図形 248013">
          <a:extLst>
            <a:ext uri="{FF2B5EF4-FFF2-40B4-BE49-F238E27FC236}">
              <a16:creationId xmlns:a16="http://schemas.microsoft.com/office/drawing/2014/main" id="{753E6191-6618-42AB-914B-142168C58F56}"/>
            </a:ext>
          </a:extLst>
        </xdr:cNvPr>
        <xdr:cNvSpPr>
          <a:spLocks noChangeAspect="1"/>
        </xdr:cNvSpPr>
      </xdr:nvSpPr>
      <xdr:spPr>
        <a:xfrm>
          <a:off x="374940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107</xdr:row>
      <xdr:rowOff>75750</xdr:rowOff>
    </xdr:from>
    <xdr:to>
      <xdr:col>55</xdr:col>
      <xdr:colOff>9002</xdr:colOff>
      <xdr:row>111</xdr:row>
      <xdr:rowOff>163951</xdr:rowOff>
    </xdr:to>
    <xdr:sp macro="" textlink="">
      <xdr:nvSpPr>
        <xdr:cNvPr id="248015" name="フリーフォーム: 図形 248014">
          <a:extLst>
            <a:ext uri="{FF2B5EF4-FFF2-40B4-BE49-F238E27FC236}">
              <a16:creationId xmlns:a16="http://schemas.microsoft.com/office/drawing/2014/main" id="{DCCD85C7-6645-43CF-9474-729FD2B2DBBE}"/>
            </a:ext>
          </a:extLst>
        </xdr:cNvPr>
        <xdr:cNvSpPr>
          <a:spLocks noChangeAspect="1"/>
        </xdr:cNvSpPr>
      </xdr:nvSpPr>
      <xdr:spPr>
        <a:xfrm>
          <a:off x="374579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107</xdr:row>
      <xdr:rowOff>93749</xdr:rowOff>
    </xdr:from>
    <xdr:to>
      <xdr:col>54</xdr:col>
      <xdr:colOff>424800</xdr:colOff>
      <xdr:row>112</xdr:row>
      <xdr:rowOff>118501</xdr:rowOff>
    </xdr:to>
    <xdr:sp macro="" textlink="">
      <xdr:nvSpPr>
        <xdr:cNvPr id="248016" name="フリーフォーム: 図形 248015">
          <a:extLst>
            <a:ext uri="{FF2B5EF4-FFF2-40B4-BE49-F238E27FC236}">
              <a16:creationId xmlns:a16="http://schemas.microsoft.com/office/drawing/2014/main" id="{813235CC-39F7-40DD-BB52-4533A527F096}"/>
            </a:ext>
          </a:extLst>
        </xdr:cNvPr>
        <xdr:cNvSpPr>
          <a:spLocks noChangeAspect="1"/>
        </xdr:cNvSpPr>
      </xdr:nvSpPr>
      <xdr:spPr>
        <a:xfrm>
          <a:off x="372240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107</xdr:row>
      <xdr:rowOff>75750</xdr:rowOff>
    </xdr:from>
    <xdr:to>
      <xdr:col>54</xdr:col>
      <xdr:colOff>388802</xdr:colOff>
      <xdr:row>112</xdr:row>
      <xdr:rowOff>10501</xdr:rowOff>
    </xdr:to>
    <xdr:sp macro="" textlink="">
      <xdr:nvSpPr>
        <xdr:cNvPr id="248017" name="フリーフォーム: 図形 248016">
          <a:extLst>
            <a:ext uri="{FF2B5EF4-FFF2-40B4-BE49-F238E27FC236}">
              <a16:creationId xmlns:a16="http://schemas.microsoft.com/office/drawing/2014/main" id="{E0F42BA1-DB0F-4290-BF8D-5C3F36C815B5}"/>
            </a:ext>
          </a:extLst>
        </xdr:cNvPr>
        <xdr:cNvSpPr>
          <a:spLocks noChangeAspect="1"/>
        </xdr:cNvSpPr>
      </xdr:nvSpPr>
      <xdr:spPr>
        <a:xfrm>
          <a:off x="368999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101</xdr:row>
      <xdr:rowOff>42450</xdr:rowOff>
    </xdr:from>
    <xdr:to>
      <xdr:col>57</xdr:col>
      <xdr:colOff>322201</xdr:colOff>
      <xdr:row>102</xdr:row>
      <xdr:rowOff>15002</xdr:rowOff>
    </xdr:to>
    <xdr:sp macro="" textlink="">
      <xdr:nvSpPr>
        <xdr:cNvPr id="248018" name="フリーフォーム: 図形 248017">
          <a:extLst>
            <a:ext uri="{FF2B5EF4-FFF2-40B4-BE49-F238E27FC236}">
              <a16:creationId xmlns:a16="http://schemas.microsoft.com/office/drawing/2014/main" id="{3BA6F705-3D0E-4A8C-A410-0292579D8E16}"/>
            </a:ext>
          </a:extLst>
        </xdr:cNvPr>
        <xdr:cNvSpPr>
          <a:spLocks noChangeAspect="1"/>
        </xdr:cNvSpPr>
      </xdr:nvSpPr>
      <xdr:spPr>
        <a:xfrm>
          <a:off x="389448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101</xdr:row>
      <xdr:rowOff>42450</xdr:rowOff>
    </xdr:from>
    <xdr:to>
      <xdr:col>58</xdr:col>
      <xdr:colOff>176400</xdr:colOff>
      <xdr:row>102</xdr:row>
      <xdr:rowOff>15002</xdr:rowOff>
    </xdr:to>
    <xdr:sp macro="" textlink="">
      <xdr:nvSpPr>
        <xdr:cNvPr id="248019" name="フリーフォーム: 図形 248018">
          <a:extLst>
            <a:ext uri="{FF2B5EF4-FFF2-40B4-BE49-F238E27FC236}">
              <a16:creationId xmlns:a16="http://schemas.microsoft.com/office/drawing/2014/main" id="{8E6D587B-0D37-4F74-BD9D-F4AB5485E7FD}"/>
            </a:ext>
          </a:extLst>
        </xdr:cNvPr>
        <xdr:cNvSpPr>
          <a:spLocks noChangeAspect="1"/>
        </xdr:cNvSpPr>
      </xdr:nvSpPr>
      <xdr:spPr>
        <a:xfrm>
          <a:off x="394847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101</xdr:row>
      <xdr:rowOff>114450</xdr:rowOff>
    </xdr:from>
    <xdr:to>
      <xdr:col>58</xdr:col>
      <xdr:colOff>248401</xdr:colOff>
      <xdr:row>107</xdr:row>
      <xdr:rowOff>21752</xdr:rowOff>
    </xdr:to>
    <xdr:sp macro="" textlink="">
      <xdr:nvSpPr>
        <xdr:cNvPr id="248020" name="フリーフォーム: 図形 248019">
          <a:extLst>
            <a:ext uri="{FF2B5EF4-FFF2-40B4-BE49-F238E27FC236}">
              <a16:creationId xmlns:a16="http://schemas.microsoft.com/office/drawing/2014/main" id="{6862AC98-A2A5-4B02-9DBB-E14BF29A6DE3}"/>
            </a:ext>
          </a:extLst>
        </xdr:cNvPr>
        <xdr:cNvSpPr>
          <a:spLocks noChangeAspect="1"/>
        </xdr:cNvSpPr>
      </xdr:nvSpPr>
      <xdr:spPr>
        <a:xfrm>
          <a:off x="397367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107</xdr:row>
      <xdr:rowOff>75750</xdr:rowOff>
    </xdr:from>
    <xdr:to>
      <xdr:col>58</xdr:col>
      <xdr:colOff>68400</xdr:colOff>
      <xdr:row>112</xdr:row>
      <xdr:rowOff>136501</xdr:rowOff>
    </xdr:to>
    <xdr:sp macro="" textlink="">
      <xdr:nvSpPr>
        <xdr:cNvPr id="248021" name="フリーフォーム: 図形 248020">
          <a:extLst>
            <a:ext uri="{FF2B5EF4-FFF2-40B4-BE49-F238E27FC236}">
              <a16:creationId xmlns:a16="http://schemas.microsoft.com/office/drawing/2014/main" id="{02B5107A-2A71-44FB-8EE6-9DA12A64C8AA}"/>
            </a:ext>
          </a:extLst>
        </xdr:cNvPr>
        <xdr:cNvSpPr>
          <a:spLocks noChangeAspect="1"/>
        </xdr:cNvSpPr>
      </xdr:nvSpPr>
      <xdr:spPr>
        <a:xfrm>
          <a:off x="395568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112</xdr:row>
      <xdr:rowOff>64500</xdr:rowOff>
    </xdr:from>
    <xdr:to>
      <xdr:col>56</xdr:col>
      <xdr:colOff>684000</xdr:colOff>
      <xdr:row>113</xdr:row>
      <xdr:rowOff>37051</xdr:rowOff>
    </xdr:to>
    <xdr:sp macro="" textlink="">
      <xdr:nvSpPr>
        <xdr:cNvPr id="248022" name="フリーフォーム: 図形 248021">
          <a:extLst>
            <a:ext uri="{FF2B5EF4-FFF2-40B4-BE49-F238E27FC236}">
              <a16:creationId xmlns:a16="http://schemas.microsoft.com/office/drawing/2014/main" id="{583DAB03-4236-4970-B6ED-44B3B4518ED2}"/>
            </a:ext>
          </a:extLst>
        </xdr:cNvPr>
        <xdr:cNvSpPr>
          <a:spLocks noChangeAspect="1"/>
        </xdr:cNvSpPr>
      </xdr:nvSpPr>
      <xdr:spPr>
        <a:xfrm>
          <a:off x="386028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112</xdr:row>
      <xdr:rowOff>64500</xdr:rowOff>
    </xdr:from>
    <xdr:to>
      <xdr:col>57</xdr:col>
      <xdr:colOff>502200</xdr:colOff>
      <xdr:row>113</xdr:row>
      <xdr:rowOff>37051</xdr:rowOff>
    </xdr:to>
    <xdr:sp macro="" textlink="">
      <xdr:nvSpPr>
        <xdr:cNvPr id="248023" name="フリーフォーム: 図形 248022">
          <a:extLst>
            <a:ext uri="{FF2B5EF4-FFF2-40B4-BE49-F238E27FC236}">
              <a16:creationId xmlns:a16="http://schemas.microsoft.com/office/drawing/2014/main" id="{A3F78E38-44CE-4935-8DAF-FB1A606B8B20}"/>
            </a:ext>
          </a:extLst>
        </xdr:cNvPr>
        <xdr:cNvSpPr>
          <a:spLocks noChangeAspect="1"/>
        </xdr:cNvSpPr>
      </xdr:nvSpPr>
      <xdr:spPr>
        <a:xfrm>
          <a:off x="391247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107</xdr:row>
      <xdr:rowOff>75750</xdr:rowOff>
    </xdr:from>
    <xdr:to>
      <xdr:col>56</xdr:col>
      <xdr:colOff>432003</xdr:colOff>
      <xdr:row>112</xdr:row>
      <xdr:rowOff>136501</xdr:rowOff>
    </xdr:to>
    <xdr:sp macro="" textlink="">
      <xdr:nvSpPr>
        <xdr:cNvPr id="248024" name="フリーフォーム: 図形 248023">
          <a:extLst>
            <a:ext uri="{FF2B5EF4-FFF2-40B4-BE49-F238E27FC236}">
              <a16:creationId xmlns:a16="http://schemas.microsoft.com/office/drawing/2014/main" id="{C4D52777-2B55-4AAF-8F45-0116808F2EDF}"/>
            </a:ext>
          </a:extLst>
        </xdr:cNvPr>
        <xdr:cNvSpPr>
          <a:spLocks noChangeAspect="1"/>
        </xdr:cNvSpPr>
      </xdr:nvSpPr>
      <xdr:spPr>
        <a:xfrm>
          <a:off x="385488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101</xdr:row>
      <xdr:rowOff>114450</xdr:rowOff>
    </xdr:from>
    <xdr:to>
      <xdr:col>56</xdr:col>
      <xdr:colOff>576000</xdr:colOff>
      <xdr:row>107</xdr:row>
      <xdr:rowOff>21752</xdr:rowOff>
    </xdr:to>
    <xdr:sp macro="" textlink="">
      <xdr:nvSpPr>
        <xdr:cNvPr id="248025" name="フリーフォーム: 図形 248024">
          <a:extLst>
            <a:ext uri="{FF2B5EF4-FFF2-40B4-BE49-F238E27FC236}">
              <a16:creationId xmlns:a16="http://schemas.microsoft.com/office/drawing/2014/main" id="{6AA49F02-E2B3-4E92-A59A-A33A5FFB10D6}"/>
            </a:ext>
          </a:extLst>
        </xdr:cNvPr>
        <xdr:cNvSpPr>
          <a:spLocks noChangeAspect="1"/>
        </xdr:cNvSpPr>
      </xdr:nvSpPr>
      <xdr:spPr>
        <a:xfrm>
          <a:off x="387287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106</xdr:row>
      <xdr:rowOff>139199</xdr:rowOff>
    </xdr:from>
    <xdr:to>
      <xdr:col>57</xdr:col>
      <xdr:colOff>160202</xdr:colOff>
      <xdr:row>107</xdr:row>
      <xdr:rowOff>111751</xdr:rowOff>
    </xdr:to>
    <xdr:sp macro="" textlink="">
      <xdr:nvSpPr>
        <xdr:cNvPr id="248026" name="フリーフォーム: 図形 248025">
          <a:extLst>
            <a:ext uri="{FF2B5EF4-FFF2-40B4-BE49-F238E27FC236}">
              <a16:creationId xmlns:a16="http://schemas.microsoft.com/office/drawing/2014/main" id="{80210391-52A5-41C0-A213-AAC25B35DA63}"/>
            </a:ext>
          </a:extLst>
        </xdr:cNvPr>
        <xdr:cNvSpPr>
          <a:spLocks noChangeAspect="1"/>
        </xdr:cNvSpPr>
      </xdr:nvSpPr>
      <xdr:spPr>
        <a:xfrm>
          <a:off x="388008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106</xdr:row>
      <xdr:rowOff>139199</xdr:rowOff>
    </xdr:from>
    <xdr:to>
      <xdr:col>57</xdr:col>
      <xdr:colOff>664202</xdr:colOff>
      <xdr:row>107</xdr:row>
      <xdr:rowOff>111751</xdr:rowOff>
    </xdr:to>
    <xdr:sp macro="" textlink="">
      <xdr:nvSpPr>
        <xdr:cNvPr id="248027" name="フリーフォーム: 図形 248026">
          <a:extLst>
            <a:ext uri="{FF2B5EF4-FFF2-40B4-BE49-F238E27FC236}">
              <a16:creationId xmlns:a16="http://schemas.microsoft.com/office/drawing/2014/main" id="{576CFECE-355D-4B51-ADDC-0D9EFF5962EE}"/>
            </a:ext>
          </a:extLst>
        </xdr:cNvPr>
        <xdr:cNvSpPr>
          <a:spLocks noChangeAspect="1"/>
        </xdr:cNvSpPr>
      </xdr:nvSpPr>
      <xdr:spPr>
        <a:xfrm>
          <a:off x="393048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102</xdr:row>
      <xdr:rowOff>51000</xdr:rowOff>
    </xdr:from>
    <xdr:to>
      <xdr:col>57</xdr:col>
      <xdr:colOff>178201</xdr:colOff>
      <xdr:row>107</xdr:row>
      <xdr:rowOff>3751</xdr:rowOff>
    </xdr:to>
    <xdr:sp macro="" textlink="">
      <xdr:nvSpPr>
        <xdr:cNvPr id="248028" name="フリーフォーム: 図形 248027">
          <a:extLst>
            <a:ext uri="{FF2B5EF4-FFF2-40B4-BE49-F238E27FC236}">
              <a16:creationId xmlns:a16="http://schemas.microsoft.com/office/drawing/2014/main" id="{16D3D941-09DF-475A-A867-F48AA8BDA5AF}"/>
            </a:ext>
          </a:extLst>
        </xdr:cNvPr>
        <xdr:cNvSpPr>
          <a:spLocks noChangeAspect="1"/>
        </xdr:cNvSpPr>
      </xdr:nvSpPr>
      <xdr:spPr>
        <a:xfrm>
          <a:off x="389988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101</xdr:row>
      <xdr:rowOff>114450</xdr:rowOff>
    </xdr:from>
    <xdr:to>
      <xdr:col>57</xdr:col>
      <xdr:colOff>430201</xdr:colOff>
      <xdr:row>106</xdr:row>
      <xdr:rowOff>157201</xdr:rowOff>
    </xdr:to>
    <xdr:sp macro="" textlink="">
      <xdr:nvSpPr>
        <xdr:cNvPr id="248029" name="フリーフォーム: 図形 248028">
          <a:extLst>
            <a:ext uri="{FF2B5EF4-FFF2-40B4-BE49-F238E27FC236}">
              <a16:creationId xmlns:a16="http://schemas.microsoft.com/office/drawing/2014/main" id="{44655ED6-F0A0-4653-ACCE-C324D1FE8E46}"/>
            </a:ext>
          </a:extLst>
        </xdr:cNvPr>
        <xdr:cNvSpPr>
          <a:spLocks noChangeAspect="1"/>
        </xdr:cNvSpPr>
      </xdr:nvSpPr>
      <xdr:spPr>
        <a:xfrm>
          <a:off x="392688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102</xdr:row>
      <xdr:rowOff>69000</xdr:rowOff>
    </xdr:from>
    <xdr:to>
      <xdr:col>58</xdr:col>
      <xdr:colOff>68400</xdr:colOff>
      <xdr:row>107</xdr:row>
      <xdr:rowOff>3751</xdr:rowOff>
    </xdr:to>
    <xdr:sp macro="" textlink="">
      <xdr:nvSpPr>
        <xdr:cNvPr id="248030" name="フリーフォーム: 図形 248029">
          <a:extLst>
            <a:ext uri="{FF2B5EF4-FFF2-40B4-BE49-F238E27FC236}">
              <a16:creationId xmlns:a16="http://schemas.microsoft.com/office/drawing/2014/main" id="{E7A355D6-60AC-4A79-8850-BDCDE8DE6B69}"/>
            </a:ext>
          </a:extLst>
        </xdr:cNvPr>
        <xdr:cNvSpPr>
          <a:spLocks noChangeAspect="1"/>
        </xdr:cNvSpPr>
      </xdr:nvSpPr>
      <xdr:spPr>
        <a:xfrm>
          <a:off x="393228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107</xdr:row>
      <xdr:rowOff>75750</xdr:rowOff>
    </xdr:from>
    <xdr:to>
      <xdr:col>57</xdr:col>
      <xdr:colOff>466202</xdr:colOff>
      <xdr:row>111</xdr:row>
      <xdr:rowOff>163951</xdr:rowOff>
    </xdr:to>
    <xdr:sp macro="" textlink="">
      <xdr:nvSpPr>
        <xdr:cNvPr id="248031" name="フリーフォーム: 図形 248030">
          <a:extLst>
            <a:ext uri="{FF2B5EF4-FFF2-40B4-BE49-F238E27FC236}">
              <a16:creationId xmlns:a16="http://schemas.microsoft.com/office/drawing/2014/main" id="{927E239B-BDC9-4238-80DE-DA2D57758DD3}"/>
            </a:ext>
          </a:extLst>
        </xdr:cNvPr>
        <xdr:cNvSpPr>
          <a:spLocks noChangeAspect="1"/>
        </xdr:cNvSpPr>
      </xdr:nvSpPr>
      <xdr:spPr>
        <a:xfrm>
          <a:off x="392867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107</xdr:row>
      <xdr:rowOff>93749</xdr:rowOff>
    </xdr:from>
    <xdr:to>
      <xdr:col>57</xdr:col>
      <xdr:colOff>196200</xdr:colOff>
      <xdr:row>112</xdr:row>
      <xdr:rowOff>118501</xdr:rowOff>
    </xdr:to>
    <xdr:sp macro="" textlink="">
      <xdr:nvSpPr>
        <xdr:cNvPr id="248032" name="フリーフォーム: 図形 248031">
          <a:extLst>
            <a:ext uri="{FF2B5EF4-FFF2-40B4-BE49-F238E27FC236}">
              <a16:creationId xmlns:a16="http://schemas.microsoft.com/office/drawing/2014/main" id="{CB1D8334-8DBC-4829-8FAE-BE945B906AB9}"/>
            </a:ext>
          </a:extLst>
        </xdr:cNvPr>
        <xdr:cNvSpPr>
          <a:spLocks noChangeAspect="1"/>
        </xdr:cNvSpPr>
      </xdr:nvSpPr>
      <xdr:spPr>
        <a:xfrm>
          <a:off x="390528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107</xdr:row>
      <xdr:rowOff>75750</xdr:rowOff>
    </xdr:from>
    <xdr:to>
      <xdr:col>57</xdr:col>
      <xdr:colOff>160202</xdr:colOff>
      <xdr:row>112</xdr:row>
      <xdr:rowOff>10501</xdr:rowOff>
    </xdr:to>
    <xdr:sp macro="" textlink="">
      <xdr:nvSpPr>
        <xdr:cNvPr id="248033" name="フリーフォーム: 図形 248032">
          <a:extLst>
            <a:ext uri="{FF2B5EF4-FFF2-40B4-BE49-F238E27FC236}">
              <a16:creationId xmlns:a16="http://schemas.microsoft.com/office/drawing/2014/main" id="{185AA4C0-D0AF-491C-A3DD-DF440789A222}"/>
            </a:ext>
          </a:extLst>
        </xdr:cNvPr>
        <xdr:cNvSpPr>
          <a:spLocks noChangeAspect="1"/>
        </xdr:cNvSpPr>
      </xdr:nvSpPr>
      <xdr:spPr>
        <a:xfrm>
          <a:off x="387287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101</xdr:row>
      <xdr:rowOff>42450</xdr:rowOff>
    </xdr:from>
    <xdr:to>
      <xdr:col>60</xdr:col>
      <xdr:colOff>93601</xdr:colOff>
      <xdr:row>102</xdr:row>
      <xdr:rowOff>15002</xdr:rowOff>
    </xdr:to>
    <xdr:sp macro="" textlink="">
      <xdr:nvSpPr>
        <xdr:cNvPr id="248034" name="フリーフォーム: 図形 248033">
          <a:extLst>
            <a:ext uri="{FF2B5EF4-FFF2-40B4-BE49-F238E27FC236}">
              <a16:creationId xmlns:a16="http://schemas.microsoft.com/office/drawing/2014/main" id="{ED33C5AF-2A93-4241-961E-752A909C0404}"/>
            </a:ext>
          </a:extLst>
        </xdr:cNvPr>
        <xdr:cNvSpPr>
          <a:spLocks noChangeAspect="1"/>
        </xdr:cNvSpPr>
      </xdr:nvSpPr>
      <xdr:spPr>
        <a:xfrm>
          <a:off x="407736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101</xdr:row>
      <xdr:rowOff>42450</xdr:rowOff>
    </xdr:from>
    <xdr:to>
      <xdr:col>60</xdr:col>
      <xdr:colOff>633600</xdr:colOff>
      <xdr:row>102</xdr:row>
      <xdr:rowOff>15002</xdr:rowOff>
    </xdr:to>
    <xdr:sp macro="" textlink="">
      <xdr:nvSpPr>
        <xdr:cNvPr id="248035" name="フリーフォーム: 図形 248034">
          <a:extLst>
            <a:ext uri="{FF2B5EF4-FFF2-40B4-BE49-F238E27FC236}">
              <a16:creationId xmlns:a16="http://schemas.microsoft.com/office/drawing/2014/main" id="{B0B4F23B-E2C5-4825-B2F8-8135DC9DEED7}"/>
            </a:ext>
          </a:extLst>
        </xdr:cNvPr>
        <xdr:cNvSpPr>
          <a:spLocks noChangeAspect="1"/>
        </xdr:cNvSpPr>
      </xdr:nvSpPr>
      <xdr:spPr>
        <a:xfrm>
          <a:off x="413135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101</xdr:row>
      <xdr:rowOff>114450</xdr:rowOff>
    </xdr:from>
    <xdr:to>
      <xdr:col>61</xdr:col>
      <xdr:colOff>19801</xdr:colOff>
      <xdr:row>107</xdr:row>
      <xdr:rowOff>21752</xdr:rowOff>
    </xdr:to>
    <xdr:sp macro="" textlink="">
      <xdr:nvSpPr>
        <xdr:cNvPr id="248036" name="フリーフォーム: 図形 248035">
          <a:extLst>
            <a:ext uri="{FF2B5EF4-FFF2-40B4-BE49-F238E27FC236}">
              <a16:creationId xmlns:a16="http://schemas.microsoft.com/office/drawing/2014/main" id="{E0874421-D663-46FE-A3D7-810FD8C9C76E}"/>
            </a:ext>
          </a:extLst>
        </xdr:cNvPr>
        <xdr:cNvSpPr>
          <a:spLocks noChangeAspect="1"/>
        </xdr:cNvSpPr>
      </xdr:nvSpPr>
      <xdr:spPr>
        <a:xfrm>
          <a:off x="415655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107</xdr:row>
      <xdr:rowOff>75750</xdr:rowOff>
    </xdr:from>
    <xdr:to>
      <xdr:col>60</xdr:col>
      <xdr:colOff>525600</xdr:colOff>
      <xdr:row>112</xdr:row>
      <xdr:rowOff>136501</xdr:rowOff>
    </xdr:to>
    <xdr:sp macro="" textlink="">
      <xdr:nvSpPr>
        <xdr:cNvPr id="248037" name="フリーフォーム: 図形 248036">
          <a:extLst>
            <a:ext uri="{FF2B5EF4-FFF2-40B4-BE49-F238E27FC236}">
              <a16:creationId xmlns:a16="http://schemas.microsoft.com/office/drawing/2014/main" id="{A2315E8C-0EBB-4EDF-8748-0B4969AC88B4}"/>
            </a:ext>
          </a:extLst>
        </xdr:cNvPr>
        <xdr:cNvSpPr>
          <a:spLocks noChangeAspect="1"/>
        </xdr:cNvSpPr>
      </xdr:nvSpPr>
      <xdr:spPr>
        <a:xfrm>
          <a:off x="413856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112</xdr:row>
      <xdr:rowOff>64500</xdr:rowOff>
    </xdr:from>
    <xdr:to>
      <xdr:col>59</xdr:col>
      <xdr:colOff>455400</xdr:colOff>
      <xdr:row>113</xdr:row>
      <xdr:rowOff>37051</xdr:rowOff>
    </xdr:to>
    <xdr:sp macro="" textlink="">
      <xdr:nvSpPr>
        <xdr:cNvPr id="248038" name="フリーフォーム: 図形 248037">
          <a:extLst>
            <a:ext uri="{FF2B5EF4-FFF2-40B4-BE49-F238E27FC236}">
              <a16:creationId xmlns:a16="http://schemas.microsoft.com/office/drawing/2014/main" id="{FE411254-9D16-41D0-B5EC-864DEC5659BD}"/>
            </a:ext>
          </a:extLst>
        </xdr:cNvPr>
        <xdr:cNvSpPr>
          <a:spLocks noChangeAspect="1"/>
        </xdr:cNvSpPr>
      </xdr:nvSpPr>
      <xdr:spPr>
        <a:xfrm>
          <a:off x="404316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112</xdr:row>
      <xdr:rowOff>64500</xdr:rowOff>
    </xdr:from>
    <xdr:to>
      <xdr:col>60</xdr:col>
      <xdr:colOff>273600</xdr:colOff>
      <xdr:row>113</xdr:row>
      <xdr:rowOff>37051</xdr:rowOff>
    </xdr:to>
    <xdr:sp macro="" textlink="">
      <xdr:nvSpPr>
        <xdr:cNvPr id="248039" name="フリーフォーム: 図形 248038">
          <a:extLst>
            <a:ext uri="{FF2B5EF4-FFF2-40B4-BE49-F238E27FC236}">
              <a16:creationId xmlns:a16="http://schemas.microsoft.com/office/drawing/2014/main" id="{F451015A-0F93-484C-BE2F-F8D98BCE6197}"/>
            </a:ext>
          </a:extLst>
        </xdr:cNvPr>
        <xdr:cNvSpPr>
          <a:spLocks noChangeAspect="1"/>
        </xdr:cNvSpPr>
      </xdr:nvSpPr>
      <xdr:spPr>
        <a:xfrm>
          <a:off x="409535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107</xdr:row>
      <xdr:rowOff>75750</xdr:rowOff>
    </xdr:from>
    <xdr:to>
      <xdr:col>59</xdr:col>
      <xdr:colOff>203403</xdr:colOff>
      <xdr:row>112</xdr:row>
      <xdr:rowOff>136501</xdr:rowOff>
    </xdr:to>
    <xdr:sp macro="" textlink="">
      <xdr:nvSpPr>
        <xdr:cNvPr id="248040" name="フリーフォーム: 図形 248039">
          <a:extLst>
            <a:ext uri="{FF2B5EF4-FFF2-40B4-BE49-F238E27FC236}">
              <a16:creationId xmlns:a16="http://schemas.microsoft.com/office/drawing/2014/main" id="{B994B14A-8F72-4FA8-8141-A46C82CB781F}"/>
            </a:ext>
          </a:extLst>
        </xdr:cNvPr>
        <xdr:cNvSpPr>
          <a:spLocks noChangeAspect="1"/>
        </xdr:cNvSpPr>
      </xdr:nvSpPr>
      <xdr:spPr>
        <a:xfrm>
          <a:off x="403776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101</xdr:row>
      <xdr:rowOff>114450</xdr:rowOff>
    </xdr:from>
    <xdr:to>
      <xdr:col>59</xdr:col>
      <xdr:colOff>347400</xdr:colOff>
      <xdr:row>107</xdr:row>
      <xdr:rowOff>21752</xdr:rowOff>
    </xdr:to>
    <xdr:sp macro="" textlink="">
      <xdr:nvSpPr>
        <xdr:cNvPr id="248041" name="フリーフォーム: 図形 248040">
          <a:extLst>
            <a:ext uri="{FF2B5EF4-FFF2-40B4-BE49-F238E27FC236}">
              <a16:creationId xmlns:a16="http://schemas.microsoft.com/office/drawing/2014/main" id="{C12D10BF-10B0-431B-9331-63D28A6168D1}"/>
            </a:ext>
          </a:extLst>
        </xdr:cNvPr>
        <xdr:cNvSpPr>
          <a:spLocks noChangeAspect="1"/>
        </xdr:cNvSpPr>
      </xdr:nvSpPr>
      <xdr:spPr>
        <a:xfrm>
          <a:off x="405575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106</xdr:row>
      <xdr:rowOff>139199</xdr:rowOff>
    </xdr:from>
    <xdr:to>
      <xdr:col>59</xdr:col>
      <xdr:colOff>617402</xdr:colOff>
      <xdr:row>107</xdr:row>
      <xdr:rowOff>111751</xdr:rowOff>
    </xdr:to>
    <xdr:sp macro="" textlink="">
      <xdr:nvSpPr>
        <xdr:cNvPr id="248042" name="フリーフォーム: 図形 248041">
          <a:extLst>
            <a:ext uri="{FF2B5EF4-FFF2-40B4-BE49-F238E27FC236}">
              <a16:creationId xmlns:a16="http://schemas.microsoft.com/office/drawing/2014/main" id="{6F6E3F39-B270-4E09-B4D1-0C49D71D7050}"/>
            </a:ext>
          </a:extLst>
        </xdr:cNvPr>
        <xdr:cNvSpPr>
          <a:spLocks noChangeAspect="1"/>
        </xdr:cNvSpPr>
      </xdr:nvSpPr>
      <xdr:spPr>
        <a:xfrm>
          <a:off x="406296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106</xdr:row>
      <xdr:rowOff>139199</xdr:rowOff>
    </xdr:from>
    <xdr:to>
      <xdr:col>60</xdr:col>
      <xdr:colOff>435602</xdr:colOff>
      <xdr:row>107</xdr:row>
      <xdr:rowOff>111751</xdr:rowOff>
    </xdr:to>
    <xdr:sp macro="" textlink="">
      <xdr:nvSpPr>
        <xdr:cNvPr id="248043" name="フリーフォーム: 図形 248042">
          <a:extLst>
            <a:ext uri="{FF2B5EF4-FFF2-40B4-BE49-F238E27FC236}">
              <a16:creationId xmlns:a16="http://schemas.microsoft.com/office/drawing/2014/main" id="{C9E5E4E1-00BA-4315-8D84-02ED7467EDFD}"/>
            </a:ext>
          </a:extLst>
        </xdr:cNvPr>
        <xdr:cNvSpPr>
          <a:spLocks noChangeAspect="1"/>
        </xdr:cNvSpPr>
      </xdr:nvSpPr>
      <xdr:spPr>
        <a:xfrm>
          <a:off x="411336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102</xdr:row>
      <xdr:rowOff>51000</xdr:rowOff>
    </xdr:from>
    <xdr:to>
      <xdr:col>59</xdr:col>
      <xdr:colOff>635401</xdr:colOff>
      <xdr:row>107</xdr:row>
      <xdr:rowOff>3751</xdr:rowOff>
    </xdr:to>
    <xdr:sp macro="" textlink="">
      <xdr:nvSpPr>
        <xdr:cNvPr id="248044" name="フリーフォーム: 図形 248043">
          <a:extLst>
            <a:ext uri="{FF2B5EF4-FFF2-40B4-BE49-F238E27FC236}">
              <a16:creationId xmlns:a16="http://schemas.microsoft.com/office/drawing/2014/main" id="{C26CF50D-2912-4207-A8CE-495FE41E6A2D}"/>
            </a:ext>
          </a:extLst>
        </xdr:cNvPr>
        <xdr:cNvSpPr>
          <a:spLocks noChangeAspect="1"/>
        </xdr:cNvSpPr>
      </xdr:nvSpPr>
      <xdr:spPr>
        <a:xfrm>
          <a:off x="408276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101</xdr:row>
      <xdr:rowOff>114450</xdr:rowOff>
    </xdr:from>
    <xdr:to>
      <xdr:col>60</xdr:col>
      <xdr:colOff>201601</xdr:colOff>
      <xdr:row>106</xdr:row>
      <xdr:rowOff>157201</xdr:rowOff>
    </xdr:to>
    <xdr:sp macro="" textlink="">
      <xdr:nvSpPr>
        <xdr:cNvPr id="248045" name="フリーフォーム: 図形 248044">
          <a:extLst>
            <a:ext uri="{FF2B5EF4-FFF2-40B4-BE49-F238E27FC236}">
              <a16:creationId xmlns:a16="http://schemas.microsoft.com/office/drawing/2014/main" id="{2E669FA3-C487-428F-BBF3-F07DFE5AA125}"/>
            </a:ext>
          </a:extLst>
        </xdr:cNvPr>
        <xdr:cNvSpPr>
          <a:spLocks noChangeAspect="1"/>
        </xdr:cNvSpPr>
      </xdr:nvSpPr>
      <xdr:spPr>
        <a:xfrm>
          <a:off x="410976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102</xdr:row>
      <xdr:rowOff>69000</xdr:rowOff>
    </xdr:from>
    <xdr:to>
      <xdr:col>60</xdr:col>
      <xdr:colOff>525600</xdr:colOff>
      <xdr:row>107</xdr:row>
      <xdr:rowOff>3751</xdr:rowOff>
    </xdr:to>
    <xdr:sp macro="" textlink="">
      <xdr:nvSpPr>
        <xdr:cNvPr id="248046" name="フリーフォーム: 図形 248045">
          <a:extLst>
            <a:ext uri="{FF2B5EF4-FFF2-40B4-BE49-F238E27FC236}">
              <a16:creationId xmlns:a16="http://schemas.microsoft.com/office/drawing/2014/main" id="{E143401A-AF70-4B51-9344-8DC29B808F76}"/>
            </a:ext>
          </a:extLst>
        </xdr:cNvPr>
        <xdr:cNvSpPr>
          <a:spLocks noChangeAspect="1"/>
        </xdr:cNvSpPr>
      </xdr:nvSpPr>
      <xdr:spPr>
        <a:xfrm>
          <a:off x="411516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107</xdr:row>
      <xdr:rowOff>75750</xdr:rowOff>
    </xdr:from>
    <xdr:to>
      <xdr:col>60</xdr:col>
      <xdr:colOff>237602</xdr:colOff>
      <xdr:row>111</xdr:row>
      <xdr:rowOff>163951</xdr:rowOff>
    </xdr:to>
    <xdr:sp macro="" textlink="">
      <xdr:nvSpPr>
        <xdr:cNvPr id="248047" name="フリーフォーム: 図形 248046">
          <a:extLst>
            <a:ext uri="{FF2B5EF4-FFF2-40B4-BE49-F238E27FC236}">
              <a16:creationId xmlns:a16="http://schemas.microsoft.com/office/drawing/2014/main" id="{61EECF9F-E7CE-456A-808B-877A97C9B68A}"/>
            </a:ext>
          </a:extLst>
        </xdr:cNvPr>
        <xdr:cNvSpPr>
          <a:spLocks noChangeAspect="1"/>
        </xdr:cNvSpPr>
      </xdr:nvSpPr>
      <xdr:spPr>
        <a:xfrm>
          <a:off x="411155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107</xdr:row>
      <xdr:rowOff>93749</xdr:rowOff>
    </xdr:from>
    <xdr:to>
      <xdr:col>59</xdr:col>
      <xdr:colOff>653400</xdr:colOff>
      <xdr:row>112</xdr:row>
      <xdr:rowOff>118501</xdr:rowOff>
    </xdr:to>
    <xdr:sp macro="" textlink="">
      <xdr:nvSpPr>
        <xdr:cNvPr id="248048" name="フリーフォーム: 図形 248047">
          <a:extLst>
            <a:ext uri="{FF2B5EF4-FFF2-40B4-BE49-F238E27FC236}">
              <a16:creationId xmlns:a16="http://schemas.microsoft.com/office/drawing/2014/main" id="{5A01A43B-BD45-489D-8B9C-FB0B02F7FAD9}"/>
            </a:ext>
          </a:extLst>
        </xdr:cNvPr>
        <xdr:cNvSpPr>
          <a:spLocks noChangeAspect="1"/>
        </xdr:cNvSpPr>
      </xdr:nvSpPr>
      <xdr:spPr>
        <a:xfrm>
          <a:off x="408816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107</xdr:row>
      <xdr:rowOff>75750</xdr:rowOff>
    </xdr:from>
    <xdr:to>
      <xdr:col>59</xdr:col>
      <xdr:colOff>617402</xdr:colOff>
      <xdr:row>112</xdr:row>
      <xdr:rowOff>10501</xdr:rowOff>
    </xdr:to>
    <xdr:sp macro="" textlink="">
      <xdr:nvSpPr>
        <xdr:cNvPr id="248049" name="フリーフォーム: 図形 248048">
          <a:extLst>
            <a:ext uri="{FF2B5EF4-FFF2-40B4-BE49-F238E27FC236}">
              <a16:creationId xmlns:a16="http://schemas.microsoft.com/office/drawing/2014/main" id="{98611BA9-5F4F-4D07-8D32-346189CB93F4}"/>
            </a:ext>
          </a:extLst>
        </xdr:cNvPr>
        <xdr:cNvSpPr>
          <a:spLocks noChangeAspect="1"/>
        </xdr:cNvSpPr>
      </xdr:nvSpPr>
      <xdr:spPr>
        <a:xfrm>
          <a:off x="405575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101</xdr:row>
      <xdr:rowOff>42450</xdr:rowOff>
    </xdr:from>
    <xdr:to>
      <xdr:col>62</xdr:col>
      <xdr:colOff>550801</xdr:colOff>
      <xdr:row>102</xdr:row>
      <xdr:rowOff>15002</xdr:rowOff>
    </xdr:to>
    <xdr:sp macro="" textlink="">
      <xdr:nvSpPr>
        <xdr:cNvPr id="248050" name="フリーフォーム: 図形 248049">
          <a:extLst>
            <a:ext uri="{FF2B5EF4-FFF2-40B4-BE49-F238E27FC236}">
              <a16:creationId xmlns:a16="http://schemas.microsoft.com/office/drawing/2014/main" id="{9CA8349F-0141-41BE-8CEF-749EBD5B48D8}"/>
            </a:ext>
          </a:extLst>
        </xdr:cNvPr>
        <xdr:cNvSpPr>
          <a:spLocks noChangeAspect="1"/>
        </xdr:cNvSpPr>
      </xdr:nvSpPr>
      <xdr:spPr>
        <a:xfrm>
          <a:off x="426024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101</xdr:row>
      <xdr:rowOff>42450</xdr:rowOff>
    </xdr:from>
    <xdr:to>
      <xdr:col>63</xdr:col>
      <xdr:colOff>405000</xdr:colOff>
      <xdr:row>102</xdr:row>
      <xdr:rowOff>15002</xdr:rowOff>
    </xdr:to>
    <xdr:sp macro="" textlink="">
      <xdr:nvSpPr>
        <xdr:cNvPr id="248051" name="フリーフォーム: 図形 248050">
          <a:extLst>
            <a:ext uri="{FF2B5EF4-FFF2-40B4-BE49-F238E27FC236}">
              <a16:creationId xmlns:a16="http://schemas.microsoft.com/office/drawing/2014/main" id="{2B1EFA00-BEC8-4B33-921B-ED21991D0FFE}"/>
            </a:ext>
          </a:extLst>
        </xdr:cNvPr>
        <xdr:cNvSpPr>
          <a:spLocks noChangeAspect="1"/>
        </xdr:cNvSpPr>
      </xdr:nvSpPr>
      <xdr:spPr>
        <a:xfrm>
          <a:off x="431423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101</xdr:row>
      <xdr:rowOff>114450</xdr:rowOff>
    </xdr:from>
    <xdr:to>
      <xdr:col>63</xdr:col>
      <xdr:colOff>477001</xdr:colOff>
      <xdr:row>107</xdr:row>
      <xdr:rowOff>21752</xdr:rowOff>
    </xdr:to>
    <xdr:sp macro="" textlink="">
      <xdr:nvSpPr>
        <xdr:cNvPr id="248052" name="フリーフォーム: 図形 248051">
          <a:extLst>
            <a:ext uri="{FF2B5EF4-FFF2-40B4-BE49-F238E27FC236}">
              <a16:creationId xmlns:a16="http://schemas.microsoft.com/office/drawing/2014/main" id="{B0A2F1DD-AA40-47A9-A20C-61DD894B6366}"/>
            </a:ext>
          </a:extLst>
        </xdr:cNvPr>
        <xdr:cNvSpPr>
          <a:spLocks noChangeAspect="1"/>
        </xdr:cNvSpPr>
      </xdr:nvSpPr>
      <xdr:spPr>
        <a:xfrm>
          <a:off x="433943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107</xdr:row>
      <xdr:rowOff>75750</xdr:rowOff>
    </xdr:from>
    <xdr:to>
      <xdr:col>63</xdr:col>
      <xdr:colOff>297000</xdr:colOff>
      <xdr:row>112</xdr:row>
      <xdr:rowOff>136501</xdr:rowOff>
    </xdr:to>
    <xdr:sp macro="" textlink="">
      <xdr:nvSpPr>
        <xdr:cNvPr id="248053" name="フリーフォーム: 図形 248052">
          <a:extLst>
            <a:ext uri="{FF2B5EF4-FFF2-40B4-BE49-F238E27FC236}">
              <a16:creationId xmlns:a16="http://schemas.microsoft.com/office/drawing/2014/main" id="{10828252-FA9E-49B6-8DB9-C66823D90790}"/>
            </a:ext>
          </a:extLst>
        </xdr:cNvPr>
        <xdr:cNvSpPr>
          <a:spLocks noChangeAspect="1"/>
        </xdr:cNvSpPr>
      </xdr:nvSpPr>
      <xdr:spPr>
        <a:xfrm>
          <a:off x="432144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112</xdr:row>
      <xdr:rowOff>64500</xdr:rowOff>
    </xdr:from>
    <xdr:to>
      <xdr:col>62</xdr:col>
      <xdr:colOff>226800</xdr:colOff>
      <xdr:row>113</xdr:row>
      <xdr:rowOff>37051</xdr:rowOff>
    </xdr:to>
    <xdr:sp macro="" textlink="">
      <xdr:nvSpPr>
        <xdr:cNvPr id="248054" name="フリーフォーム: 図形 248053">
          <a:extLst>
            <a:ext uri="{FF2B5EF4-FFF2-40B4-BE49-F238E27FC236}">
              <a16:creationId xmlns:a16="http://schemas.microsoft.com/office/drawing/2014/main" id="{84FCEC36-22B5-4FC3-86D7-D4AF18A17944}"/>
            </a:ext>
          </a:extLst>
        </xdr:cNvPr>
        <xdr:cNvSpPr>
          <a:spLocks noChangeAspect="1"/>
        </xdr:cNvSpPr>
      </xdr:nvSpPr>
      <xdr:spPr>
        <a:xfrm>
          <a:off x="422604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112</xdr:row>
      <xdr:rowOff>64500</xdr:rowOff>
    </xdr:from>
    <xdr:to>
      <xdr:col>63</xdr:col>
      <xdr:colOff>45000</xdr:colOff>
      <xdr:row>113</xdr:row>
      <xdr:rowOff>37051</xdr:rowOff>
    </xdr:to>
    <xdr:sp macro="" textlink="">
      <xdr:nvSpPr>
        <xdr:cNvPr id="248055" name="フリーフォーム: 図形 248054">
          <a:extLst>
            <a:ext uri="{FF2B5EF4-FFF2-40B4-BE49-F238E27FC236}">
              <a16:creationId xmlns:a16="http://schemas.microsoft.com/office/drawing/2014/main" id="{7510E651-E7F8-4BF3-9534-18C3C55948CB}"/>
            </a:ext>
          </a:extLst>
        </xdr:cNvPr>
        <xdr:cNvSpPr>
          <a:spLocks noChangeAspect="1"/>
        </xdr:cNvSpPr>
      </xdr:nvSpPr>
      <xdr:spPr>
        <a:xfrm>
          <a:off x="427823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107</xdr:row>
      <xdr:rowOff>75750</xdr:rowOff>
    </xdr:from>
    <xdr:to>
      <xdr:col>61</xdr:col>
      <xdr:colOff>660603</xdr:colOff>
      <xdr:row>112</xdr:row>
      <xdr:rowOff>136501</xdr:rowOff>
    </xdr:to>
    <xdr:sp macro="" textlink="">
      <xdr:nvSpPr>
        <xdr:cNvPr id="248056" name="フリーフォーム: 図形 248055">
          <a:extLst>
            <a:ext uri="{FF2B5EF4-FFF2-40B4-BE49-F238E27FC236}">
              <a16:creationId xmlns:a16="http://schemas.microsoft.com/office/drawing/2014/main" id="{AC885084-83DC-496A-8991-5D58030E19E5}"/>
            </a:ext>
          </a:extLst>
        </xdr:cNvPr>
        <xdr:cNvSpPr>
          <a:spLocks noChangeAspect="1"/>
        </xdr:cNvSpPr>
      </xdr:nvSpPr>
      <xdr:spPr>
        <a:xfrm>
          <a:off x="422064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101</xdr:row>
      <xdr:rowOff>114450</xdr:rowOff>
    </xdr:from>
    <xdr:to>
      <xdr:col>62</xdr:col>
      <xdr:colOff>118800</xdr:colOff>
      <xdr:row>107</xdr:row>
      <xdr:rowOff>21752</xdr:rowOff>
    </xdr:to>
    <xdr:sp macro="" textlink="">
      <xdr:nvSpPr>
        <xdr:cNvPr id="248057" name="フリーフォーム: 図形 248056">
          <a:extLst>
            <a:ext uri="{FF2B5EF4-FFF2-40B4-BE49-F238E27FC236}">
              <a16:creationId xmlns:a16="http://schemas.microsoft.com/office/drawing/2014/main" id="{186B1FE1-A07C-4446-A5A1-177A3960EE5F}"/>
            </a:ext>
          </a:extLst>
        </xdr:cNvPr>
        <xdr:cNvSpPr>
          <a:spLocks noChangeAspect="1"/>
        </xdr:cNvSpPr>
      </xdr:nvSpPr>
      <xdr:spPr>
        <a:xfrm>
          <a:off x="423863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106</xdr:row>
      <xdr:rowOff>139199</xdr:rowOff>
    </xdr:from>
    <xdr:to>
      <xdr:col>62</xdr:col>
      <xdr:colOff>388802</xdr:colOff>
      <xdr:row>107</xdr:row>
      <xdr:rowOff>111751</xdr:rowOff>
    </xdr:to>
    <xdr:sp macro="" textlink="">
      <xdr:nvSpPr>
        <xdr:cNvPr id="248058" name="フリーフォーム: 図形 248057">
          <a:extLst>
            <a:ext uri="{FF2B5EF4-FFF2-40B4-BE49-F238E27FC236}">
              <a16:creationId xmlns:a16="http://schemas.microsoft.com/office/drawing/2014/main" id="{DBA82D50-0650-4D22-9D87-F1374181BCBB}"/>
            </a:ext>
          </a:extLst>
        </xdr:cNvPr>
        <xdr:cNvSpPr>
          <a:spLocks noChangeAspect="1"/>
        </xdr:cNvSpPr>
      </xdr:nvSpPr>
      <xdr:spPr>
        <a:xfrm>
          <a:off x="424584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106</xdr:row>
      <xdr:rowOff>139199</xdr:rowOff>
    </xdr:from>
    <xdr:to>
      <xdr:col>63</xdr:col>
      <xdr:colOff>207002</xdr:colOff>
      <xdr:row>107</xdr:row>
      <xdr:rowOff>111751</xdr:rowOff>
    </xdr:to>
    <xdr:sp macro="" textlink="">
      <xdr:nvSpPr>
        <xdr:cNvPr id="248059" name="フリーフォーム: 図形 248058">
          <a:extLst>
            <a:ext uri="{FF2B5EF4-FFF2-40B4-BE49-F238E27FC236}">
              <a16:creationId xmlns:a16="http://schemas.microsoft.com/office/drawing/2014/main" id="{F203FCF2-05AE-4F0C-BA68-1DABCAE01766}"/>
            </a:ext>
          </a:extLst>
        </xdr:cNvPr>
        <xdr:cNvSpPr>
          <a:spLocks noChangeAspect="1"/>
        </xdr:cNvSpPr>
      </xdr:nvSpPr>
      <xdr:spPr>
        <a:xfrm>
          <a:off x="429624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102</xdr:row>
      <xdr:rowOff>51000</xdr:rowOff>
    </xdr:from>
    <xdr:to>
      <xdr:col>62</xdr:col>
      <xdr:colOff>406801</xdr:colOff>
      <xdr:row>107</xdr:row>
      <xdr:rowOff>3751</xdr:rowOff>
    </xdr:to>
    <xdr:sp macro="" textlink="">
      <xdr:nvSpPr>
        <xdr:cNvPr id="248060" name="フリーフォーム: 図形 248059">
          <a:extLst>
            <a:ext uri="{FF2B5EF4-FFF2-40B4-BE49-F238E27FC236}">
              <a16:creationId xmlns:a16="http://schemas.microsoft.com/office/drawing/2014/main" id="{EAB39D50-A693-425B-BCE9-DAC8ACACEECE}"/>
            </a:ext>
          </a:extLst>
        </xdr:cNvPr>
        <xdr:cNvSpPr>
          <a:spLocks noChangeAspect="1"/>
        </xdr:cNvSpPr>
      </xdr:nvSpPr>
      <xdr:spPr>
        <a:xfrm>
          <a:off x="426564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101</xdr:row>
      <xdr:rowOff>114450</xdr:rowOff>
    </xdr:from>
    <xdr:to>
      <xdr:col>62</xdr:col>
      <xdr:colOff>658801</xdr:colOff>
      <xdr:row>106</xdr:row>
      <xdr:rowOff>157201</xdr:rowOff>
    </xdr:to>
    <xdr:sp macro="" textlink="">
      <xdr:nvSpPr>
        <xdr:cNvPr id="248061" name="フリーフォーム: 図形 248060">
          <a:extLst>
            <a:ext uri="{FF2B5EF4-FFF2-40B4-BE49-F238E27FC236}">
              <a16:creationId xmlns:a16="http://schemas.microsoft.com/office/drawing/2014/main" id="{889791F9-A96D-47B2-9C31-0B33597E66A9}"/>
            </a:ext>
          </a:extLst>
        </xdr:cNvPr>
        <xdr:cNvSpPr>
          <a:spLocks noChangeAspect="1"/>
        </xdr:cNvSpPr>
      </xdr:nvSpPr>
      <xdr:spPr>
        <a:xfrm>
          <a:off x="429264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102</xdr:row>
      <xdr:rowOff>69000</xdr:rowOff>
    </xdr:from>
    <xdr:to>
      <xdr:col>63</xdr:col>
      <xdr:colOff>297000</xdr:colOff>
      <xdr:row>107</xdr:row>
      <xdr:rowOff>3751</xdr:rowOff>
    </xdr:to>
    <xdr:sp macro="" textlink="">
      <xdr:nvSpPr>
        <xdr:cNvPr id="248062" name="フリーフォーム: 図形 248061">
          <a:extLst>
            <a:ext uri="{FF2B5EF4-FFF2-40B4-BE49-F238E27FC236}">
              <a16:creationId xmlns:a16="http://schemas.microsoft.com/office/drawing/2014/main" id="{FE7B1227-7B4D-4807-BAAA-585999408908}"/>
            </a:ext>
          </a:extLst>
        </xdr:cNvPr>
        <xdr:cNvSpPr>
          <a:spLocks noChangeAspect="1"/>
        </xdr:cNvSpPr>
      </xdr:nvSpPr>
      <xdr:spPr>
        <a:xfrm>
          <a:off x="429804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107</xdr:row>
      <xdr:rowOff>75750</xdr:rowOff>
    </xdr:from>
    <xdr:to>
      <xdr:col>63</xdr:col>
      <xdr:colOff>9002</xdr:colOff>
      <xdr:row>111</xdr:row>
      <xdr:rowOff>163951</xdr:rowOff>
    </xdr:to>
    <xdr:sp macro="" textlink="">
      <xdr:nvSpPr>
        <xdr:cNvPr id="248063" name="フリーフォーム: 図形 248062">
          <a:extLst>
            <a:ext uri="{FF2B5EF4-FFF2-40B4-BE49-F238E27FC236}">
              <a16:creationId xmlns:a16="http://schemas.microsoft.com/office/drawing/2014/main" id="{E89C30F1-DBAA-4401-BBBA-D0030DBF476B}"/>
            </a:ext>
          </a:extLst>
        </xdr:cNvPr>
        <xdr:cNvSpPr>
          <a:spLocks noChangeAspect="1"/>
        </xdr:cNvSpPr>
      </xdr:nvSpPr>
      <xdr:spPr>
        <a:xfrm>
          <a:off x="429443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107</xdr:row>
      <xdr:rowOff>93749</xdr:rowOff>
    </xdr:from>
    <xdr:to>
      <xdr:col>62</xdr:col>
      <xdr:colOff>424800</xdr:colOff>
      <xdr:row>112</xdr:row>
      <xdr:rowOff>118501</xdr:rowOff>
    </xdr:to>
    <xdr:sp macro="" textlink="">
      <xdr:nvSpPr>
        <xdr:cNvPr id="248064" name="フリーフォーム: 図形 248063">
          <a:extLst>
            <a:ext uri="{FF2B5EF4-FFF2-40B4-BE49-F238E27FC236}">
              <a16:creationId xmlns:a16="http://schemas.microsoft.com/office/drawing/2014/main" id="{4C8690A3-F33E-4885-8C46-A4B611A1126B}"/>
            </a:ext>
          </a:extLst>
        </xdr:cNvPr>
        <xdr:cNvSpPr>
          <a:spLocks noChangeAspect="1"/>
        </xdr:cNvSpPr>
      </xdr:nvSpPr>
      <xdr:spPr>
        <a:xfrm>
          <a:off x="427104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107</xdr:row>
      <xdr:rowOff>75750</xdr:rowOff>
    </xdr:from>
    <xdr:to>
      <xdr:col>62</xdr:col>
      <xdr:colOff>388802</xdr:colOff>
      <xdr:row>112</xdr:row>
      <xdr:rowOff>10501</xdr:rowOff>
    </xdr:to>
    <xdr:sp macro="" textlink="">
      <xdr:nvSpPr>
        <xdr:cNvPr id="248065" name="フリーフォーム: 図形 248064">
          <a:extLst>
            <a:ext uri="{FF2B5EF4-FFF2-40B4-BE49-F238E27FC236}">
              <a16:creationId xmlns:a16="http://schemas.microsoft.com/office/drawing/2014/main" id="{D55F27D3-C5E3-4A36-95DF-4D36FE0DB97B}"/>
            </a:ext>
          </a:extLst>
        </xdr:cNvPr>
        <xdr:cNvSpPr>
          <a:spLocks noChangeAspect="1"/>
        </xdr:cNvSpPr>
      </xdr:nvSpPr>
      <xdr:spPr>
        <a:xfrm>
          <a:off x="423863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101</xdr:row>
      <xdr:rowOff>42450</xdr:rowOff>
    </xdr:from>
    <xdr:to>
      <xdr:col>65</xdr:col>
      <xdr:colOff>322201</xdr:colOff>
      <xdr:row>102</xdr:row>
      <xdr:rowOff>15002</xdr:rowOff>
    </xdr:to>
    <xdr:sp macro="" textlink="">
      <xdr:nvSpPr>
        <xdr:cNvPr id="248066" name="フリーフォーム: 図形 248065">
          <a:extLst>
            <a:ext uri="{FF2B5EF4-FFF2-40B4-BE49-F238E27FC236}">
              <a16:creationId xmlns:a16="http://schemas.microsoft.com/office/drawing/2014/main" id="{C2917201-D874-4146-A8C5-1E907744033B}"/>
            </a:ext>
          </a:extLst>
        </xdr:cNvPr>
        <xdr:cNvSpPr>
          <a:spLocks noChangeAspect="1"/>
        </xdr:cNvSpPr>
      </xdr:nvSpPr>
      <xdr:spPr>
        <a:xfrm>
          <a:off x="444312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101</xdr:row>
      <xdr:rowOff>42450</xdr:rowOff>
    </xdr:from>
    <xdr:to>
      <xdr:col>66</xdr:col>
      <xdr:colOff>176400</xdr:colOff>
      <xdr:row>102</xdr:row>
      <xdr:rowOff>15002</xdr:rowOff>
    </xdr:to>
    <xdr:sp macro="" textlink="">
      <xdr:nvSpPr>
        <xdr:cNvPr id="248067" name="フリーフォーム: 図形 248066">
          <a:extLst>
            <a:ext uri="{FF2B5EF4-FFF2-40B4-BE49-F238E27FC236}">
              <a16:creationId xmlns:a16="http://schemas.microsoft.com/office/drawing/2014/main" id="{1D5FAE9D-6FC8-4902-A073-B4E7B059AC98}"/>
            </a:ext>
          </a:extLst>
        </xdr:cNvPr>
        <xdr:cNvSpPr>
          <a:spLocks noChangeAspect="1"/>
        </xdr:cNvSpPr>
      </xdr:nvSpPr>
      <xdr:spPr>
        <a:xfrm>
          <a:off x="449711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101</xdr:row>
      <xdr:rowOff>114450</xdr:rowOff>
    </xdr:from>
    <xdr:to>
      <xdr:col>66</xdr:col>
      <xdr:colOff>248401</xdr:colOff>
      <xdr:row>107</xdr:row>
      <xdr:rowOff>21752</xdr:rowOff>
    </xdr:to>
    <xdr:sp macro="" textlink="">
      <xdr:nvSpPr>
        <xdr:cNvPr id="248068" name="フリーフォーム: 図形 248067">
          <a:extLst>
            <a:ext uri="{FF2B5EF4-FFF2-40B4-BE49-F238E27FC236}">
              <a16:creationId xmlns:a16="http://schemas.microsoft.com/office/drawing/2014/main" id="{A3388DDC-8EB3-4732-BF4E-93F4237E6785}"/>
            </a:ext>
          </a:extLst>
        </xdr:cNvPr>
        <xdr:cNvSpPr>
          <a:spLocks noChangeAspect="1"/>
        </xdr:cNvSpPr>
      </xdr:nvSpPr>
      <xdr:spPr>
        <a:xfrm>
          <a:off x="452231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107</xdr:row>
      <xdr:rowOff>75750</xdr:rowOff>
    </xdr:from>
    <xdr:to>
      <xdr:col>66</xdr:col>
      <xdr:colOff>68400</xdr:colOff>
      <xdr:row>112</xdr:row>
      <xdr:rowOff>136501</xdr:rowOff>
    </xdr:to>
    <xdr:sp macro="" textlink="">
      <xdr:nvSpPr>
        <xdr:cNvPr id="248069" name="フリーフォーム: 図形 248068">
          <a:extLst>
            <a:ext uri="{FF2B5EF4-FFF2-40B4-BE49-F238E27FC236}">
              <a16:creationId xmlns:a16="http://schemas.microsoft.com/office/drawing/2014/main" id="{427A2826-1EBD-4CA9-BF62-971CD2C53BD6}"/>
            </a:ext>
          </a:extLst>
        </xdr:cNvPr>
        <xdr:cNvSpPr>
          <a:spLocks noChangeAspect="1"/>
        </xdr:cNvSpPr>
      </xdr:nvSpPr>
      <xdr:spPr>
        <a:xfrm>
          <a:off x="450432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112</xdr:row>
      <xdr:rowOff>64500</xdr:rowOff>
    </xdr:from>
    <xdr:to>
      <xdr:col>64</xdr:col>
      <xdr:colOff>684000</xdr:colOff>
      <xdr:row>113</xdr:row>
      <xdr:rowOff>37051</xdr:rowOff>
    </xdr:to>
    <xdr:sp macro="" textlink="">
      <xdr:nvSpPr>
        <xdr:cNvPr id="248070" name="フリーフォーム: 図形 248069">
          <a:extLst>
            <a:ext uri="{FF2B5EF4-FFF2-40B4-BE49-F238E27FC236}">
              <a16:creationId xmlns:a16="http://schemas.microsoft.com/office/drawing/2014/main" id="{E66C8749-AA94-4443-B742-AD8CBF20B4A3}"/>
            </a:ext>
          </a:extLst>
        </xdr:cNvPr>
        <xdr:cNvSpPr>
          <a:spLocks noChangeAspect="1"/>
        </xdr:cNvSpPr>
      </xdr:nvSpPr>
      <xdr:spPr>
        <a:xfrm>
          <a:off x="440892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112</xdr:row>
      <xdr:rowOff>64500</xdr:rowOff>
    </xdr:from>
    <xdr:to>
      <xdr:col>65</xdr:col>
      <xdr:colOff>502200</xdr:colOff>
      <xdr:row>113</xdr:row>
      <xdr:rowOff>37051</xdr:rowOff>
    </xdr:to>
    <xdr:sp macro="" textlink="">
      <xdr:nvSpPr>
        <xdr:cNvPr id="248071" name="フリーフォーム: 図形 248070">
          <a:extLst>
            <a:ext uri="{FF2B5EF4-FFF2-40B4-BE49-F238E27FC236}">
              <a16:creationId xmlns:a16="http://schemas.microsoft.com/office/drawing/2014/main" id="{50F9813B-D478-4800-959A-D04F2E441230}"/>
            </a:ext>
          </a:extLst>
        </xdr:cNvPr>
        <xdr:cNvSpPr>
          <a:spLocks noChangeAspect="1"/>
        </xdr:cNvSpPr>
      </xdr:nvSpPr>
      <xdr:spPr>
        <a:xfrm>
          <a:off x="446111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107</xdr:row>
      <xdr:rowOff>75750</xdr:rowOff>
    </xdr:from>
    <xdr:to>
      <xdr:col>64</xdr:col>
      <xdr:colOff>432003</xdr:colOff>
      <xdr:row>112</xdr:row>
      <xdr:rowOff>136501</xdr:rowOff>
    </xdr:to>
    <xdr:sp macro="" textlink="">
      <xdr:nvSpPr>
        <xdr:cNvPr id="248072" name="フリーフォーム: 図形 248071">
          <a:extLst>
            <a:ext uri="{FF2B5EF4-FFF2-40B4-BE49-F238E27FC236}">
              <a16:creationId xmlns:a16="http://schemas.microsoft.com/office/drawing/2014/main" id="{845D236A-A9B7-4544-98EC-A10E41AC9CD5}"/>
            </a:ext>
          </a:extLst>
        </xdr:cNvPr>
        <xdr:cNvSpPr>
          <a:spLocks noChangeAspect="1"/>
        </xdr:cNvSpPr>
      </xdr:nvSpPr>
      <xdr:spPr>
        <a:xfrm>
          <a:off x="440352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101</xdr:row>
      <xdr:rowOff>114450</xdr:rowOff>
    </xdr:from>
    <xdr:to>
      <xdr:col>64</xdr:col>
      <xdr:colOff>576000</xdr:colOff>
      <xdr:row>107</xdr:row>
      <xdr:rowOff>21752</xdr:rowOff>
    </xdr:to>
    <xdr:sp macro="" textlink="">
      <xdr:nvSpPr>
        <xdr:cNvPr id="248073" name="フリーフォーム: 図形 248072">
          <a:extLst>
            <a:ext uri="{FF2B5EF4-FFF2-40B4-BE49-F238E27FC236}">
              <a16:creationId xmlns:a16="http://schemas.microsoft.com/office/drawing/2014/main" id="{2E9A860F-8DEE-46D7-954F-E883D77B0B60}"/>
            </a:ext>
          </a:extLst>
        </xdr:cNvPr>
        <xdr:cNvSpPr>
          <a:spLocks noChangeAspect="1"/>
        </xdr:cNvSpPr>
      </xdr:nvSpPr>
      <xdr:spPr>
        <a:xfrm>
          <a:off x="442151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106</xdr:row>
      <xdr:rowOff>139199</xdr:rowOff>
    </xdr:from>
    <xdr:to>
      <xdr:col>65</xdr:col>
      <xdr:colOff>160202</xdr:colOff>
      <xdr:row>107</xdr:row>
      <xdr:rowOff>111751</xdr:rowOff>
    </xdr:to>
    <xdr:sp macro="" textlink="">
      <xdr:nvSpPr>
        <xdr:cNvPr id="248074" name="フリーフォーム: 図形 248073">
          <a:extLst>
            <a:ext uri="{FF2B5EF4-FFF2-40B4-BE49-F238E27FC236}">
              <a16:creationId xmlns:a16="http://schemas.microsoft.com/office/drawing/2014/main" id="{EB60A7C3-96F1-4DF4-8099-1492B8A1C3CE}"/>
            </a:ext>
          </a:extLst>
        </xdr:cNvPr>
        <xdr:cNvSpPr>
          <a:spLocks noChangeAspect="1"/>
        </xdr:cNvSpPr>
      </xdr:nvSpPr>
      <xdr:spPr>
        <a:xfrm>
          <a:off x="442872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106</xdr:row>
      <xdr:rowOff>139199</xdr:rowOff>
    </xdr:from>
    <xdr:to>
      <xdr:col>65</xdr:col>
      <xdr:colOff>664202</xdr:colOff>
      <xdr:row>107</xdr:row>
      <xdr:rowOff>111751</xdr:rowOff>
    </xdr:to>
    <xdr:sp macro="" textlink="">
      <xdr:nvSpPr>
        <xdr:cNvPr id="248075" name="フリーフォーム: 図形 248074">
          <a:extLst>
            <a:ext uri="{FF2B5EF4-FFF2-40B4-BE49-F238E27FC236}">
              <a16:creationId xmlns:a16="http://schemas.microsoft.com/office/drawing/2014/main" id="{C7E7903D-E54E-446C-B3B2-AAE77F853EF5}"/>
            </a:ext>
          </a:extLst>
        </xdr:cNvPr>
        <xdr:cNvSpPr>
          <a:spLocks noChangeAspect="1"/>
        </xdr:cNvSpPr>
      </xdr:nvSpPr>
      <xdr:spPr>
        <a:xfrm>
          <a:off x="447912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102</xdr:row>
      <xdr:rowOff>51000</xdr:rowOff>
    </xdr:from>
    <xdr:to>
      <xdr:col>65</xdr:col>
      <xdr:colOff>178201</xdr:colOff>
      <xdr:row>107</xdr:row>
      <xdr:rowOff>3751</xdr:rowOff>
    </xdr:to>
    <xdr:sp macro="" textlink="">
      <xdr:nvSpPr>
        <xdr:cNvPr id="248076" name="フリーフォーム: 図形 248075">
          <a:extLst>
            <a:ext uri="{FF2B5EF4-FFF2-40B4-BE49-F238E27FC236}">
              <a16:creationId xmlns:a16="http://schemas.microsoft.com/office/drawing/2014/main" id="{4CE25FA8-71EB-4CA6-99D9-CD47F92CED95}"/>
            </a:ext>
          </a:extLst>
        </xdr:cNvPr>
        <xdr:cNvSpPr>
          <a:spLocks noChangeAspect="1"/>
        </xdr:cNvSpPr>
      </xdr:nvSpPr>
      <xdr:spPr>
        <a:xfrm>
          <a:off x="444852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101</xdr:row>
      <xdr:rowOff>114450</xdr:rowOff>
    </xdr:from>
    <xdr:to>
      <xdr:col>65</xdr:col>
      <xdr:colOff>430201</xdr:colOff>
      <xdr:row>106</xdr:row>
      <xdr:rowOff>157201</xdr:rowOff>
    </xdr:to>
    <xdr:sp macro="" textlink="">
      <xdr:nvSpPr>
        <xdr:cNvPr id="248077" name="フリーフォーム: 図形 248076">
          <a:extLst>
            <a:ext uri="{FF2B5EF4-FFF2-40B4-BE49-F238E27FC236}">
              <a16:creationId xmlns:a16="http://schemas.microsoft.com/office/drawing/2014/main" id="{47F831A0-63F8-4E08-AE33-32935667A9DC}"/>
            </a:ext>
          </a:extLst>
        </xdr:cNvPr>
        <xdr:cNvSpPr>
          <a:spLocks noChangeAspect="1"/>
        </xdr:cNvSpPr>
      </xdr:nvSpPr>
      <xdr:spPr>
        <a:xfrm>
          <a:off x="447552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102</xdr:row>
      <xdr:rowOff>69000</xdr:rowOff>
    </xdr:from>
    <xdr:to>
      <xdr:col>66</xdr:col>
      <xdr:colOff>68400</xdr:colOff>
      <xdr:row>107</xdr:row>
      <xdr:rowOff>3751</xdr:rowOff>
    </xdr:to>
    <xdr:sp macro="" textlink="">
      <xdr:nvSpPr>
        <xdr:cNvPr id="248078" name="フリーフォーム: 図形 248077">
          <a:extLst>
            <a:ext uri="{FF2B5EF4-FFF2-40B4-BE49-F238E27FC236}">
              <a16:creationId xmlns:a16="http://schemas.microsoft.com/office/drawing/2014/main" id="{A24B5A94-AE47-4FFC-9A04-FAE88CA39E50}"/>
            </a:ext>
          </a:extLst>
        </xdr:cNvPr>
        <xdr:cNvSpPr>
          <a:spLocks noChangeAspect="1"/>
        </xdr:cNvSpPr>
      </xdr:nvSpPr>
      <xdr:spPr>
        <a:xfrm>
          <a:off x="448092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107</xdr:row>
      <xdr:rowOff>75750</xdr:rowOff>
    </xdr:from>
    <xdr:to>
      <xdr:col>65</xdr:col>
      <xdr:colOff>466202</xdr:colOff>
      <xdr:row>111</xdr:row>
      <xdr:rowOff>163951</xdr:rowOff>
    </xdr:to>
    <xdr:sp macro="" textlink="">
      <xdr:nvSpPr>
        <xdr:cNvPr id="248079" name="フリーフォーム: 図形 248078">
          <a:extLst>
            <a:ext uri="{FF2B5EF4-FFF2-40B4-BE49-F238E27FC236}">
              <a16:creationId xmlns:a16="http://schemas.microsoft.com/office/drawing/2014/main" id="{F39431B0-0D0B-45E8-BDAD-372D811A04F7}"/>
            </a:ext>
          </a:extLst>
        </xdr:cNvPr>
        <xdr:cNvSpPr>
          <a:spLocks noChangeAspect="1"/>
        </xdr:cNvSpPr>
      </xdr:nvSpPr>
      <xdr:spPr>
        <a:xfrm>
          <a:off x="447731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107</xdr:row>
      <xdr:rowOff>93749</xdr:rowOff>
    </xdr:from>
    <xdr:to>
      <xdr:col>65</xdr:col>
      <xdr:colOff>196200</xdr:colOff>
      <xdr:row>112</xdr:row>
      <xdr:rowOff>118501</xdr:rowOff>
    </xdr:to>
    <xdr:sp macro="" textlink="">
      <xdr:nvSpPr>
        <xdr:cNvPr id="248080" name="フリーフォーム: 図形 248079">
          <a:extLst>
            <a:ext uri="{FF2B5EF4-FFF2-40B4-BE49-F238E27FC236}">
              <a16:creationId xmlns:a16="http://schemas.microsoft.com/office/drawing/2014/main" id="{E655E91C-941D-437E-8147-11121ECDFCE4}"/>
            </a:ext>
          </a:extLst>
        </xdr:cNvPr>
        <xdr:cNvSpPr>
          <a:spLocks noChangeAspect="1"/>
        </xdr:cNvSpPr>
      </xdr:nvSpPr>
      <xdr:spPr>
        <a:xfrm>
          <a:off x="445392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107</xdr:row>
      <xdr:rowOff>75750</xdr:rowOff>
    </xdr:from>
    <xdr:to>
      <xdr:col>65</xdr:col>
      <xdr:colOff>160202</xdr:colOff>
      <xdr:row>112</xdr:row>
      <xdr:rowOff>10501</xdr:rowOff>
    </xdr:to>
    <xdr:sp macro="" textlink="">
      <xdr:nvSpPr>
        <xdr:cNvPr id="248081" name="フリーフォーム: 図形 248080">
          <a:extLst>
            <a:ext uri="{FF2B5EF4-FFF2-40B4-BE49-F238E27FC236}">
              <a16:creationId xmlns:a16="http://schemas.microsoft.com/office/drawing/2014/main" id="{4CD17A9C-BC5B-403B-B974-249C55AAB8CD}"/>
            </a:ext>
          </a:extLst>
        </xdr:cNvPr>
        <xdr:cNvSpPr>
          <a:spLocks noChangeAspect="1"/>
        </xdr:cNvSpPr>
      </xdr:nvSpPr>
      <xdr:spPr>
        <a:xfrm>
          <a:off x="442151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101</xdr:row>
      <xdr:rowOff>42450</xdr:rowOff>
    </xdr:from>
    <xdr:to>
      <xdr:col>68</xdr:col>
      <xdr:colOff>93601</xdr:colOff>
      <xdr:row>102</xdr:row>
      <xdr:rowOff>15002</xdr:rowOff>
    </xdr:to>
    <xdr:sp macro="" textlink="">
      <xdr:nvSpPr>
        <xdr:cNvPr id="248082" name="フリーフォーム: 図形 248081">
          <a:extLst>
            <a:ext uri="{FF2B5EF4-FFF2-40B4-BE49-F238E27FC236}">
              <a16:creationId xmlns:a16="http://schemas.microsoft.com/office/drawing/2014/main" id="{BC1E1615-3BE8-40C7-9B02-266842EDF8F8}"/>
            </a:ext>
          </a:extLst>
        </xdr:cNvPr>
        <xdr:cNvSpPr>
          <a:spLocks noChangeAspect="1"/>
        </xdr:cNvSpPr>
      </xdr:nvSpPr>
      <xdr:spPr>
        <a:xfrm>
          <a:off x="462600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101</xdr:row>
      <xdr:rowOff>42450</xdr:rowOff>
    </xdr:from>
    <xdr:to>
      <xdr:col>68</xdr:col>
      <xdr:colOff>633600</xdr:colOff>
      <xdr:row>102</xdr:row>
      <xdr:rowOff>15002</xdr:rowOff>
    </xdr:to>
    <xdr:sp macro="" textlink="">
      <xdr:nvSpPr>
        <xdr:cNvPr id="248083" name="フリーフォーム: 図形 248082">
          <a:extLst>
            <a:ext uri="{FF2B5EF4-FFF2-40B4-BE49-F238E27FC236}">
              <a16:creationId xmlns:a16="http://schemas.microsoft.com/office/drawing/2014/main" id="{0FA7A45E-FB42-4AFC-A022-015A222E19C0}"/>
            </a:ext>
          </a:extLst>
        </xdr:cNvPr>
        <xdr:cNvSpPr>
          <a:spLocks noChangeAspect="1"/>
        </xdr:cNvSpPr>
      </xdr:nvSpPr>
      <xdr:spPr>
        <a:xfrm>
          <a:off x="467999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101</xdr:row>
      <xdr:rowOff>114450</xdr:rowOff>
    </xdr:from>
    <xdr:to>
      <xdr:col>69</xdr:col>
      <xdr:colOff>19801</xdr:colOff>
      <xdr:row>107</xdr:row>
      <xdr:rowOff>21752</xdr:rowOff>
    </xdr:to>
    <xdr:sp macro="" textlink="">
      <xdr:nvSpPr>
        <xdr:cNvPr id="248084" name="フリーフォーム: 図形 248083">
          <a:extLst>
            <a:ext uri="{FF2B5EF4-FFF2-40B4-BE49-F238E27FC236}">
              <a16:creationId xmlns:a16="http://schemas.microsoft.com/office/drawing/2014/main" id="{4A86608D-8BA3-4ED6-A24A-2CC7492ECB2C}"/>
            </a:ext>
          </a:extLst>
        </xdr:cNvPr>
        <xdr:cNvSpPr>
          <a:spLocks noChangeAspect="1"/>
        </xdr:cNvSpPr>
      </xdr:nvSpPr>
      <xdr:spPr>
        <a:xfrm>
          <a:off x="470519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107</xdr:row>
      <xdr:rowOff>75750</xdr:rowOff>
    </xdr:from>
    <xdr:to>
      <xdr:col>68</xdr:col>
      <xdr:colOff>525600</xdr:colOff>
      <xdr:row>112</xdr:row>
      <xdr:rowOff>136501</xdr:rowOff>
    </xdr:to>
    <xdr:sp macro="" textlink="">
      <xdr:nvSpPr>
        <xdr:cNvPr id="248085" name="フリーフォーム: 図形 248084">
          <a:extLst>
            <a:ext uri="{FF2B5EF4-FFF2-40B4-BE49-F238E27FC236}">
              <a16:creationId xmlns:a16="http://schemas.microsoft.com/office/drawing/2014/main" id="{9CCD5F87-7920-41E8-9F02-18DFD57B1A2E}"/>
            </a:ext>
          </a:extLst>
        </xdr:cNvPr>
        <xdr:cNvSpPr>
          <a:spLocks noChangeAspect="1"/>
        </xdr:cNvSpPr>
      </xdr:nvSpPr>
      <xdr:spPr>
        <a:xfrm>
          <a:off x="468720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112</xdr:row>
      <xdr:rowOff>64500</xdr:rowOff>
    </xdr:from>
    <xdr:to>
      <xdr:col>67</xdr:col>
      <xdr:colOff>455400</xdr:colOff>
      <xdr:row>113</xdr:row>
      <xdr:rowOff>37051</xdr:rowOff>
    </xdr:to>
    <xdr:sp macro="" textlink="">
      <xdr:nvSpPr>
        <xdr:cNvPr id="248086" name="フリーフォーム: 図形 248085">
          <a:extLst>
            <a:ext uri="{FF2B5EF4-FFF2-40B4-BE49-F238E27FC236}">
              <a16:creationId xmlns:a16="http://schemas.microsoft.com/office/drawing/2014/main" id="{C94E17BE-7312-4A97-92E4-9668DF372909}"/>
            </a:ext>
          </a:extLst>
        </xdr:cNvPr>
        <xdr:cNvSpPr>
          <a:spLocks noChangeAspect="1"/>
        </xdr:cNvSpPr>
      </xdr:nvSpPr>
      <xdr:spPr>
        <a:xfrm>
          <a:off x="459180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112</xdr:row>
      <xdr:rowOff>64500</xdr:rowOff>
    </xdr:from>
    <xdr:to>
      <xdr:col>68</xdr:col>
      <xdr:colOff>273600</xdr:colOff>
      <xdr:row>113</xdr:row>
      <xdr:rowOff>37051</xdr:rowOff>
    </xdr:to>
    <xdr:sp macro="" textlink="">
      <xdr:nvSpPr>
        <xdr:cNvPr id="248087" name="フリーフォーム: 図形 248086">
          <a:extLst>
            <a:ext uri="{FF2B5EF4-FFF2-40B4-BE49-F238E27FC236}">
              <a16:creationId xmlns:a16="http://schemas.microsoft.com/office/drawing/2014/main" id="{DD36BE26-193F-4919-83FD-15A6915BF533}"/>
            </a:ext>
          </a:extLst>
        </xdr:cNvPr>
        <xdr:cNvSpPr>
          <a:spLocks noChangeAspect="1"/>
        </xdr:cNvSpPr>
      </xdr:nvSpPr>
      <xdr:spPr>
        <a:xfrm>
          <a:off x="464399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107</xdr:row>
      <xdr:rowOff>75750</xdr:rowOff>
    </xdr:from>
    <xdr:to>
      <xdr:col>67</xdr:col>
      <xdr:colOff>203403</xdr:colOff>
      <xdr:row>112</xdr:row>
      <xdr:rowOff>136501</xdr:rowOff>
    </xdr:to>
    <xdr:sp macro="" textlink="">
      <xdr:nvSpPr>
        <xdr:cNvPr id="248088" name="フリーフォーム: 図形 248087">
          <a:extLst>
            <a:ext uri="{FF2B5EF4-FFF2-40B4-BE49-F238E27FC236}">
              <a16:creationId xmlns:a16="http://schemas.microsoft.com/office/drawing/2014/main" id="{00D6E90D-28C9-48ED-950E-3F27C1E5FDD4}"/>
            </a:ext>
          </a:extLst>
        </xdr:cNvPr>
        <xdr:cNvSpPr>
          <a:spLocks noChangeAspect="1"/>
        </xdr:cNvSpPr>
      </xdr:nvSpPr>
      <xdr:spPr>
        <a:xfrm>
          <a:off x="458640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101</xdr:row>
      <xdr:rowOff>114450</xdr:rowOff>
    </xdr:from>
    <xdr:to>
      <xdr:col>67</xdr:col>
      <xdr:colOff>347400</xdr:colOff>
      <xdr:row>107</xdr:row>
      <xdr:rowOff>21752</xdr:rowOff>
    </xdr:to>
    <xdr:sp macro="" textlink="">
      <xdr:nvSpPr>
        <xdr:cNvPr id="248089" name="フリーフォーム: 図形 248088">
          <a:extLst>
            <a:ext uri="{FF2B5EF4-FFF2-40B4-BE49-F238E27FC236}">
              <a16:creationId xmlns:a16="http://schemas.microsoft.com/office/drawing/2014/main" id="{26CB852B-E3CC-4DF2-9834-10E8F11E36F4}"/>
            </a:ext>
          </a:extLst>
        </xdr:cNvPr>
        <xdr:cNvSpPr>
          <a:spLocks noChangeAspect="1"/>
        </xdr:cNvSpPr>
      </xdr:nvSpPr>
      <xdr:spPr>
        <a:xfrm>
          <a:off x="460439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106</xdr:row>
      <xdr:rowOff>139199</xdr:rowOff>
    </xdr:from>
    <xdr:to>
      <xdr:col>67</xdr:col>
      <xdr:colOff>617402</xdr:colOff>
      <xdr:row>107</xdr:row>
      <xdr:rowOff>111751</xdr:rowOff>
    </xdr:to>
    <xdr:sp macro="" textlink="">
      <xdr:nvSpPr>
        <xdr:cNvPr id="248090" name="フリーフォーム: 図形 248089">
          <a:extLst>
            <a:ext uri="{FF2B5EF4-FFF2-40B4-BE49-F238E27FC236}">
              <a16:creationId xmlns:a16="http://schemas.microsoft.com/office/drawing/2014/main" id="{94FD493C-DA11-4CB0-A629-BD97598896A5}"/>
            </a:ext>
          </a:extLst>
        </xdr:cNvPr>
        <xdr:cNvSpPr>
          <a:spLocks noChangeAspect="1"/>
        </xdr:cNvSpPr>
      </xdr:nvSpPr>
      <xdr:spPr>
        <a:xfrm>
          <a:off x="461160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106</xdr:row>
      <xdr:rowOff>139199</xdr:rowOff>
    </xdr:from>
    <xdr:to>
      <xdr:col>68</xdr:col>
      <xdr:colOff>435602</xdr:colOff>
      <xdr:row>107</xdr:row>
      <xdr:rowOff>111751</xdr:rowOff>
    </xdr:to>
    <xdr:sp macro="" textlink="">
      <xdr:nvSpPr>
        <xdr:cNvPr id="248091" name="フリーフォーム: 図形 248090">
          <a:extLst>
            <a:ext uri="{FF2B5EF4-FFF2-40B4-BE49-F238E27FC236}">
              <a16:creationId xmlns:a16="http://schemas.microsoft.com/office/drawing/2014/main" id="{B1697B6E-09AB-48C5-8BE5-EFE62B16172A}"/>
            </a:ext>
          </a:extLst>
        </xdr:cNvPr>
        <xdr:cNvSpPr>
          <a:spLocks noChangeAspect="1"/>
        </xdr:cNvSpPr>
      </xdr:nvSpPr>
      <xdr:spPr>
        <a:xfrm>
          <a:off x="466200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102</xdr:row>
      <xdr:rowOff>51000</xdr:rowOff>
    </xdr:from>
    <xdr:to>
      <xdr:col>67</xdr:col>
      <xdr:colOff>635401</xdr:colOff>
      <xdr:row>107</xdr:row>
      <xdr:rowOff>3751</xdr:rowOff>
    </xdr:to>
    <xdr:sp macro="" textlink="">
      <xdr:nvSpPr>
        <xdr:cNvPr id="248092" name="フリーフォーム: 図形 248091">
          <a:extLst>
            <a:ext uri="{FF2B5EF4-FFF2-40B4-BE49-F238E27FC236}">
              <a16:creationId xmlns:a16="http://schemas.microsoft.com/office/drawing/2014/main" id="{227A8DBC-310A-4E58-BC0B-E31C1E6DBA5F}"/>
            </a:ext>
          </a:extLst>
        </xdr:cNvPr>
        <xdr:cNvSpPr>
          <a:spLocks noChangeAspect="1"/>
        </xdr:cNvSpPr>
      </xdr:nvSpPr>
      <xdr:spPr>
        <a:xfrm>
          <a:off x="463140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101</xdr:row>
      <xdr:rowOff>114450</xdr:rowOff>
    </xdr:from>
    <xdr:to>
      <xdr:col>68</xdr:col>
      <xdr:colOff>201601</xdr:colOff>
      <xdr:row>106</xdr:row>
      <xdr:rowOff>157201</xdr:rowOff>
    </xdr:to>
    <xdr:sp macro="" textlink="">
      <xdr:nvSpPr>
        <xdr:cNvPr id="248093" name="フリーフォーム: 図形 248092">
          <a:extLst>
            <a:ext uri="{FF2B5EF4-FFF2-40B4-BE49-F238E27FC236}">
              <a16:creationId xmlns:a16="http://schemas.microsoft.com/office/drawing/2014/main" id="{730312AF-FD9A-4EC0-8B11-8F0F02A73854}"/>
            </a:ext>
          </a:extLst>
        </xdr:cNvPr>
        <xdr:cNvSpPr>
          <a:spLocks noChangeAspect="1"/>
        </xdr:cNvSpPr>
      </xdr:nvSpPr>
      <xdr:spPr>
        <a:xfrm>
          <a:off x="465840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102</xdr:row>
      <xdr:rowOff>69000</xdr:rowOff>
    </xdr:from>
    <xdr:to>
      <xdr:col>68</xdr:col>
      <xdr:colOff>525600</xdr:colOff>
      <xdr:row>107</xdr:row>
      <xdr:rowOff>3751</xdr:rowOff>
    </xdr:to>
    <xdr:sp macro="" textlink="">
      <xdr:nvSpPr>
        <xdr:cNvPr id="248094" name="フリーフォーム: 図形 248093">
          <a:extLst>
            <a:ext uri="{FF2B5EF4-FFF2-40B4-BE49-F238E27FC236}">
              <a16:creationId xmlns:a16="http://schemas.microsoft.com/office/drawing/2014/main" id="{9F748324-8594-4CF7-B914-45344F0DC87B}"/>
            </a:ext>
          </a:extLst>
        </xdr:cNvPr>
        <xdr:cNvSpPr>
          <a:spLocks noChangeAspect="1"/>
        </xdr:cNvSpPr>
      </xdr:nvSpPr>
      <xdr:spPr>
        <a:xfrm>
          <a:off x="466380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107</xdr:row>
      <xdr:rowOff>75750</xdr:rowOff>
    </xdr:from>
    <xdr:to>
      <xdr:col>68</xdr:col>
      <xdr:colOff>237602</xdr:colOff>
      <xdr:row>111</xdr:row>
      <xdr:rowOff>163951</xdr:rowOff>
    </xdr:to>
    <xdr:sp macro="" textlink="">
      <xdr:nvSpPr>
        <xdr:cNvPr id="248095" name="フリーフォーム: 図形 248094">
          <a:extLst>
            <a:ext uri="{FF2B5EF4-FFF2-40B4-BE49-F238E27FC236}">
              <a16:creationId xmlns:a16="http://schemas.microsoft.com/office/drawing/2014/main" id="{8E3F1459-390A-4CFB-A841-BD1F4A73C997}"/>
            </a:ext>
          </a:extLst>
        </xdr:cNvPr>
        <xdr:cNvSpPr>
          <a:spLocks noChangeAspect="1"/>
        </xdr:cNvSpPr>
      </xdr:nvSpPr>
      <xdr:spPr>
        <a:xfrm>
          <a:off x="466019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107</xdr:row>
      <xdr:rowOff>93749</xdr:rowOff>
    </xdr:from>
    <xdr:to>
      <xdr:col>67</xdr:col>
      <xdr:colOff>653400</xdr:colOff>
      <xdr:row>112</xdr:row>
      <xdr:rowOff>118501</xdr:rowOff>
    </xdr:to>
    <xdr:sp macro="" textlink="">
      <xdr:nvSpPr>
        <xdr:cNvPr id="248096" name="フリーフォーム: 図形 248095">
          <a:extLst>
            <a:ext uri="{FF2B5EF4-FFF2-40B4-BE49-F238E27FC236}">
              <a16:creationId xmlns:a16="http://schemas.microsoft.com/office/drawing/2014/main" id="{B607A793-A324-4D0E-8499-D2832368AE09}"/>
            </a:ext>
          </a:extLst>
        </xdr:cNvPr>
        <xdr:cNvSpPr>
          <a:spLocks noChangeAspect="1"/>
        </xdr:cNvSpPr>
      </xdr:nvSpPr>
      <xdr:spPr>
        <a:xfrm>
          <a:off x="463680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107</xdr:row>
      <xdr:rowOff>75750</xdr:rowOff>
    </xdr:from>
    <xdr:to>
      <xdr:col>67</xdr:col>
      <xdr:colOff>617402</xdr:colOff>
      <xdr:row>112</xdr:row>
      <xdr:rowOff>10501</xdr:rowOff>
    </xdr:to>
    <xdr:sp macro="" textlink="">
      <xdr:nvSpPr>
        <xdr:cNvPr id="248097" name="フリーフォーム: 図形 248096">
          <a:extLst>
            <a:ext uri="{FF2B5EF4-FFF2-40B4-BE49-F238E27FC236}">
              <a16:creationId xmlns:a16="http://schemas.microsoft.com/office/drawing/2014/main" id="{107F233C-8A0B-416D-92F0-06140532EE80}"/>
            </a:ext>
          </a:extLst>
        </xdr:cNvPr>
        <xdr:cNvSpPr>
          <a:spLocks noChangeAspect="1"/>
        </xdr:cNvSpPr>
      </xdr:nvSpPr>
      <xdr:spPr>
        <a:xfrm>
          <a:off x="460439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101</xdr:row>
      <xdr:rowOff>42450</xdr:rowOff>
    </xdr:from>
    <xdr:to>
      <xdr:col>70</xdr:col>
      <xdr:colOff>550801</xdr:colOff>
      <xdr:row>102</xdr:row>
      <xdr:rowOff>15002</xdr:rowOff>
    </xdr:to>
    <xdr:sp macro="" textlink="">
      <xdr:nvSpPr>
        <xdr:cNvPr id="248098" name="フリーフォーム: 図形 248097">
          <a:extLst>
            <a:ext uri="{FF2B5EF4-FFF2-40B4-BE49-F238E27FC236}">
              <a16:creationId xmlns:a16="http://schemas.microsoft.com/office/drawing/2014/main" id="{CDA51BA0-6C72-4C94-820B-366F0D2A47DC}"/>
            </a:ext>
          </a:extLst>
        </xdr:cNvPr>
        <xdr:cNvSpPr>
          <a:spLocks noChangeAspect="1"/>
        </xdr:cNvSpPr>
      </xdr:nvSpPr>
      <xdr:spPr>
        <a:xfrm>
          <a:off x="480888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101</xdr:row>
      <xdr:rowOff>42450</xdr:rowOff>
    </xdr:from>
    <xdr:to>
      <xdr:col>71</xdr:col>
      <xdr:colOff>405000</xdr:colOff>
      <xdr:row>102</xdr:row>
      <xdr:rowOff>15002</xdr:rowOff>
    </xdr:to>
    <xdr:sp macro="" textlink="">
      <xdr:nvSpPr>
        <xdr:cNvPr id="248099" name="フリーフォーム: 図形 248098">
          <a:extLst>
            <a:ext uri="{FF2B5EF4-FFF2-40B4-BE49-F238E27FC236}">
              <a16:creationId xmlns:a16="http://schemas.microsoft.com/office/drawing/2014/main" id="{DF694AFC-02A7-46BD-B5B0-2D667E6A1D4F}"/>
            </a:ext>
          </a:extLst>
        </xdr:cNvPr>
        <xdr:cNvSpPr>
          <a:spLocks noChangeAspect="1"/>
        </xdr:cNvSpPr>
      </xdr:nvSpPr>
      <xdr:spPr>
        <a:xfrm>
          <a:off x="486287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101</xdr:row>
      <xdr:rowOff>114450</xdr:rowOff>
    </xdr:from>
    <xdr:to>
      <xdr:col>71</xdr:col>
      <xdr:colOff>477001</xdr:colOff>
      <xdr:row>107</xdr:row>
      <xdr:rowOff>21752</xdr:rowOff>
    </xdr:to>
    <xdr:sp macro="" textlink="">
      <xdr:nvSpPr>
        <xdr:cNvPr id="248100" name="フリーフォーム: 図形 248099">
          <a:extLst>
            <a:ext uri="{FF2B5EF4-FFF2-40B4-BE49-F238E27FC236}">
              <a16:creationId xmlns:a16="http://schemas.microsoft.com/office/drawing/2014/main" id="{EDB8F8B0-FADF-4411-81B1-73287483FAF4}"/>
            </a:ext>
          </a:extLst>
        </xdr:cNvPr>
        <xdr:cNvSpPr>
          <a:spLocks noChangeAspect="1"/>
        </xdr:cNvSpPr>
      </xdr:nvSpPr>
      <xdr:spPr>
        <a:xfrm>
          <a:off x="488807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107</xdr:row>
      <xdr:rowOff>75750</xdr:rowOff>
    </xdr:from>
    <xdr:to>
      <xdr:col>71</xdr:col>
      <xdr:colOff>297000</xdr:colOff>
      <xdr:row>112</xdr:row>
      <xdr:rowOff>136501</xdr:rowOff>
    </xdr:to>
    <xdr:sp macro="" textlink="">
      <xdr:nvSpPr>
        <xdr:cNvPr id="248101" name="フリーフォーム: 図形 248100">
          <a:extLst>
            <a:ext uri="{FF2B5EF4-FFF2-40B4-BE49-F238E27FC236}">
              <a16:creationId xmlns:a16="http://schemas.microsoft.com/office/drawing/2014/main" id="{108F9007-384F-4A61-9697-8923CC7BC0F7}"/>
            </a:ext>
          </a:extLst>
        </xdr:cNvPr>
        <xdr:cNvSpPr>
          <a:spLocks noChangeAspect="1"/>
        </xdr:cNvSpPr>
      </xdr:nvSpPr>
      <xdr:spPr>
        <a:xfrm>
          <a:off x="487008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112</xdr:row>
      <xdr:rowOff>64500</xdr:rowOff>
    </xdr:from>
    <xdr:to>
      <xdr:col>70</xdr:col>
      <xdr:colOff>226800</xdr:colOff>
      <xdr:row>113</xdr:row>
      <xdr:rowOff>37051</xdr:rowOff>
    </xdr:to>
    <xdr:sp macro="" textlink="">
      <xdr:nvSpPr>
        <xdr:cNvPr id="248102" name="フリーフォーム: 図形 248101">
          <a:extLst>
            <a:ext uri="{FF2B5EF4-FFF2-40B4-BE49-F238E27FC236}">
              <a16:creationId xmlns:a16="http://schemas.microsoft.com/office/drawing/2014/main" id="{5C425796-07A5-4A6D-AF84-3D646B8B5C1C}"/>
            </a:ext>
          </a:extLst>
        </xdr:cNvPr>
        <xdr:cNvSpPr>
          <a:spLocks noChangeAspect="1"/>
        </xdr:cNvSpPr>
      </xdr:nvSpPr>
      <xdr:spPr>
        <a:xfrm>
          <a:off x="477468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112</xdr:row>
      <xdr:rowOff>64500</xdr:rowOff>
    </xdr:from>
    <xdr:to>
      <xdr:col>71</xdr:col>
      <xdr:colOff>45000</xdr:colOff>
      <xdr:row>113</xdr:row>
      <xdr:rowOff>37051</xdr:rowOff>
    </xdr:to>
    <xdr:sp macro="" textlink="">
      <xdr:nvSpPr>
        <xdr:cNvPr id="248103" name="フリーフォーム: 図形 248102">
          <a:extLst>
            <a:ext uri="{FF2B5EF4-FFF2-40B4-BE49-F238E27FC236}">
              <a16:creationId xmlns:a16="http://schemas.microsoft.com/office/drawing/2014/main" id="{4EA35E58-24C0-4A66-8AB0-03A82DD2E042}"/>
            </a:ext>
          </a:extLst>
        </xdr:cNvPr>
        <xdr:cNvSpPr>
          <a:spLocks noChangeAspect="1"/>
        </xdr:cNvSpPr>
      </xdr:nvSpPr>
      <xdr:spPr>
        <a:xfrm>
          <a:off x="482687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107</xdr:row>
      <xdr:rowOff>75750</xdr:rowOff>
    </xdr:from>
    <xdr:to>
      <xdr:col>69</xdr:col>
      <xdr:colOff>660603</xdr:colOff>
      <xdr:row>112</xdr:row>
      <xdr:rowOff>136501</xdr:rowOff>
    </xdr:to>
    <xdr:sp macro="" textlink="">
      <xdr:nvSpPr>
        <xdr:cNvPr id="248104" name="フリーフォーム: 図形 248103">
          <a:extLst>
            <a:ext uri="{FF2B5EF4-FFF2-40B4-BE49-F238E27FC236}">
              <a16:creationId xmlns:a16="http://schemas.microsoft.com/office/drawing/2014/main" id="{AAABE039-9314-42A2-B053-DA723D409476}"/>
            </a:ext>
          </a:extLst>
        </xdr:cNvPr>
        <xdr:cNvSpPr>
          <a:spLocks noChangeAspect="1"/>
        </xdr:cNvSpPr>
      </xdr:nvSpPr>
      <xdr:spPr>
        <a:xfrm>
          <a:off x="476928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101</xdr:row>
      <xdr:rowOff>114450</xdr:rowOff>
    </xdr:from>
    <xdr:to>
      <xdr:col>70</xdr:col>
      <xdr:colOff>118800</xdr:colOff>
      <xdr:row>107</xdr:row>
      <xdr:rowOff>21752</xdr:rowOff>
    </xdr:to>
    <xdr:sp macro="" textlink="">
      <xdr:nvSpPr>
        <xdr:cNvPr id="248105" name="フリーフォーム: 図形 248104">
          <a:extLst>
            <a:ext uri="{FF2B5EF4-FFF2-40B4-BE49-F238E27FC236}">
              <a16:creationId xmlns:a16="http://schemas.microsoft.com/office/drawing/2014/main" id="{758AE456-2F93-481F-BE89-F163E48E6867}"/>
            </a:ext>
          </a:extLst>
        </xdr:cNvPr>
        <xdr:cNvSpPr>
          <a:spLocks noChangeAspect="1"/>
        </xdr:cNvSpPr>
      </xdr:nvSpPr>
      <xdr:spPr>
        <a:xfrm>
          <a:off x="478727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106</xdr:row>
      <xdr:rowOff>139199</xdr:rowOff>
    </xdr:from>
    <xdr:to>
      <xdr:col>70</xdr:col>
      <xdr:colOff>388802</xdr:colOff>
      <xdr:row>107</xdr:row>
      <xdr:rowOff>111751</xdr:rowOff>
    </xdr:to>
    <xdr:sp macro="" textlink="">
      <xdr:nvSpPr>
        <xdr:cNvPr id="248106" name="フリーフォーム: 図形 248105">
          <a:extLst>
            <a:ext uri="{FF2B5EF4-FFF2-40B4-BE49-F238E27FC236}">
              <a16:creationId xmlns:a16="http://schemas.microsoft.com/office/drawing/2014/main" id="{FDB098FF-752D-4D2A-80FF-697CBF99142D}"/>
            </a:ext>
          </a:extLst>
        </xdr:cNvPr>
        <xdr:cNvSpPr>
          <a:spLocks noChangeAspect="1"/>
        </xdr:cNvSpPr>
      </xdr:nvSpPr>
      <xdr:spPr>
        <a:xfrm>
          <a:off x="479448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106</xdr:row>
      <xdr:rowOff>139199</xdr:rowOff>
    </xdr:from>
    <xdr:to>
      <xdr:col>71</xdr:col>
      <xdr:colOff>207002</xdr:colOff>
      <xdr:row>107</xdr:row>
      <xdr:rowOff>111751</xdr:rowOff>
    </xdr:to>
    <xdr:sp macro="" textlink="">
      <xdr:nvSpPr>
        <xdr:cNvPr id="248107" name="フリーフォーム: 図形 248106">
          <a:extLst>
            <a:ext uri="{FF2B5EF4-FFF2-40B4-BE49-F238E27FC236}">
              <a16:creationId xmlns:a16="http://schemas.microsoft.com/office/drawing/2014/main" id="{18AD3545-6699-42ED-8F64-EA6389F1F8A4}"/>
            </a:ext>
          </a:extLst>
        </xdr:cNvPr>
        <xdr:cNvSpPr>
          <a:spLocks noChangeAspect="1"/>
        </xdr:cNvSpPr>
      </xdr:nvSpPr>
      <xdr:spPr>
        <a:xfrm>
          <a:off x="484488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102</xdr:row>
      <xdr:rowOff>51000</xdr:rowOff>
    </xdr:from>
    <xdr:to>
      <xdr:col>70</xdr:col>
      <xdr:colOff>406801</xdr:colOff>
      <xdr:row>107</xdr:row>
      <xdr:rowOff>3751</xdr:rowOff>
    </xdr:to>
    <xdr:sp macro="" textlink="">
      <xdr:nvSpPr>
        <xdr:cNvPr id="248108" name="フリーフォーム: 図形 248107">
          <a:extLst>
            <a:ext uri="{FF2B5EF4-FFF2-40B4-BE49-F238E27FC236}">
              <a16:creationId xmlns:a16="http://schemas.microsoft.com/office/drawing/2014/main" id="{0B1F2CBF-BB4F-425E-A59A-8CC4909B418F}"/>
            </a:ext>
          </a:extLst>
        </xdr:cNvPr>
        <xdr:cNvSpPr>
          <a:spLocks noChangeAspect="1"/>
        </xdr:cNvSpPr>
      </xdr:nvSpPr>
      <xdr:spPr>
        <a:xfrm>
          <a:off x="481428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101</xdr:row>
      <xdr:rowOff>114450</xdr:rowOff>
    </xdr:from>
    <xdr:to>
      <xdr:col>70</xdr:col>
      <xdr:colOff>658801</xdr:colOff>
      <xdr:row>106</xdr:row>
      <xdr:rowOff>157201</xdr:rowOff>
    </xdr:to>
    <xdr:sp macro="" textlink="">
      <xdr:nvSpPr>
        <xdr:cNvPr id="248109" name="フリーフォーム: 図形 248108">
          <a:extLst>
            <a:ext uri="{FF2B5EF4-FFF2-40B4-BE49-F238E27FC236}">
              <a16:creationId xmlns:a16="http://schemas.microsoft.com/office/drawing/2014/main" id="{A2C7B030-9721-4102-B353-2604AECC126A}"/>
            </a:ext>
          </a:extLst>
        </xdr:cNvPr>
        <xdr:cNvSpPr>
          <a:spLocks noChangeAspect="1"/>
        </xdr:cNvSpPr>
      </xdr:nvSpPr>
      <xdr:spPr>
        <a:xfrm>
          <a:off x="484128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102</xdr:row>
      <xdr:rowOff>69000</xdr:rowOff>
    </xdr:from>
    <xdr:to>
      <xdr:col>71</xdr:col>
      <xdr:colOff>297000</xdr:colOff>
      <xdr:row>107</xdr:row>
      <xdr:rowOff>3751</xdr:rowOff>
    </xdr:to>
    <xdr:sp macro="" textlink="">
      <xdr:nvSpPr>
        <xdr:cNvPr id="248110" name="フリーフォーム: 図形 248109">
          <a:extLst>
            <a:ext uri="{FF2B5EF4-FFF2-40B4-BE49-F238E27FC236}">
              <a16:creationId xmlns:a16="http://schemas.microsoft.com/office/drawing/2014/main" id="{AEE2ED93-3B50-45EA-A99A-6E50FF5AE2D8}"/>
            </a:ext>
          </a:extLst>
        </xdr:cNvPr>
        <xdr:cNvSpPr>
          <a:spLocks noChangeAspect="1"/>
        </xdr:cNvSpPr>
      </xdr:nvSpPr>
      <xdr:spPr>
        <a:xfrm>
          <a:off x="484668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107</xdr:row>
      <xdr:rowOff>75750</xdr:rowOff>
    </xdr:from>
    <xdr:to>
      <xdr:col>71</xdr:col>
      <xdr:colOff>9002</xdr:colOff>
      <xdr:row>111</xdr:row>
      <xdr:rowOff>163951</xdr:rowOff>
    </xdr:to>
    <xdr:sp macro="" textlink="">
      <xdr:nvSpPr>
        <xdr:cNvPr id="248111" name="フリーフォーム: 図形 248110">
          <a:extLst>
            <a:ext uri="{FF2B5EF4-FFF2-40B4-BE49-F238E27FC236}">
              <a16:creationId xmlns:a16="http://schemas.microsoft.com/office/drawing/2014/main" id="{D07D4FCE-5569-45FE-9676-04E5A06CC625}"/>
            </a:ext>
          </a:extLst>
        </xdr:cNvPr>
        <xdr:cNvSpPr>
          <a:spLocks noChangeAspect="1"/>
        </xdr:cNvSpPr>
      </xdr:nvSpPr>
      <xdr:spPr>
        <a:xfrm>
          <a:off x="484307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107</xdr:row>
      <xdr:rowOff>93749</xdr:rowOff>
    </xdr:from>
    <xdr:to>
      <xdr:col>70</xdr:col>
      <xdr:colOff>424800</xdr:colOff>
      <xdr:row>112</xdr:row>
      <xdr:rowOff>118501</xdr:rowOff>
    </xdr:to>
    <xdr:sp macro="" textlink="">
      <xdr:nvSpPr>
        <xdr:cNvPr id="248112" name="フリーフォーム: 図形 248111">
          <a:extLst>
            <a:ext uri="{FF2B5EF4-FFF2-40B4-BE49-F238E27FC236}">
              <a16:creationId xmlns:a16="http://schemas.microsoft.com/office/drawing/2014/main" id="{D4282BD4-6E33-4B60-90A1-4D4F97217570}"/>
            </a:ext>
          </a:extLst>
        </xdr:cNvPr>
        <xdr:cNvSpPr>
          <a:spLocks noChangeAspect="1"/>
        </xdr:cNvSpPr>
      </xdr:nvSpPr>
      <xdr:spPr>
        <a:xfrm>
          <a:off x="481968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107</xdr:row>
      <xdr:rowOff>75750</xdr:rowOff>
    </xdr:from>
    <xdr:to>
      <xdr:col>70</xdr:col>
      <xdr:colOff>388802</xdr:colOff>
      <xdr:row>112</xdr:row>
      <xdr:rowOff>10501</xdr:rowOff>
    </xdr:to>
    <xdr:sp macro="" textlink="">
      <xdr:nvSpPr>
        <xdr:cNvPr id="248113" name="フリーフォーム: 図形 248112">
          <a:extLst>
            <a:ext uri="{FF2B5EF4-FFF2-40B4-BE49-F238E27FC236}">
              <a16:creationId xmlns:a16="http://schemas.microsoft.com/office/drawing/2014/main" id="{24E52540-764A-4F6F-8F18-5D69F733EA64}"/>
            </a:ext>
          </a:extLst>
        </xdr:cNvPr>
        <xdr:cNvSpPr>
          <a:spLocks noChangeAspect="1"/>
        </xdr:cNvSpPr>
      </xdr:nvSpPr>
      <xdr:spPr>
        <a:xfrm>
          <a:off x="478727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101</xdr:row>
      <xdr:rowOff>42450</xdr:rowOff>
    </xdr:from>
    <xdr:to>
      <xdr:col>73</xdr:col>
      <xdr:colOff>322201</xdr:colOff>
      <xdr:row>102</xdr:row>
      <xdr:rowOff>15002</xdr:rowOff>
    </xdr:to>
    <xdr:sp macro="" textlink="">
      <xdr:nvSpPr>
        <xdr:cNvPr id="248114" name="フリーフォーム: 図形 248113">
          <a:extLst>
            <a:ext uri="{FF2B5EF4-FFF2-40B4-BE49-F238E27FC236}">
              <a16:creationId xmlns:a16="http://schemas.microsoft.com/office/drawing/2014/main" id="{8015A960-4EF2-4F22-9BAB-25E5C79A32E7}"/>
            </a:ext>
          </a:extLst>
        </xdr:cNvPr>
        <xdr:cNvSpPr>
          <a:spLocks noChangeAspect="1"/>
        </xdr:cNvSpPr>
      </xdr:nvSpPr>
      <xdr:spPr>
        <a:xfrm>
          <a:off x="49917601" y="176256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101</xdr:row>
      <xdr:rowOff>42450</xdr:rowOff>
    </xdr:from>
    <xdr:to>
      <xdr:col>74</xdr:col>
      <xdr:colOff>176400</xdr:colOff>
      <xdr:row>102</xdr:row>
      <xdr:rowOff>15002</xdr:rowOff>
    </xdr:to>
    <xdr:sp macro="" textlink="">
      <xdr:nvSpPr>
        <xdr:cNvPr id="248115" name="フリーフォーム: 図形 248114">
          <a:extLst>
            <a:ext uri="{FF2B5EF4-FFF2-40B4-BE49-F238E27FC236}">
              <a16:creationId xmlns:a16="http://schemas.microsoft.com/office/drawing/2014/main" id="{53A8CC26-39F0-4B93-BF25-EC0DEB1E6D41}"/>
            </a:ext>
          </a:extLst>
        </xdr:cNvPr>
        <xdr:cNvSpPr>
          <a:spLocks noChangeAspect="1"/>
        </xdr:cNvSpPr>
      </xdr:nvSpPr>
      <xdr:spPr>
        <a:xfrm>
          <a:off x="50457599" y="176256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101</xdr:row>
      <xdr:rowOff>114450</xdr:rowOff>
    </xdr:from>
    <xdr:to>
      <xdr:col>74</xdr:col>
      <xdr:colOff>248401</xdr:colOff>
      <xdr:row>107</xdr:row>
      <xdr:rowOff>21752</xdr:rowOff>
    </xdr:to>
    <xdr:sp macro="" textlink="">
      <xdr:nvSpPr>
        <xdr:cNvPr id="248116" name="フリーフォーム: 図形 248115">
          <a:extLst>
            <a:ext uri="{FF2B5EF4-FFF2-40B4-BE49-F238E27FC236}">
              <a16:creationId xmlns:a16="http://schemas.microsoft.com/office/drawing/2014/main" id="{7D510991-A092-48BC-81A0-DB04E0A4878A}"/>
            </a:ext>
          </a:extLst>
        </xdr:cNvPr>
        <xdr:cNvSpPr>
          <a:spLocks noChangeAspect="1"/>
        </xdr:cNvSpPr>
      </xdr:nvSpPr>
      <xdr:spPr>
        <a:xfrm>
          <a:off x="50709599" y="176976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107</xdr:row>
      <xdr:rowOff>75750</xdr:rowOff>
    </xdr:from>
    <xdr:to>
      <xdr:col>74</xdr:col>
      <xdr:colOff>68400</xdr:colOff>
      <xdr:row>112</xdr:row>
      <xdr:rowOff>136501</xdr:rowOff>
    </xdr:to>
    <xdr:sp macro="" textlink="">
      <xdr:nvSpPr>
        <xdr:cNvPr id="248117" name="フリーフォーム: 図形 248116">
          <a:extLst>
            <a:ext uri="{FF2B5EF4-FFF2-40B4-BE49-F238E27FC236}">
              <a16:creationId xmlns:a16="http://schemas.microsoft.com/office/drawing/2014/main" id="{C4756BD9-8DF8-4D49-982A-6128F2870521}"/>
            </a:ext>
          </a:extLst>
        </xdr:cNvPr>
        <xdr:cNvSpPr>
          <a:spLocks noChangeAspect="1"/>
        </xdr:cNvSpPr>
      </xdr:nvSpPr>
      <xdr:spPr>
        <a:xfrm>
          <a:off x="50529601" y="186876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112</xdr:row>
      <xdr:rowOff>64500</xdr:rowOff>
    </xdr:from>
    <xdr:to>
      <xdr:col>72</xdr:col>
      <xdr:colOff>684000</xdr:colOff>
      <xdr:row>113</xdr:row>
      <xdr:rowOff>37051</xdr:rowOff>
    </xdr:to>
    <xdr:sp macro="" textlink="">
      <xdr:nvSpPr>
        <xdr:cNvPr id="248118" name="フリーフォーム: 図形 248117">
          <a:extLst>
            <a:ext uri="{FF2B5EF4-FFF2-40B4-BE49-F238E27FC236}">
              <a16:creationId xmlns:a16="http://schemas.microsoft.com/office/drawing/2014/main" id="{D9FE5EBB-EBE5-412B-BCF0-B81C318D16D0}"/>
            </a:ext>
          </a:extLst>
        </xdr:cNvPr>
        <xdr:cNvSpPr>
          <a:spLocks noChangeAspect="1"/>
        </xdr:cNvSpPr>
      </xdr:nvSpPr>
      <xdr:spPr>
        <a:xfrm>
          <a:off x="495756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112</xdr:row>
      <xdr:rowOff>64500</xdr:rowOff>
    </xdr:from>
    <xdr:to>
      <xdr:col>73</xdr:col>
      <xdr:colOff>502200</xdr:colOff>
      <xdr:row>113</xdr:row>
      <xdr:rowOff>37051</xdr:rowOff>
    </xdr:to>
    <xdr:sp macro="" textlink="">
      <xdr:nvSpPr>
        <xdr:cNvPr id="248119" name="フリーフォーム: 図形 248118">
          <a:extLst>
            <a:ext uri="{FF2B5EF4-FFF2-40B4-BE49-F238E27FC236}">
              <a16:creationId xmlns:a16="http://schemas.microsoft.com/office/drawing/2014/main" id="{BE20E663-B3DA-46AD-AD95-E74B2C7208B9}"/>
            </a:ext>
          </a:extLst>
        </xdr:cNvPr>
        <xdr:cNvSpPr>
          <a:spLocks noChangeAspect="1"/>
        </xdr:cNvSpPr>
      </xdr:nvSpPr>
      <xdr:spPr>
        <a:xfrm>
          <a:off x="50097599" y="195336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107</xdr:row>
      <xdr:rowOff>75750</xdr:rowOff>
    </xdr:from>
    <xdr:to>
      <xdr:col>72</xdr:col>
      <xdr:colOff>432003</xdr:colOff>
      <xdr:row>112</xdr:row>
      <xdr:rowOff>136501</xdr:rowOff>
    </xdr:to>
    <xdr:sp macro="" textlink="">
      <xdr:nvSpPr>
        <xdr:cNvPr id="248120" name="フリーフォーム: 図形 248119">
          <a:extLst>
            <a:ext uri="{FF2B5EF4-FFF2-40B4-BE49-F238E27FC236}">
              <a16:creationId xmlns:a16="http://schemas.microsoft.com/office/drawing/2014/main" id="{1C0D16F8-B99C-41A2-9600-DC59F8CB5DAB}"/>
            </a:ext>
          </a:extLst>
        </xdr:cNvPr>
        <xdr:cNvSpPr>
          <a:spLocks noChangeAspect="1"/>
        </xdr:cNvSpPr>
      </xdr:nvSpPr>
      <xdr:spPr>
        <a:xfrm>
          <a:off x="495216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101</xdr:row>
      <xdr:rowOff>114450</xdr:rowOff>
    </xdr:from>
    <xdr:to>
      <xdr:col>72</xdr:col>
      <xdr:colOff>576000</xdr:colOff>
      <xdr:row>107</xdr:row>
      <xdr:rowOff>21752</xdr:rowOff>
    </xdr:to>
    <xdr:sp macro="" textlink="">
      <xdr:nvSpPr>
        <xdr:cNvPr id="248121" name="フリーフォーム: 図形 248120">
          <a:extLst>
            <a:ext uri="{FF2B5EF4-FFF2-40B4-BE49-F238E27FC236}">
              <a16:creationId xmlns:a16="http://schemas.microsoft.com/office/drawing/2014/main" id="{FC9850EF-9017-451E-8081-C1D66CBF5BAA}"/>
            </a:ext>
          </a:extLst>
        </xdr:cNvPr>
        <xdr:cNvSpPr>
          <a:spLocks noChangeAspect="1"/>
        </xdr:cNvSpPr>
      </xdr:nvSpPr>
      <xdr:spPr>
        <a:xfrm>
          <a:off x="497015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106</xdr:row>
      <xdr:rowOff>139199</xdr:rowOff>
    </xdr:from>
    <xdr:to>
      <xdr:col>73</xdr:col>
      <xdr:colOff>160202</xdr:colOff>
      <xdr:row>107</xdr:row>
      <xdr:rowOff>111751</xdr:rowOff>
    </xdr:to>
    <xdr:sp macro="" textlink="">
      <xdr:nvSpPr>
        <xdr:cNvPr id="248122" name="フリーフォーム: 図形 248121">
          <a:extLst>
            <a:ext uri="{FF2B5EF4-FFF2-40B4-BE49-F238E27FC236}">
              <a16:creationId xmlns:a16="http://schemas.microsoft.com/office/drawing/2014/main" id="{BA4CEE5E-9360-47E3-96CD-582CDCEA31A5}"/>
            </a:ext>
          </a:extLst>
        </xdr:cNvPr>
        <xdr:cNvSpPr>
          <a:spLocks noChangeAspect="1"/>
        </xdr:cNvSpPr>
      </xdr:nvSpPr>
      <xdr:spPr>
        <a:xfrm>
          <a:off x="497736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106</xdr:row>
      <xdr:rowOff>139199</xdr:rowOff>
    </xdr:from>
    <xdr:to>
      <xdr:col>73</xdr:col>
      <xdr:colOff>664202</xdr:colOff>
      <xdr:row>107</xdr:row>
      <xdr:rowOff>111751</xdr:rowOff>
    </xdr:to>
    <xdr:sp macro="" textlink="">
      <xdr:nvSpPr>
        <xdr:cNvPr id="248123" name="フリーフォーム: 図形 248122">
          <a:extLst>
            <a:ext uri="{FF2B5EF4-FFF2-40B4-BE49-F238E27FC236}">
              <a16:creationId xmlns:a16="http://schemas.microsoft.com/office/drawing/2014/main" id="{AC11D32B-A58B-4A00-9FF6-192E9AE0512C}"/>
            </a:ext>
          </a:extLst>
        </xdr:cNvPr>
        <xdr:cNvSpPr>
          <a:spLocks noChangeAspect="1"/>
        </xdr:cNvSpPr>
      </xdr:nvSpPr>
      <xdr:spPr>
        <a:xfrm>
          <a:off x="50277601" y="185795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102</xdr:row>
      <xdr:rowOff>51000</xdr:rowOff>
    </xdr:from>
    <xdr:to>
      <xdr:col>73</xdr:col>
      <xdr:colOff>178201</xdr:colOff>
      <xdr:row>107</xdr:row>
      <xdr:rowOff>3751</xdr:rowOff>
    </xdr:to>
    <xdr:sp macro="" textlink="">
      <xdr:nvSpPr>
        <xdr:cNvPr id="248124" name="フリーフォーム: 図形 248123">
          <a:extLst>
            <a:ext uri="{FF2B5EF4-FFF2-40B4-BE49-F238E27FC236}">
              <a16:creationId xmlns:a16="http://schemas.microsoft.com/office/drawing/2014/main" id="{C009BCFD-1885-4DCA-AC9C-177A739EDFB7}"/>
            </a:ext>
          </a:extLst>
        </xdr:cNvPr>
        <xdr:cNvSpPr>
          <a:spLocks noChangeAspect="1"/>
        </xdr:cNvSpPr>
      </xdr:nvSpPr>
      <xdr:spPr>
        <a:xfrm>
          <a:off x="49971601" y="178056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101</xdr:row>
      <xdr:rowOff>114450</xdr:rowOff>
    </xdr:from>
    <xdr:to>
      <xdr:col>73</xdr:col>
      <xdr:colOff>430201</xdr:colOff>
      <xdr:row>106</xdr:row>
      <xdr:rowOff>157201</xdr:rowOff>
    </xdr:to>
    <xdr:sp macro="" textlink="">
      <xdr:nvSpPr>
        <xdr:cNvPr id="248125" name="フリーフォーム: 図形 248124">
          <a:extLst>
            <a:ext uri="{FF2B5EF4-FFF2-40B4-BE49-F238E27FC236}">
              <a16:creationId xmlns:a16="http://schemas.microsoft.com/office/drawing/2014/main" id="{77801453-E304-48A9-8E98-B04048E8677F}"/>
            </a:ext>
          </a:extLst>
        </xdr:cNvPr>
        <xdr:cNvSpPr>
          <a:spLocks noChangeAspect="1"/>
        </xdr:cNvSpPr>
      </xdr:nvSpPr>
      <xdr:spPr>
        <a:xfrm>
          <a:off x="50241600" y="176976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102</xdr:row>
      <xdr:rowOff>69000</xdr:rowOff>
    </xdr:from>
    <xdr:to>
      <xdr:col>74</xdr:col>
      <xdr:colOff>68400</xdr:colOff>
      <xdr:row>107</xdr:row>
      <xdr:rowOff>3751</xdr:rowOff>
    </xdr:to>
    <xdr:sp macro="" textlink="">
      <xdr:nvSpPr>
        <xdr:cNvPr id="248126" name="フリーフォーム: 図形 248125">
          <a:extLst>
            <a:ext uri="{FF2B5EF4-FFF2-40B4-BE49-F238E27FC236}">
              <a16:creationId xmlns:a16="http://schemas.microsoft.com/office/drawing/2014/main" id="{0DA41746-6117-46B0-98FF-914296EB70C5}"/>
            </a:ext>
          </a:extLst>
        </xdr:cNvPr>
        <xdr:cNvSpPr>
          <a:spLocks noChangeAspect="1"/>
        </xdr:cNvSpPr>
      </xdr:nvSpPr>
      <xdr:spPr>
        <a:xfrm>
          <a:off x="50295600" y="178236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107</xdr:row>
      <xdr:rowOff>75750</xdr:rowOff>
    </xdr:from>
    <xdr:to>
      <xdr:col>73</xdr:col>
      <xdr:colOff>466202</xdr:colOff>
      <xdr:row>111</xdr:row>
      <xdr:rowOff>163951</xdr:rowOff>
    </xdr:to>
    <xdr:sp macro="" textlink="">
      <xdr:nvSpPr>
        <xdr:cNvPr id="248127" name="フリーフォーム: 図形 248126">
          <a:extLst>
            <a:ext uri="{FF2B5EF4-FFF2-40B4-BE49-F238E27FC236}">
              <a16:creationId xmlns:a16="http://schemas.microsoft.com/office/drawing/2014/main" id="{53E1E4DE-8C66-48E9-AA85-70BF1F340115}"/>
            </a:ext>
          </a:extLst>
        </xdr:cNvPr>
        <xdr:cNvSpPr>
          <a:spLocks noChangeAspect="1"/>
        </xdr:cNvSpPr>
      </xdr:nvSpPr>
      <xdr:spPr>
        <a:xfrm>
          <a:off x="50259599" y="186876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107</xdr:row>
      <xdr:rowOff>93749</xdr:rowOff>
    </xdr:from>
    <xdr:to>
      <xdr:col>73</xdr:col>
      <xdr:colOff>196200</xdr:colOff>
      <xdr:row>112</xdr:row>
      <xdr:rowOff>118501</xdr:rowOff>
    </xdr:to>
    <xdr:sp macro="" textlink="">
      <xdr:nvSpPr>
        <xdr:cNvPr id="248128" name="フリーフォーム: 図形 248127">
          <a:extLst>
            <a:ext uri="{FF2B5EF4-FFF2-40B4-BE49-F238E27FC236}">
              <a16:creationId xmlns:a16="http://schemas.microsoft.com/office/drawing/2014/main" id="{2DA25DE5-2C74-463D-B838-83E1852FAF0A}"/>
            </a:ext>
          </a:extLst>
        </xdr:cNvPr>
        <xdr:cNvSpPr>
          <a:spLocks noChangeAspect="1"/>
        </xdr:cNvSpPr>
      </xdr:nvSpPr>
      <xdr:spPr>
        <a:xfrm>
          <a:off x="50025601" y="187055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107</xdr:row>
      <xdr:rowOff>75750</xdr:rowOff>
    </xdr:from>
    <xdr:to>
      <xdr:col>73</xdr:col>
      <xdr:colOff>160202</xdr:colOff>
      <xdr:row>112</xdr:row>
      <xdr:rowOff>10501</xdr:rowOff>
    </xdr:to>
    <xdr:sp macro="" textlink="">
      <xdr:nvSpPr>
        <xdr:cNvPr id="248129" name="フリーフォーム: 図形 248128">
          <a:extLst>
            <a:ext uri="{FF2B5EF4-FFF2-40B4-BE49-F238E27FC236}">
              <a16:creationId xmlns:a16="http://schemas.microsoft.com/office/drawing/2014/main" id="{A44CC27C-4593-4F60-9B84-F363CEC71108}"/>
            </a:ext>
          </a:extLst>
        </xdr:cNvPr>
        <xdr:cNvSpPr>
          <a:spLocks noChangeAspect="1"/>
        </xdr:cNvSpPr>
      </xdr:nvSpPr>
      <xdr:spPr>
        <a:xfrm>
          <a:off x="497015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101</xdr:row>
      <xdr:rowOff>42450</xdr:rowOff>
    </xdr:from>
    <xdr:to>
      <xdr:col>76</xdr:col>
      <xdr:colOff>93601</xdr:colOff>
      <xdr:row>102</xdr:row>
      <xdr:rowOff>15002</xdr:rowOff>
    </xdr:to>
    <xdr:sp macro="" textlink="">
      <xdr:nvSpPr>
        <xdr:cNvPr id="248130" name="フリーフォーム: 図形 248129">
          <a:extLst>
            <a:ext uri="{FF2B5EF4-FFF2-40B4-BE49-F238E27FC236}">
              <a16:creationId xmlns:a16="http://schemas.microsoft.com/office/drawing/2014/main" id="{BA65BC6C-AE79-4F51-8A7B-B2AACC65286E}"/>
            </a:ext>
          </a:extLst>
        </xdr:cNvPr>
        <xdr:cNvSpPr>
          <a:spLocks noChangeAspect="1"/>
        </xdr:cNvSpPr>
      </xdr:nvSpPr>
      <xdr:spPr>
        <a:xfrm>
          <a:off x="51746401" y="17625600"/>
          <a:ext cx="468000" cy="144002"/>
        </a:xfrm>
        <a:custGeom>
          <a:avLst/>
          <a:gdLst/>
          <a:ahLst/>
          <a:cxnLst/>
          <a:rect l="0" t="0" r="0" b="0"/>
          <a:pathLst>
            <a:path w="468000" h="144002">
              <a:moveTo>
                <a:pt x="71999" y="0"/>
              </a:moveTo>
              <a:lnTo>
                <a:pt x="432002"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101</xdr:row>
      <xdr:rowOff>42450</xdr:rowOff>
    </xdr:from>
    <xdr:to>
      <xdr:col>76</xdr:col>
      <xdr:colOff>633600</xdr:colOff>
      <xdr:row>102</xdr:row>
      <xdr:rowOff>15002</xdr:rowOff>
    </xdr:to>
    <xdr:sp macro="" textlink="">
      <xdr:nvSpPr>
        <xdr:cNvPr id="248131" name="フリーフォーム: 図形 248130">
          <a:extLst>
            <a:ext uri="{FF2B5EF4-FFF2-40B4-BE49-F238E27FC236}">
              <a16:creationId xmlns:a16="http://schemas.microsoft.com/office/drawing/2014/main" id="{1F21BD9D-1AA8-40C4-9F55-58523755982A}"/>
            </a:ext>
          </a:extLst>
        </xdr:cNvPr>
        <xdr:cNvSpPr>
          <a:spLocks noChangeAspect="1"/>
        </xdr:cNvSpPr>
      </xdr:nvSpPr>
      <xdr:spPr>
        <a:xfrm>
          <a:off x="52286402" y="176256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101</xdr:row>
      <xdr:rowOff>114450</xdr:rowOff>
    </xdr:from>
    <xdr:to>
      <xdr:col>77</xdr:col>
      <xdr:colOff>19801</xdr:colOff>
      <xdr:row>107</xdr:row>
      <xdr:rowOff>21752</xdr:rowOff>
    </xdr:to>
    <xdr:sp macro="" textlink="">
      <xdr:nvSpPr>
        <xdr:cNvPr id="248132" name="フリーフォーム: 図形 248131">
          <a:extLst>
            <a:ext uri="{FF2B5EF4-FFF2-40B4-BE49-F238E27FC236}">
              <a16:creationId xmlns:a16="http://schemas.microsoft.com/office/drawing/2014/main" id="{65507F7C-B06E-46BB-8571-BFDE36C0B515}"/>
            </a:ext>
          </a:extLst>
        </xdr:cNvPr>
        <xdr:cNvSpPr>
          <a:spLocks noChangeAspect="1"/>
        </xdr:cNvSpPr>
      </xdr:nvSpPr>
      <xdr:spPr>
        <a:xfrm>
          <a:off x="52538399" y="176976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107</xdr:row>
      <xdr:rowOff>75750</xdr:rowOff>
    </xdr:from>
    <xdr:to>
      <xdr:col>76</xdr:col>
      <xdr:colOff>525600</xdr:colOff>
      <xdr:row>112</xdr:row>
      <xdr:rowOff>136501</xdr:rowOff>
    </xdr:to>
    <xdr:sp macro="" textlink="">
      <xdr:nvSpPr>
        <xdr:cNvPr id="248133" name="フリーフォーム: 図形 248132">
          <a:extLst>
            <a:ext uri="{FF2B5EF4-FFF2-40B4-BE49-F238E27FC236}">
              <a16:creationId xmlns:a16="http://schemas.microsoft.com/office/drawing/2014/main" id="{5B2F9E01-AB63-4FA1-A879-758364DA9F86}"/>
            </a:ext>
          </a:extLst>
        </xdr:cNvPr>
        <xdr:cNvSpPr>
          <a:spLocks noChangeAspect="1"/>
        </xdr:cNvSpPr>
      </xdr:nvSpPr>
      <xdr:spPr>
        <a:xfrm>
          <a:off x="52358398" y="186876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112</xdr:row>
      <xdr:rowOff>64500</xdr:rowOff>
    </xdr:from>
    <xdr:to>
      <xdr:col>75</xdr:col>
      <xdr:colOff>455400</xdr:colOff>
      <xdr:row>113</xdr:row>
      <xdr:rowOff>37051</xdr:rowOff>
    </xdr:to>
    <xdr:sp macro="" textlink="">
      <xdr:nvSpPr>
        <xdr:cNvPr id="248134" name="フリーフォーム: 図形 248133">
          <a:extLst>
            <a:ext uri="{FF2B5EF4-FFF2-40B4-BE49-F238E27FC236}">
              <a16:creationId xmlns:a16="http://schemas.microsoft.com/office/drawing/2014/main" id="{FCB5F5F7-0F34-4E3C-B5DF-F5D33E114ACA}"/>
            </a:ext>
          </a:extLst>
        </xdr:cNvPr>
        <xdr:cNvSpPr>
          <a:spLocks noChangeAspect="1"/>
        </xdr:cNvSpPr>
      </xdr:nvSpPr>
      <xdr:spPr>
        <a:xfrm>
          <a:off x="51404400" y="195336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112</xdr:row>
      <xdr:rowOff>64500</xdr:rowOff>
    </xdr:from>
    <xdr:to>
      <xdr:col>76</xdr:col>
      <xdr:colOff>273603</xdr:colOff>
      <xdr:row>113</xdr:row>
      <xdr:rowOff>37051</xdr:rowOff>
    </xdr:to>
    <xdr:sp macro="" textlink="">
      <xdr:nvSpPr>
        <xdr:cNvPr id="248135" name="フリーフォーム: 図形 248134">
          <a:extLst>
            <a:ext uri="{FF2B5EF4-FFF2-40B4-BE49-F238E27FC236}">
              <a16:creationId xmlns:a16="http://schemas.microsoft.com/office/drawing/2014/main" id="{6E9CDA71-3CE7-47D0-9039-4D0D15703BBF}"/>
            </a:ext>
          </a:extLst>
        </xdr:cNvPr>
        <xdr:cNvSpPr>
          <a:spLocks noChangeAspect="1"/>
        </xdr:cNvSpPr>
      </xdr:nvSpPr>
      <xdr:spPr>
        <a:xfrm>
          <a:off x="51926399" y="195336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107</xdr:row>
      <xdr:rowOff>75750</xdr:rowOff>
    </xdr:from>
    <xdr:to>
      <xdr:col>75</xdr:col>
      <xdr:colOff>203403</xdr:colOff>
      <xdr:row>112</xdr:row>
      <xdr:rowOff>136501</xdr:rowOff>
    </xdr:to>
    <xdr:sp macro="" textlink="">
      <xdr:nvSpPr>
        <xdr:cNvPr id="248136" name="フリーフォーム: 図形 248135">
          <a:extLst>
            <a:ext uri="{FF2B5EF4-FFF2-40B4-BE49-F238E27FC236}">
              <a16:creationId xmlns:a16="http://schemas.microsoft.com/office/drawing/2014/main" id="{68FE73B4-7584-4A35-B6D8-5B53E60C78CA}"/>
            </a:ext>
          </a:extLst>
        </xdr:cNvPr>
        <xdr:cNvSpPr>
          <a:spLocks noChangeAspect="1"/>
        </xdr:cNvSpPr>
      </xdr:nvSpPr>
      <xdr:spPr>
        <a:xfrm>
          <a:off x="51350401" y="186876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101</xdr:row>
      <xdr:rowOff>114450</xdr:rowOff>
    </xdr:from>
    <xdr:to>
      <xdr:col>75</xdr:col>
      <xdr:colOff>347400</xdr:colOff>
      <xdr:row>107</xdr:row>
      <xdr:rowOff>21752</xdr:rowOff>
    </xdr:to>
    <xdr:sp macro="" textlink="">
      <xdr:nvSpPr>
        <xdr:cNvPr id="248137" name="フリーフォーム: 図形 248136">
          <a:extLst>
            <a:ext uri="{FF2B5EF4-FFF2-40B4-BE49-F238E27FC236}">
              <a16:creationId xmlns:a16="http://schemas.microsoft.com/office/drawing/2014/main" id="{7729272F-B09E-414B-A7FF-D9A5903BED16}"/>
            </a:ext>
          </a:extLst>
        </xdr:cNvPr>
        <xdr:cNvSpPr>
          <a:spLocks noChangeAspect="1"/>
        </xdr:cNvSpPr>
      </xdr:nvSpPr>
      <xdr:spPr>
        <a:xfrm>
          <a:off x="51530399" y="176976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106</xdr:row>
      <xdr:rowOff>139199</xdr:rowOff>
    </xdr:from>
    <xdr:to>
      <xdr:col>75</xdr:col>
      <xdr:colOff>617402</xdr:colOff>
      <xdr:row>107</xdr:row>
      <xdr:rowOff>111751</xdr:rowOff>
    </xdr:to>
    <xdr:sp macro="" textlink="">
      <xdr:nvSpPr>
        <xdr:cNvPr id="248138" name="フリーフォーム: 図形 248137">
          <a:extLst>
            <a:ext uri="{FF2B5EF4-FFF2-40B4-BE49-F238E27FC236}">
              <a16:creationId xmlns:a16="http://schemas.microsoft.com/office/drawing/2014/main" id="{D35530E8-5B0F-4032-A5EC-C4A11E3B284F}"/>
            </a:ext>
          </a:extLst>
        </xdr:cNvPr>
        <xdr:cNvSpPr>
          <a:spLocks noChangeAspect="1"/>
        </xdr:cNvSpPr>
      </xdr:nvSpPr>
      <xdr:spPr>
        <a:xfrm>
          <a:off x="51602401" y="185795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106</xdr:row>
      <xdr:rowOff>139199</xdr:rowOff>
    </xdr:from>
    <xdr:to>
      <xdr:col>76</xdr:col>
      <xdr:colOff>435602</xdr:colOff>
      <xdr:row>107</xdr:row>
      <xdr:rowOff>111751</xdr:rowOff>
    </xdr:to>
    <xdr:sp macro="" textlink="">
      <xdr:nvSpPr>
        <xdr:cNvPr id="248139" name="フリーフォーム: 図形 248138">
          <a:extLst>
            <a:ext uri="{FF2B5EF4-FFF2-40B4-BE49-F238E27FC236}">
              <a16:creationId xmlns:a16="http://schemas.microsoft.com/office/drawing/2014/main" id="{2FC3AB0B-59C7-466D-8782-5E80EDCF393C}"/>
            </a:ext>
          </a:extLst>
        </xdr:cNvPr>
        <xdr:cNvSpPr>
          <a:spLocks noChangeAspect="1"/>
        </xdr:cNvSpPr>
      </xdr:nvSpPr>
      <xdr:spPr>
        <a:xfrm>
          <a:off x="52106401" y="185795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102</xdr:row>
      <xdr:rowOff>51000</xdr:rowOff>
    </xdr:from>
    <xdr:to>
      <xdr:col>75</xdr:col>
      <xdr:colOff>635404</xdr:colOff>
      <xdr:row>107</xdr:row>
      <xdr:rowOff>3751</xdr:rowOff>
    </xdr:to>
    <xdr:sp macro="" textlink="">
      <xdr:nvSpPr>
        <xdr:cNvPr id="248140" name="フリーフォーム: 図形 248139">
          <a:extLst>
            <a:ext uri="{FF2B5EF4-FFF2-40B4-BE49-F238E27FC236}">
              <a16:creationId xmlns:a16="http://schemas.microsoft.com/office/drawing/2014/main" id="{0C3A1F79-3DB4-4CB1-AC60-BCDB9A9B0EEE}"/>
            </a:ext>
          </a:extLst>
        </xdr:cNvPr>
        <xdr:cNvSpPr>
          <a:spLocks noChangeAspect="1"/>
        </xdr:cNvSpPr>
      </xdr:nvSpPr>
      <xdr:spPr>
        <a:xfrm>
          <a:off x="51800401" y="17805600"/>
          <a:ext cx="270003" cy="810001"/>
        </a:xfrm>
        <a:custGeom>
          <a:avLst/>
          <a:gdLst/>
          <a:ahLst/>
          <a:cxnLst/>
          <a:rect l="0" t="0" r="0" b="0"/>
          <a:pathLst>
            <a:path w="270003" h="810001">
              <a:moveTo>
                <a:pt x="0" y="180000"/>
              </a:moveTo>
              <a:lnTo>
                <a:pt x="17999" y="0"/>
              </a:lnTo>
              <a:lnTo>
                <a:pt x="108000" y="108000"/>
              </a:lnTo>
              <a:lnTo>
                <a:pt x="215999" y="467999"/>
              </a:lnTo>
              <a:lnTo>
                <a:pt x="270002"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101</xdr:row>
      <xdr:rowOff>114450</xdr:rowOff>
    </xdr:from>
    <xdr:to>
      <xdr:col>76</xdr:col>
      <xdr:colOff>201601</xdr:colOff>
      <xdr:row>106</xdr:row>
      <xdr:rowOff>157201</xdr:rowOff>
    </xdr:to>
    <xdr:sp macro="" textlink="">
      <xdr:nvSpPr>
        <xdr:cNvPr id="248141" name="フリーフォーム: 図形 248140">
          <a:extLst>
            <a:ext uri="{FF2B5EF4-FFF2-40B4-BE49-F238E27FC236}">
              <a16:creationId xmlns:a16="http://schemas.microsoft.com/office/drawing/2014/main" id="{8AB6AC47-5EFA-41F8-85A5-C4945FA719AE}"/>
            </a:ext>
          </a:extLst>
        </xdr:cNvPr>
        <xdr:cNvSpPr>
          <a:spLocks noChangeAspect="1"/>
        </xdr:cNvSpPr>
      </xdr:nvSpPr>
      <xdr:spPr>
        <a:xfrm>
          <a:off x="52070403" y="176976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102</xdr:row>
      <xdr:rowOff>69000</xdr:rowOff>
    </xdr:from>
    <xdr:to>
      <xdr:col>76</xdr:col>
      <xdr:colOff>525600</xdr:colOff>
      <xdr:row>107</xdr:row>
      <xdr:rowOff>3751</xdr:rowOff>
    </xdr:to>
    <xdr:sp macro="" textlink="">
      <xdr:nvSpPr>
        <xdr:cNvPr id="248142" name="フリーフォーム: 図形 248141">
          <a:extLst>
            <a:ext uri="{FF2B5EF4-FFF2-40B4-BE49-F238E27FC236}">
              <a16:creationId xmlns:a16="http://schemas.microsoft.com/office/drawing/2014/main" id="{4E8FA0DC-0385-442F-B236-C1D750B7546C}"/>
            </a:ext>
          </a:extLst>
        </xdr:cNvPr>
        <xdr:cNvSpPr>
          <a:spLocks noChangeAspect="1"/>
        </xdr:cNvSpPr>
      </xdr:nvSpPr>
      <xdr:spPr>
        <a:xfrm>
          <a:off x="52124403" y="178236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107</xdr:row>
      <xdr:rowOff>75750</xdr:rowOff>
    </xdr:from>
    <xdr:to>
      <xdr:col>76</xdr:col>
      <xdr:colOff>237599</xdr:colOff>
      <xdr:row>111</xdr:row>
      <xdr:rowOff>163951</xdr:rowOff>
    </xdr:to>
    <xdr:sp macro="" textlink="">
      <xdr:nvSpPr>
        <xdr:cNvPr id="248143" name="フリーフォーム: 図形 248142">
          <a:extLst>
            <a:ext uri="{FF2B5EF4-FFF2-40B4-BE49-F238E27FC236}">
              <a16:creationId xmlns:a16="http://schemas.microsoft.com/office/drawing/2014/main" id="{DF2288DB-54DD-4352-AE47-F38BF0DBFD2E}"/>
            </a:ext>
          </a:extLst>
        </xdr:cNvPr>
        <xdr:cNvSpPr>
          <a:spLocks noChangeAspect="1"/>
        </xdr:cNvSpPr>
      </xdr:nvSpPr>
      <xdr:spPr>
        <a:xfrm>
          <a:off x="52088399" y="186876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107</xdr:row>
      <xdr:rowOff>93749</xdr:rowOff>
    </xdr:from>
    <xdr:to>
      <xdr:col>75</xdr:col>
      <xdr:colOff>653400</xdr:colOff>
      <xdr:row>112</xdr:row>
      <xdr:rowOff>118501</xdr:rowOff>
    </xdr:to>
    <xdr:sp macro="" textlink="">
      <xdr:nvSpPr>
        <xdr:cNvPr id="248144" name="フリーフォーム: 図形 248143">
          <a:extLst>
            <a:ext uri="{FF2B5EF4-FFF2-40B4-BE49-F238E27FC236}">
              <a16:creationId xmlns:a16="http://schemas.microsoft.com/office/drawing/2014/main" id="{65762798-C671-48FD-81E2-97A6524D592D}"/>
            </a:ext>
          </a:extLst>
        </xdr:cNvPr>
        <xdr:cNvSpPr>
          <a:spLocks noChangeAspect="1"/>
        </xdr:cNvSpPr>
      </xdr:nvSpPr>
      <xdr:spPr>
        <a:xfrm>
          <a:off x="51854401" y="18705599"/>
          <a:ext cx="233999" cy="882002"/>
        </a:xfrm>
        <a:custGeom>
          <a:avLst/>
          <a:gdLst/>
          <a:ahLst/>
          <a:cxnLst/>
          <a:rect l="0" t="0" r="0" b="0"/>
          <a:pathLst>
            <a:path w="233999" h="882002">
              <a:moveTo>
                <a:pt x="107999" y="216001"/>
              </a:moveTo>
              <a:lnTo>
                <a:pt x="216002"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107</xdr:row>
      <xdr:rowOff>75750</xdr:rowOff>
    </xdr:from>
    <xdr:to>
      <xdr:col>75</xdr:col>
      <xdr:colOff>617402</xdr:colOff>
      <xdr:row>112</xdr:row>
      <xdr:rowOff>10501</xdr:rowOff>
    </xdr:to>
    <xdr:sp macro="" textlink="">
      <xdr:nvSpPr>
        <xdr:cNvPr id="248145" name="フリーフォーム: 図形 248144">
          <a:extLst>
            <a:ext uri="{FF2B5EF4-FFF2-40B4-BE49-F238E27FC236}">
              <a16:creationId xmlns:a16="http://schemas.microsoft.com/office/drawing/2014/main" id="{C8026EED-024B-4905-9434-AD15D30CB906}"/>
            </a:ext>
          </a:extLst>
        </xdr:cNvPr>
        <xdr:cNvSpPr>
          <a:spLocks noChangeAspect="1"/>
        </xdr:cNvSpPr>
      </xdr:nvSpPr>
      <xdr:spPr>
        <a:xfrm>
          <a:off x="51530399" y="186876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101</xdr:row>
      <xdr:rowOff>42450</xdr:rowOff>
    </xdr:from>
    <xdr:to>
      <xdr:col>78</xdr:col>
      <xdr:colOff>550801</xdr:colOff>
      <xdr:row>102</xdr:row>
      <xdr:rowOff>15002</xdr:rowOff>
    </xdr:to>
    <xdr:sp macro="" textlink="">
      <xdr:nvSpPr>
        <xdr:cNvPr id="248146" name="フリーフォーム: 図形 248145">
          <a:extLst>
            <a:ext uri="{FF2B5EF4-FFF2-40B4-BE49-F238E27FC236}">
              <a16:creationId xmlns:a16="http://schemas.microsoft.com/office/drawing/2014/main" id="{B9F2C8D6-0774-4C34-BFED-17187ACD224C}"/>
            </a:ext>
          </a:extLst>
        </xdr:cNvPr>
        <xdr:cNvSpPr>
          <a:spLocks noChangeAspect="1"/>
        </xdr:cNvSpPr>
      </xdr:nvSpPr>
      <xdr:spPr>
        <a:xfrm>
          <a:off x="53575198" y="176256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101</xdr:row>
      <xdr:rowOff>42450</xdr:rowOff>
    </xdr:from>
    <xdr:to>
      <xdr:col>79</xdr:col>
      <xdr:colOff>405000</xdr:colOff>
      <xdr:row>102</xdr:row>
      <xdr:rowOff>15002</xdr:rowOff>
    </xdr:to>
    <xdr:sp macro="" textlink="">
      <xdr:nvSpPr>
        <xdr:cNvPr id="248147" name="フリーフォーム: 図形 248146">
          <a:extLst>
            <a:ext uri="{FF2B5EF4-FFF2-40B4-BE49-F238E27FC236}">
              <a16:creationId xmlns:a16="http://schemas.microsoft.com/office/drawing/2014/main" id="{6EFA2F95-7C87-4F56-9FC6-895A1C5FFA07}"/>
            </a:ext>
          </a:extLst>
        </xdr:cNvPr>
        <xdr:cNvSpPr>
          <a:spLocks noChangeAspect="1"/>
        </xdr:cNvSpPr>
      </xdr:nvSpPr>
      <xdr:spPr>
        <a:xfrm>
          <a:off x="54115202" y="176256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101</xdr:row>
      <xdr:rowOff>114450</xdr:rowOff>
    </xdr:from>
    <xdr:to>
      <xdr:col>79</xdr:col>
      <xdr:colOff>477001</xdr:colOff>
      <xdr:row>107</xdr:row>
      <xdr:rowOff>21752</xdr:rowOff>
    </xdr:to>
    <xdr:sp macro="" textlink="">
      <xdr:nvSpPr>
        <xdr:cNvPr id="248148" name="フリーフォーム: 図形 248147">
          <a:extLst>
            <a:ext uri="{FF2B5EF4-FFF2-40B4-BE49-F238E27FC236}">
              <a16:creationId xmlns:a16="http://schemas.microsoft.com/office/drawing/2014/main" id="{27B5BA4C-85E2-46E8-89D0-80C5EE5DFE8A}"/>
            </a:ext>
          </a:extLst>
        </xdr:cNvPr>
        <xdr:cNvSpPr>
          <a:spLocks noChangeAspect="1"/>
        </xdr:cNvSpPr>
      </xdr:nvSpPr>
      <xdr:spPr>
        <a:xfrm>
          <a:off x="54367199" y="176976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107</xdr:row>
      <xdr:rowOff>75750</xdr:rowOff>
    </xdr:from>
    <xdr:to>
      <xdr:col>79</xdr:col>
      <xdr:colOff>297000</xdr:colOff>
      <xdr:row>112</xdr:row>
      <xdr:rowOff>136501</xdr:rowOff>
    </xdr:to>
    <xdr:sp macro="" textlink="">
      <xdr:nvSpPr>
        <xdr:cNvPr id="248149" name="フリーフォーム: 図形 248148">
          <a:extLst>
            <a:ext uri="{FF2B5EF4-FFF2-40B4-BE49-F238E27FC236}">
              <a16:creationId xmlns:a16="http://schemas.microsoft.com/office/drawing/2014/main" id="{F5CF75DA-F8FB-4EA0-818C-50F956FE786C}"/>
            </a:ext>
          </a:extLst>
        </xdr:cNvPr>
        <xdr:cNvSpPr>
          <a:spLocks noChangeAspect="1"/>
        </xdr:cNvSpPr>
      </xdr:nvSpPr>
      <xdr:spPr>
        <a:xfrm>
          <a:off x="54187198" y="186876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112</xdr:row>
      <xdr:rowOff>64500</xdr:rowOff>
    </xdr:from>
    <xdr:to>
      <xdr:col>78</xdr:col>
      <xdr:colOff>226803</xdr:colOff>
      <xdr:row>113</xdr:row>
      <xdr:rowOff>37051</xdr:rowOff>
    </xdr:to>
    <xdr:sp macro="" textlink="">
      <xdr:nvSpPr>
        <xdr:cNvPr id="248150" name="フリーフォーム: 図形 248149">
          <a:extLst>
            <a:ext uri="{FF2B5EF4-FFF2-40B4-BE49-F238E27FC236}">
              <a16:creationId xmlns:a16="http://schemas.microsoft.com/office/drawing/2014/main" id="{2E6B7E78-AD02-42D2-8AC9-561D7A1E86A7}"/>
            </a:ext>
          </a:extLst>
        </xdr:cNvPr>
        <xdr:cNvSpPr>
          <a:spLocks noChangeAspect="1"/>
        </xdr:cNvSpPr>
      </xdr:nvSpPr>
      <xdr:spPr>
        <a:xfrm>
          <a:off x="53233197" y="195336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112</xdr:row>
      <xdr:rowOff>64500</xdr:rowOff>
    </xdr:from>
    <xdr:to>
      <xdr:col>79</xdr:col>
      <xdr:colOff>45003</xdr:colOff>
      <xdr:row>113</xdr:row>
      <xdr:rowOff>37051</xdr:rowOff>
    </xdr:to>
    <xdr:sp macro="" textlink="">
      <xdr:nvSpPr>
        <xdr:cNvPr id="248151" name="フリーフォーム: 図形 248150">
          <a:extLst>
            <a:ext uri="{FF2B5EF4-FFF2-40B4-BE49-F238E27FC236}">
              <a16:creationId xmlns:a16="http://schemas.microsoft.com/office/drawing/2014/main" id="{8EA2FBE2-9A6C-46A5-B1F9-5C2B862CA901}"/>
            </a:ext>
          </a:extLst>
        </xdr:cNvPr>
        <xdr:cNvSpPr>
          <a:spLocks noChangeAspect="1"/>
        </xdr:cNvSpPr>
      </xdr:nvSpPr>
      <xdr:spPr>
        <a:xfrm>
          <a:off x="53755199" y="195336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107</xdr:row>
      <xdr:rowOff>75750</xdr:rowOff>
    </xdr:from>
    <xdr:to>
      <xdr:col>77</xdr:col>
      <xdr:colOff>660599</xdr:colOff>
      <xdr:row>112</xdr:row>
      <xdr:rowOff>136501</xdr:rowOff>
    </xdr:to>
    <xdr:sp macro="" textlink="">
      <xdr:nvSpPr>
        <xdr:cNvPr id="248152" name="フリーフォーム: 図形 248151">
          <a:extLst>
            <a:ext uri="{FF2B5EF4-FFF2-40B4-BE49-F238E27FC236}">
              <a16:creationId xmlns:a16="http://schemas.microsoft.com/office/drawing/2014/main" id="{BF461362-77EA-4002-A25E-FD2DBC130241}"/>
            </a:ext>
          </a:extLst>
        </xdr:cNvPr>
        <xdr:cNvSpPr>
          <a:spLocks noChangeAspect="1"/>
        </xdr:cNvSpPr>
      </xdr:nvSpPr>
      <xdr:spPr>
        <a:xfrm>
          <a:off x="53179197" y="186876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101</xdr:row>
      <xdr:rowOff>114450</xdr:rowOff>
    </xdr:from>
    <xdr:to>
      <xdr:col>78</xdr:col>
      <xdr:colOff>118803</xdr:colOff>
      <xdr:row>107</xdr:row>
      <xdr:rowOff>21752</xdr:rowOff>
    </xdr:to>
    <xdr:sp macro="" textlink="">
      <xdr:nvSpPr>
        <xdr:cNvPr id="248153" name="フリーフォーム: 図形 248152">
          <a:extLst>
            <a:ext uri="{FF2B5EF4-FFF2-40B4-BE49-F238E27FC236}">
              <a16:creationId xmlns:a16="http://schemas.microsoft.com/office/drawing/2014/main" id="{8C5E6567-96AC-43FD-A2DB-ECEAB9ED5886}"/>
            </a:ext>
          </a:extLst>
        </xdr:cNvPr>
        <xdr:cNvSpPr>
          <a:spLocks noChangeAspect="1"/>
        </xdr:cNvSpPr>
      </xdr:nvSpPr>
      <xdr:spPr>
        <a:xfrm>
          <a:off x="53359199" y="176976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106</xdr:row>
      <xdr:rowOff>139199</xdr:rowOff>
    </xdr:from>
    <xdr:to>
      <xdr:col>78</xdr:col>
      <xdr:colOff>388802</xdr:colOff>
      <xdr:row>107</xdr:row>
      <xdr:rowOff>111751</xdr:rowOff>
    </xdr:to>
    <xdr:sp macro="" textlink="">
      <xdr:nvSpPr>
        <xdr:cNvPr id="248154" name="フリーフォーム: 図形 248153">
          <a:extLst>
            <a:ext uri="{FF2B5EF4-FFF2-40B4-BE49-F238E27FC236}">
              <a16:creationId xmlns:a16="http://schemas.microsoft.com/office/drawing/2014/main" id="{527FB761-8F39-471D-9643-66D659BDD113}"/>
            </a:ext>
          </a:extLst>
        </xdr:cNvPr>
        <xdr:cNvSpPr>
          <a:spLocks noChangeAspect="1"/>
        </xdr:cNvSpPr>
      </xdr:nvSpPr>
      <xdr:spPr>
        <a:xfrm>
          <a:off x="53431201" y="185795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106</xdr:row>
      <xdr:rowOff>139199</xdr:rowOff>
    </xdr:from>
    <xdr:to>
      <xdr:col>79</xdr:col>
      <xdr:colOff>207002</xdr:colOff>
      <xdr:row>107</xdr:row>
      <xdr:rowOff>111751</xdr:rowOff>
    </xdr:to>
    <xdr:sp macro="" textlink="">
      <xdr:nvSpPr>
        <xdr:cNvPr id="248155" name="フリーフォーム: 図形 248154">
          <a:extLst>
            <a:ext uri="{FF2B5EF4-FFF2-40B4-BE49-F238E27FC236}">
              <a16:creationId xmlns:a16="http://schemas.microsoft.com/office/drawing/2014/main" id="{EF8B2780-D579-4EA5-832D-7E55BA7D9929}"/>
            </a:ext>
          </a:extLst>
        </xdr:cNvPr>
        <xdr:cNvSpPr>
          <a:spLocks noChangeAspect="1"/>
        </xdr:cNvSpPr>
      </xdr:nvSpPr>
      <xdr:spPr>
        <a:xfrm>
          <a:off x="53935201" y="185795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102</xdr:row>
      <xdr:rowOff>51000</xdr:rowOff>
    </xdr:from>
    <xdr:to>
      <xdr:col>78</xdr:col>
      <xdr:colOff>406804</xdr:colOff>
      <xdr:row>107</xdr:row>
      <xdr:rowOff>3751</xdr:rowOff>
    </xdr:to>
    <xdr:sp macro="" textlink="">
      <xdr:nvSpPr>
        <xdr:cNvPr id="248156" name="フリーフォーム: 図形 248155">
          <a:extLst>
            <a:ext uri="{FF2B5EF4-FFF2-40B4-BE49-F238E27FC236}">
              <a16:creationId xmlns:a16="http://schemas.microsoft.com/office/drawing/2014/main" id="{8FE45CC2-6362-40AA-BD7F-B5D09C8F6681}"/>
            </a:ext>
          </a:extLst>
        </xdr:cNvPr>
        <xdr:cNvSpPr>
          <a:spLocks noChangeAspect="1"/>
        </xdr:cNvSpPr>
      </xdr:nvSpPr>
      <xdr:spPr>
        <a:xfrm>
          <a:off x="53629198" y="178056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101</xdr:row>
      <xdr:rowOff>114450</xdr:rowOff>
    </xdr:from>
    <xdr:to>
      <xdr:col>78</xdr:col>
      <xdr:colOff>658801</xdr:colOff>
      <xdr:row>106</xdr:row>
      <xdr:rowOff>157201</xdr:rowOff>
    </xdr:to>
    <xdr:sp macro="" textlink="">
      <xdr:nvSpPr>
        <xdr:cNvPr id="248157" name="フリーフォーム: 図形 248156">
          <a:extLst>
            <a:ext uri="{FF2B5EF4-FFF2-40B4-BE49-F238E27FC236}">
              <a16:creationId xmlns:a16="http://schemas.microsoft.com/office/drawing/2014/main" id="{53052880-7DB6-457B-9F5F-F42516643094}"/>
            </a:ext>
          </a:extLst>
        </xdr:cNvPr>
        <xdr:cNvSpPr>
          <a:spLocks noChangeAspect="1"/>
        </xdr:cNvSpPr>
      </xdr:nvSpPr>
      <xdr:spPr>
        <a:xfrm>
          <a:off x="53899203" y="176976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102</xdr:row>
      <xdr:rowOff>69000</xdr:rowOff>
    </xdr:from>
    <xdr:to>
      <xdr:col>79</xdr:col>
      <xdr:colOff>297000</xdr:colOff>
      <xdr:row>107</xdr:row>
      <xdr:rowOff>3751</xdr:rowOff>
    </xdr:to>
    <xdr:sp macro="" textlink="">
      <xdr:nvSpPr>
        <xdr:cNvPr id="248158" name="フリーフォーム: 図形 248157">
          <a:extLst>
            <a:ext uri="{FF2B5EF4-FFF2-40B4-BE49-F238E27FC236}">
              <a16:creationId xmlns:a16="http://schemas.microsoft.com/office/drawing/2014/main" id="{CBE96F0F-0D75-402A-8228-F20ECDE2A316}"/>
            </a:ext>
          </a:extLst>
        </xdr:cNvPr>
        <xdr:cNvSpPr>
          <a:spLocks noChangeAspect="1"/>
        </xdr:cNvSpPr>
      </xdr:nvSpPr>
      <xdr:spPr>
        <a:xfrm>
          <a:off x="53953203" y="178236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107</xdr:row>
      <xdr:rowOff>75750</xdr:rowOff>
    </xdr:from>
    <xdr:to>
      <xdr:col>79</xdr:col>
      <xdr:colOff>8999</xdr:colOff>
      <xdr:row>111</xdr:row>
      <xdr:rowOff>163951</xdr:rowOff>
    </xdr:to>
    <xdr:sp macro="" textlink="">
      <xdr:nvSpPr>
        <xdr:cNvPr id="248159" name="フリーフォーム: 図形 248158">
          <a:extLst>
            <a:ext uri="{FF2B5EF4-FFF2-40B4-BE49-F238E27FC236}">
              <a16:creationId xmlns:a16="http://schemas.microsoft.com/office/drawing/2014/main" id="{0E98B50E-6623-40C0-8D73-E386FBF339AE}"/>
            </a:ext>
          </a:extLst>
        </xdr:cNvPr>
        <xdr:cNvSpPr>
          <a:spLocks noChangeAspect="1"/>
        </xdr:cNvSpPr>
      </xdr:nvSpPr>
      <xdr:spPr>
        <a:xfrm>
          <a:off x="53917199" y="186876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107</xdr:row>
      <xdr:rowOff>93749</xdr:rowOff>
    </xdr:from>
    <xdr:to>
      <xdr:col>78</xdr:col>
      <xdr:colOff>424800</xdr:colOff>
      <xdr:row>112</xdr:row>
      <xdr:rowOff>118501</xdr:rowOff>
    </xdr:to>
    <xdr:sp macro="" textlink="">
      <xdr:nvSpPr>
        <xdr:cNvPr id="248160" name="フリーフォーム: 図形 248159">
          <a:extLst>
            <a:ext uri="{FF2B5EF4-FFF2-40B4-BE49-F238E27FC236}">
              <a16:creationId xmlns:a16="http://schemas.microsoft.com/office/drawing/2014/main" id="{2D2F457F-6A67-4C45-A096-E07B250903FF}"/>
            </a:ext>
          </a:extLst>
        </xdr:cNvPr>
        <xdr:cNvSpPr>
          <a:spLocks noChangeAspect="1"/>
        </xdr:cNvSpPr>
      </xdr:nvSpPr>
      <xdr:spPr>
        <a:xfrm>
          <a:off x="53683198" y="187055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107</xdr:row>
      <xdr:rowOff>75750</xdr:rowOff>
    </xdr:from>
    <xdr:to>
      <xdr:col>78</xdr:col>
      <xdr:colOff>388802</xdr:colOff>
      <xdr:row>112</xdr:row>
      <xdr:rowOff>10501</xdr:rowOff>
    </xdr:to>
    <xdr:sp macro="" textlink="">
      <xdr:nvSpPr>
        <xdr:cNvPr id="248161" name="フリーフォーム: 図形 248160">
          <a:extLst>
            <a:ext uri="{FF2B5EF4-FFF2-40B4-BE49-F238E27FC236}">
              <a16:creationId xmlns:a16="http://schemas.microsoft.com/office/drawing/2014/main" id="{9B6B419F-8A99-44B9-AE1A-60460909571E}"/>
            </a:ext>
          </a:extLst>
        </xdr:cNvPr>
        <xdr:cNvSpPr>
          <a:spLocks noChangeAspect="1"/>
        </xdr:cNvSpPr>
      </xdr:nvSpPr>
      <xdr:spPr>
        <a:xfrm>
          <a:off x="53359199" y="186876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101</xdr:row>
      <xdr:rowOff>42450</xdr:rowOff>
    </xdr:from>
    <xdr:to>
      <xdr:col>81</xdr:col>
      <xdr:colOff>322201</xdr:colOff>
      <xdr:row>102</xdr:row>
      <xdr:rowOff>15002</xdr:rowOff>
    </xdr:to>
    <xdr:sp macro="" textlink="">
      <xdr:nvSpPr>
        <xdr:cNvPr id="248162" name="フリーフォーム: 図形 248161">
          <a:extLst>
            <a:ext uri="{FF2B5EF4-FFF2-40B4-BE49-F238E27FC236}">
              <a16:creationId xmlns:a16="http://schemas.microsoft.com/office/drawing/2014/main" id="{1CC077A2-8AEA-48EE-B576-201E0949491C}"/>
            </a:ext>
          </a:extLst>
        </xdr:cNvPr>
        <xdr:cNvSpPr>
          <a:spLocks noChangeAspect="1"/>
        </xdr:cNvSpPr>
      </xdr:nvSpPr>
      <xdr:spPr>
        <a:xfrm>
          <a:off x="55403998" y="176256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101</xdr:row>
      <xdr:rowOff>42450</xdr:rowOff>
    </xdr:from>
    <xdr:to>
      <xdr:col>82</xdr:col>
      <xdr:colOff>176400</xdr:colOff>
      <xdr:row>102</xdr:row>
      <xdr:rowOff>15002</xdr:rowOff>
    </xdr:to>
    <xdr:sp macro="" textlink="">
      <xdr:nvSpPr>
        <xdr:cNvPr id="248163" name="フリーフォーム: 図形 248162">
          <a:extLst>
            <a:ext uri="{FF2B5EF4-FFF2-40B4-BE49-F238E27FC236}">
              <a16:creationId xmlns:a16="http://schemas.microsoft.com/office/drawing/2014/main" id="{9C7DA338-3FBE-4B81-A81F-54DAD148CF91}"/>
            </a:ext>
          </a:extLst>
        </xdr:cNvPr>
        <xdr:cNvSpPr>
          <a:spLocks noChangeAspect="1"/>
        </xdr:cNvSpPr>
      </xdr:nvSpPr>
      <xdr:spPr>
        <a:xfrm>
          <a:off x="55944002" y="176256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101</xdr:row>
      <xdr:rowOff>114450</xdr:rowOff>
    </xdr:from>
    <xdr:to>
      <xdr:col>82</xdr:col>
      <xdr:colOff>248401</xdr:colOff>
      <xdr:row>107</xdr:row>
      <xdr:rowOff>21752</xdr:rowOff>
    </xdr:to>
    <xdr:sp macro="" textlink="">
      <xdr:nvSpPr>
        <xdr:cNvPr id="248164" name="フリーフォーム: 図形 248163">
          <a:extLst>
            <a:ext uri="{FF2B5EF4-FFF2-40B4-BE49-F238E27FC236}">
              <a16:creationId xmlns:a16="http://schemas.microsoft.com/office/drawing/2014/main" id="{5A923433-864F-43E0-AB94-34CB7C048568}"/>
            </a:ext>
          </a:extLst>
        </xdr:cNvPr>
        <xdr:cNvSpPr>
          <a:spLocks noChangeAspect="1"/>
        </xdr:cNvSpPr>
      </xdr:nvSpPr>
      <xdr:spPr>
        <a:xfrm>
          <a:off x="56195999" y="176976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107</xdr:row>
      <xdr:rowOff>75750</xdr:rowOff>
    </xdr:from>
    <xdr:to>
      <xdr:col>82</xdr:col>
      <xdr:colOff>68400</xdr:colOff>
      <xdr:row>112</xdr:row>
      <xdr:rowOff>136501</xdr:rowOff>
    </xdr:to>
    <xdr:sp macro="" textlink="">
      <xdr:nvSpPr>
        <xdr:cNvPr id="248165" name="フリーフォーム: 図形 248164">
          <a:extLst>
            <a:ext uri="{FF2B5EF4-FFF2-40B4-BE49-F238E27FC236}">
              <a16:creationId xmlns:a16="http://schemas.microsoft.com/office/drawing/2014/main" id="{6B64B1F0-7C8E-45A4-9B91-355C897F3877}"/>
            </a:ext>
          </a:extLst>
        </xdr:cNvPr>
        <xdr:cNvSpPr>
          <a:spLocks noChangeAspect="1"/>
        </xdr:cNvSpPr>
      </xdr:nvSpPr>
      <xdr:spPr>
        <a:xfrm>
          <a:off x="56015998" y="186876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112</xdr:row>
      <xdr:rowOff>64500</xdr:rowOff>
    </xdr:from>
    <xdr:to>
      <xdr:col>80</xdr:col>
      <xdr:colOff>684003</xdr:colOff>
      <xdr:row>113</xdr:row>
      <xdr:rowOff>37051</xdr:rowOff>
    </xdr:to>
    <xdr:sp macro="" textlink="">
      <xdr:nvSpPr>
        <xdr:cNvPr id="248166" name="フリーフォーム: 図形 248165">
          <a:extLst>
            <a:ext uri="{FF2B5EF4-FFF2-40B4-BE49-F238E27FC236}">
              <a16:creationId xmlns:a16="http://schemas.microsoft.com/office/drawing/2014/main" id="{BA422BAF-01DE-45DB-B756-05D1C851B20F}"/>
            </a:ext>
          </a:extLst>
        </xdr:cNvPr>
        <xdr:cNvSpPr>
          <a:spLocks noChangeAspect="1"/>
        </xdr:cNvSpPr>
      </xdr:nvSpPr>
      <xdr:spPr>
        <a:xfrm>
          <a:off x="55061997" y="195336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112</xdr:row>
      <xdr:rowOff>64500</xdr:rowOff>
    </xdr:from>
    <xdr:to>
      <xdr:col>81</xdr:col>
      <xdr:colOff>502203</xdr:colOff>
      <xdr:row>113</xdr:row>
      <xdr:rowOff>37051</xdr:rowOff>
    </xdr:to>
    <xdr:sp macro="" textlink="">
      <xdr:nvSpPr>
        <xdr:cNvPr id="248167" name="フリーフォーム: 図形 248166">
          <a:extLst>
            <a:ext uri="{FF2B5EF4-FFF2-40B4-BE49-F238E27FC236}">
              <a16:creationId xmlns:a16="http://schemas.microsoft.com/office/drawing/2014/main" id="{106E5AAB-A45E-4ECD-B9F9-874BA7A89795}"/>
            </a:ext>
          </a:extLst>
        </xdr:cNvPr>
        <xdr:cNvSpPr>
          <a:spLocks noChangeAspect="1"/>
        </xdr:cNvSpPr>
      </xdr:nvSpPr>
      <xdr:spPr>
        <a:xfrm>
          <a:off x="55583999" y="195336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107</xdr:row>
      <xdr:rowOff>75750</xdr:rowOff>
    </xdr:from>
    <xdr:to>
      <xdr:col>80</xdr:col>
      <xdr:colOff>431999</xdr:colOff>
      <xdr:row>112</xdr:row>
      <xdr:rowOff>136501</xdr:rowOff>
    </xdr:to>
    <xdr:sp macro="" textlink="">
      <xdr:nvSpPr>
        <xdr:cNvPr id="248168" name="フリーフォーム: 図形 248167">
          <a:extLst>
            <a:ext uri="{FF2B5EF4-FFF2-40B4-BE49-F238E27FC236}">
              <a16:creationId xmlns:a16="http://schemas.microsoft.com/office/drawing/2014/main" id="{5427FF70-222C-4D29-B9B1-60C5C1BAD099}"/>
            </a:ext>
          </a:extLst>
        </xdr:cNvPr>
        <xdr:cNvSpPr>
          <a:spLocks noChangeAspect="1"/>
        </xdr:cNvSpPr>
      </xdr:nvSpPr>
      <xdr:spPr>
        <a:xfrm>
          <a:off x="55007997" y="186876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101</xdr:row>
      <xdr:rowOff>114450</xdr:rowOff>
    </xdr:from>
    <xdr:to>
      <xdr:col>80</xdr:col>
      <xdr:colOff>576003</xdr:colOff>
      <xdr:row>107</xdr:row>
      <xdr:rowOff>21752</xdr:rowOff>
    </xdr:to>
    <xdr:sp macro="" textlink="">
      <xdr:nvSpPr>
        <xdr:cNvPr id="248169" name="フリーフォーム: 図形 248168">
          <a:extLst>
            <a:ext uri="{FF2B5EF4-FFF2-40B4-BE49-F238E27FC236}">
              <a16:creationId xmlns:a16="http://schemas.microsoft.com/office/drawing/2014/main" id="{9F592818-91DE-4D95-91C0-7B185449C624}"/>
            </a:ext>
          </a:extLst>
        </xdr:cNvPr>
        <xdr:cNvSpPr>
          <a:spLocks noChangeAspect="1"/>
        </xdr:cNvSpPr>
      </xdr:nvSpPr>
      <xdr:spPr>
        <a:xfrm>
          <a:off x="55187999" y="176976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106</xdr:row>
      <xdr:rowOff>139199</xdr:rowOff>
    </xdr:from>
    <xdr:to>
      <xdr:col>81</xdr:col>
      <xdr:colOff>160202</xdr:colOff>
      <xdr:row>107</xdr:row>
      <xdr:rowOff>111751</xdr:rowOff>
    </xdr:to>
    <xdr:sp macro="" textlink="">
      <xdr:nvSpPr>
        <xdr:cNvPr id="248170" name="フリーフォーム: 図形 248169">
          <a:extLst>
            <a:ext uri="{FF2B5EF4-FFF2-40B4-BE49-F238E27FC236}">
              <a16:creationId xmlns:a16="http://schemas.microsoft.com/office/drawing/2014/main" id="{D40D3916-FF8C-437D-A389-9DB8BCDB8DD0}"/>
            </a:ext>
          </a:extLst>
        </xdr:cNvPr>
        <xdr:cNvSpPr>
          <a:spLocks noChangeAspect="1"/>
        </xdr:cNvSpPr>
      </xdr:nvSpPr>
      <xdr:spPr>
        <a:xfrm>
          <a:off x="55260001" y="185795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106</xdr:row>
      <xdr:rowOff>139199</xdr:rowOff>
    </xdr:from>
    <xdr:to>
      <xdr:col>81</xdr:col>
      <xdr:colOff>664202</xdr:colOff>
      <xdr:row>107</xdr:row>
      <xdr:rowOff>111751</xdr:rowOff>
    </xdr:to>
    <xdr:sp macro="" textlink="">
      <xdr:nvSpPr>
        <xdr:cNvPr id="248171" name="フリーフォーム: 図形 248170">
          <a:extLst>
            <a:ext uri="{FF2B5EF4-FFF2-40B4-BE49-F238E27FC236}">
              <a16:creationId xmlns:a16="http://schemas.microsoft.com/office/drawing/2014/main" id="{B99B5998-6683-4845-A4B6-EB12FABE2585}"/>
            </a:ext>
          </a:extLst>
        </xdr:cNvPr>
        <xdr:cNvSpPr>
          <a:spLocks noChangeAspect="1"/>
        </xdr:cNvSpPr>
      </xdr:nvSpPr>
      <xdr:spPr>
        <a:xfrm>
          <a:off x="55764001" y="185795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102</xdr:row>
      <xdr:rowOff>51000</xdr:rowOff>
    </xdr:from>
    <xdr:to>
      <xdr:col>81</xdr:col>
      <xdr:colOff>178204</xdr:colOff>
      <xdr:row>107</xdr:row>
      <xdr:rowOff>3751</xdr:rowOff>
    </xdr:to>
    <xdr:sp macro="" textlink="">
      <xdr:nvSpPr>
        <xdr:cNvPr id="248172" name="フリーフォーム: 図形 248171">
          <a:extLst>
            <a:ext uri="{FF2B5EF4-FFF2-40B4-BE49-F238E27FC236}">
              <a16:creationId xmlns:a16="http://schemas.microsoft.com/office/drawing/2014/main" id="{D6442ED6-6EA8-474B-B7DF-473B3DDF216A}"/>
            </a:ext>
          </a:extLst>
        </xdr:cNvPr>
        <xdr:cNvSpPr>
          <a:spLocks noChangeAspect="1"/>
        </xdr:cNvSpPr>
      </xdr:nvSpPr>
      <xdr:spPr>
        <a:xfrm>
          <a:off x="55457998" y="178056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101</xdr:row>
      <xdr:rowOff>114450</xdr:rowOff>
    </xdr:from>
    <xdr:to>
      <xdr:col>81</xdr:col>
      <xdr:colOff>430201</xdr:colOff>
      <xdr:row>106</xdr:row>
      <xdr:rowOff>157201</xdr:rowOff>
    </xdr:to>
    <xdr:sp macro="" textlink="">
      <xdr:nvSpPr>
        <xdr:cNvPr id="248173" name="フリーフォーム: 図形 248172">
          <a:extLst>
            <a:ext uri="{FF2B5EF4-FFF2-40B4-BE49-F238E27FC236}">
              <a16:creationId xmlns:a16="http://schemas.microsoft.com/office/drawing/2014/main" id="{4C9BA3BD-9795-4C81-BEFA-66070932FC00}"/>
            </a:ext>
          </a:extLst>
        </xdr:cNvPr>
        <xdr:cNvSpPr>
          <a:spLocks noChangeAspect="1"/>
        </xdr:cNvSpPr>
      </xdr:nvSpPr>
      <xdr:spPr>
        <a:xfrm>
          <a:off x="55728003" y="176976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102</xdr:row>
      <xdr:rowOff>69000</xdr:rowOff>
    </xdr:from>
    <xdr:to>
      <xdr:col>82</xdr:col>
      <xdr:colOff>68400</xdr:colOff>
      <xdr:row>107</xdr:row>
      <xdr:rowOff>3751</xdr:rowOff>
    </xdr:to>
    <xdr:sp macro="" textlink="">
      <xdr:nvSpPr>
        <xdr:cNvPr id="248174" name="フリーフォーム: 図形 248173">
          <a:extLst>
            <a:ext uri="{FF2B5EF4-FFF2-40B4-BE49-F238E27FC236}">
              <a16:creationId xmlns:a16="http://schemas.microsoft.com/office/drawing/2014/main" id="{EA37A629-B3A8-4D71-9F77-F13E4F0211C8}"/>
            </a:ext>
          </a:extLst>
        </xdr:cNvPr>
        <xdr:cNvSpPr>
          <a:spLocks noChangeAspect="1"/>
        </xdr:cNvSpPr>
      </xdr:nvSpPr>
      <xdr:spPr>
        <a:xfrm>
          <a:off x="55782003" y="178236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107</xdr:row>
      <xdr:rowOff>75750</xdr:rowOff>
    </xdr:from>
    <xdr:to>
      <xdr:col>81</xdr:col>
      <xdr:colOff>466199</xdr:colOff>
      <xdr:row>111</xdr:row>
      <xdr:rowOff>163951</xdr:rowOff>
    </xdr:to>
    <xdr:sp macro="" textlink="">
      <xdr:nvSpPr>
        <xdr:cNvPr id="248175" name="フリーフォーム: 図形 248174">
          <a:extLst>
            <a:ext uri="{FF2B5EF4-FFF2-40B4-BE49-F238E27FC236}">
              <a16:creationId xmlns:a16="http://schemas.microsoft.com/office/drawing/2014/main" id="{A2380481-AC45-4D18-B387-0665BD9F68F7}"/>
            </a:ext>
          </a:extLst>
        </xdr:cNvPr>
        <xdr:cNvSpPr>
          <a:spLocks noChangeAspect="1"/>
        </xdr:cNvSpPr>
      </xdr:nvSpPr>
      <xdr:spPr>
        <a:xfrm>
          <a:off x="55745999" y="186876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107</xdr:row>
      <xdr:rowOff>93749</xdr:rowOff>
    </xdr:from>
    <xdr:to>
      <xdr:col>81</xdr:col>
      <xdr:colOff>196200</xdr:colOff>
      <xdr:row>112</xdr:row>
      <xdr:rowOff>118501</xdr:rowOff>
    </xdr:to>
    <xdr:sp macro="" textlink="">
      <xdr:nvSpPr>
        <xdr:cNvPr id="248176" name="フリーフォーム: 図形 248175">
          <a:extLst>
            <a:ext uri="{FF2B5EF4-FFF2-40B4-BE49-F238E27FC236}">
              <a16:creationId xmlns:a16="http://schemas.microsoft.com/office/drawing/2014/main" id="{43625044-89AC-41DF-B63B-B18DB5F05C7E}"/>
            </a:ext>
          </a:extLst>
        </xdr:cNvPr>
        <xdr:cNvSpPr>
          <a:spLocks noChangeAspect="1"/>
        </xdr:cNvSpPr>
      </xdr:nvSpPr>
      <xdr:spPr>
        <a:xfrm>
          <a:off x="55511998" y="187055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107</xdr:row>
      <xdr:rowOff>75750</xdr:rowOff>
    </xdr:from>
    <xdr:to>
      <xdr:col>81</xdr:col>
      <xdr:colOff>160202</xdr:colOff>
      <xdr:row>112</xdr:row>
      <xdr:rowOff>10501</xdr:rowOff>
    </xdr:to>
    <xdr:sp macro="" textlink="">
      <xdr:nvSpPr>
        <xdr:cNvPr id="248177" name="フリーフォーム: 図形 248176">
          <a:extLst>
            <a:ext uri="{FF2B5EF4-FFF2-40B4-BE49-F238E27FC236}">
              <a16:creationId xmlns:a16="http://schemas.microsoft.com/office/drawing/2014/main" id="{90AE4188-03D6-4576-9F09-4240792CD0E3}"/>
            </a:ext>
          </a:extLst>
        </xdr:cNvPr>
        <xdr:cNvSpPr>
          <a:spLocks noChangeAspect="1"/>
        </xdr:cNvSpPr>
      </xdr:nvSpPr>
      <xdr:spPr>
        <a:xfrm>
          <a:off x="55187999" y="186876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101</xdr:row>
      <xdr:rowOff>42450</xdr:rowOff>
    </xdr:from>
    <xdr:to>
      <xdr:col>84</xdr:col>
      <xdr:colOff>93601</xdr:colOff>
      <xdr:row>102</xdr:row>
      <xdr:rowOff>15002</xdr:rowOff>
    </xdr:to>
    <xdr:sp macro="" textlink="">
      <xdr:nvSpPr>
        <xdr:cNvPr id="248178" name="フリーフォーム: 図形 248177">
          <a:extLst>
            <a:ext uri="{FF2B5EF4-FFF2-40B4-BE49-F238E27FC236}">
              <a16:creationId xmlns:a16="http://schemas.microsoft.com/office/drawing/2014/main" id="{0FC1A359-EBCB-45A8-A956-478B8467E2C5}"/>
            </a:ext>
          </a:extLst>
        </xdr:cNvPr>
        <xdr:cNvSpPr>
          <a:spLocks noChangeAspect="1"/>
        </xdr:cNvSpPr>
      </xdr:nvSpPr>
      <xdr:spPr>
        <a:xfrm>
          <a:off x="57232798" y="176256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101</xdr:row>
      <xdr:rowOff>42450</xdr:rowOff>
    </xdr:from>
    <xdr:to>
      <xdr:col>84</xdr:col>
      <xdr:colOff>633600</xdr:colOff>
      <xdr:row>102</xdr:row>
      <xdr:rowOff>15002</xdr:rowOff>
    </xdr:to>
    <xdr:sp macro="" textlink="">
      <xdr:nvSpPr>
        <xdr:cNvPr id="248179" name="フリーフォーム: 図形 248178">
          <a:extLst>
            <a:ext uri="{FF2B5EF4-FFF2-40B4-BE49-F238E27FC236}">
              <a16:creationId xmlns:a16="http://schemas.microsoft.com/office/drawing/2014/main" id="{0839538D-5143-4B18-AE7A-0CF11084196A}"/>
            </a:ext>
          </a:extLst>
        </xdr:cNvPr>
        <xdr:cNvSpPr>
          <a:spLocks noChangeAspect="1"/>
        </xdr:cNvSpPr>
      </xdr:nvSpPr>
      <xdr:spPr>
        <a:xfrm>
          <a:off x="57772802" y="176256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101</xdr:row>
      <xdr:rowOff>114450</xdr:rowOff>
    </xdr:from>
    <xdr:to>
      <xdr:col>85</xdr:col>
      <xdr:colOff>19801</xdr:colOff>
      <xdr:row>107</xdr:row>
      <xdr:rowOff>21752</xdr:rowOff>
    </xdr:to>
    <xdr:sp macro="" textlink="">
      <xdr:nvSpPr>
        <xdr:cNvPr id="248180" name="フリーフォーム: 図形 248179">
          <a:extLst>
            <a:ext uri="{FF2B5EF4-FFF2-40B4-BE49-F238E27FC236}">
              <a16:creationId xmlns:a16="http://schemas.microsoft.com/office/drawing/2014/main" id="{2756C832-B7BC-40E2-8171-64A614CF1A3D}"/>
            </a:ext>
          </a:extLst>
        </xdr:cNvPr>
        <xdr:cNvSpPr>
          <a:spLocks noChangeAspect="1"/>
        </xdr:cNvSpPr>
      </xdr:nvSpPr>
      <xdr:spPr>
        <a:xfrm>
          <a:off x="58024799" y="176976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107</xdr:row>
      <xdr:rowOff>75750</xdr:rowOff>
    </xdr:from>
    <xdr:to>
      <xdr:col>84</xdr:col>
      <xdr:colOff>525600</xdr:colOff>
      <xdr:row>112</xdr:row>
      <xdr:rowOff>136501</xdr:rowOff>
    </xdr:to>
    <xdr:sp macro="" textlink="">
      <xdr:nvSpPr>
        <xdr:cNvPr id="248181" name="フリーフォーム: 図形 248180">
          <a:extLst>
            <a:ext uri="{FF2B5EF4-FFF2-40B4-BE49-F238E27FC236}">
              <a16:creationId xmlns:a16="http://schemas.microsoft.com/office/drawing/2014/main" id="{24065093-4DD8-4DF4-833A-C6C1DB91BBF9}"/>
            </a:ext>
          </a:extLst>
        </xdr:cNvPr>
        <xdr:cNvSpPr>
          <a:spLocks noChangeAspect="1"/>
        </xdr:cNvSpPr>
      </xdr:nvSpPr>
      <xdr:spPr>
        <a:xfrm>
          <a:off x="57844798" y="186876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112</xdr:row>
      <xdr:rowOff>64500</xdr:rowOff>
    </xdr:from>
    <xdr:to>
      <xdr:col>83</xdr:col>
      <xdr:colOff>455403</xdr:colOff>
      <xdr:row>113</xdr:row>
      <xdr:rowOff>37051</xdr:rowOff>
    </xdr:to>
    <xdr:sp macro="" textlink="">
      <xdr:nvSpPr>
        <xdr:cNvPr id="248182" name="フリーフォーム: 図形 248181">
          <a:extLst>
            <a:ext uri="{FF2B5EF4-FFF2-40B4-BE49-F238E27FC236}">
              <a16:creationId xmlns:a16="http://schemas.microsoft.com/office/drawing/2014/main" id="{DC0AE801-C315-46E8-B4B4-10F6AA8F5C9A}"/>
            </a:ext>
          </a:extLst>
        </xdr:cNvPr>
        <xdr:cNvSpPr>
          <a:spLocks noChangeAspect="1"/>
        </xdr:cNvSpPr>
      </xdr:nvSpPr>
      <xdr:spPr>
        <a:xfrm>
          <a:off x="56890797" y="195336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112</xdr:row>
      <xdr:rowOff>64500</xdr:rowOff>
    </xdr:from>
    <xdr:to>
      <xdr:col>84</xdr:col>
      <xdr:colOff>273603</xdr:colOff>
      <xdr:row>113</xdr:row>
      <xdr:rowOff>37051</xdr:rowOff>
    </xdr:to>
    <xdr:sp macro="" textlink="">
      <xdr:nvSpPr>
        <xdr:cNvPr id="248183" name="フリーフォーム: 図形 248182">
          <a:extLst>
            <a:ext uri="{FF2B5EF4-FFF2-40B4-BE49-F238E27FC236}">
              <a16:creationId xmlns:a16="http://schemas.microsoft.com/office/drawing/2014/main" id="{FA8D9461-791E-48B5-8DF9-46CAB0D5B6B9}"/>
            </a:ext>
          </a:extLst>
        </xdr:cNvPr>
        <xdr:cNvSpPr>
          <a:spLocks noChangeAspect="1"/>
        </xdr:cNvSpPr>
      </xdr:nvSpPr>
      <xdr:spPr>
        <a:xfrm>
          <a:off x="57412799" y="195336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107</xdr:row>
      <xdr:rowOff>75750</xdr:rowOff>
    </xdr:from>
    <xdr:to>
      <xdr:col>83</xdr:col>
      <xdr:colOff>203399</xdr:colOff>
      <xdr:row>112</xdr:row>
      <xdr:rowOff>136501</xdr:rowOff>
    </xdr:to>
    <xdr:sp macro="" textlink="">
      <xdr:nvSpPr>
        <xdr:cNvPr id="248184" name="フリーフォーム: 図形 248183">
          <a:extLst>
            <a:ext uri="{FF2B5EF4-FFF2-40B4-BE49-F238E27FC236}">
              <a16:creationId xmlns:a16="http://schemas.microsoft.com/office/drawing/2014/main" id="{41794CC2-877C-456C-A653-17D6E23202DA}"/>
            </a:ext>
          </a:extLst>
        </xdr:cNvPr>
        <xdr:cNvSpPr>
          <a:spLocks noChangeAspect="1"/>
        </xdr:cNvSpPr>
      </xdr:nvSpPr>
      <xdr:spPr>
        <a:xfrm>
          <a:off x="56836797" y="186876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101</xdr:row>
      <xdr:rowOff>114450</xdr:rowOff>
    </xdr:from>
    <xdr:to>
      <xdr:col>83</xdr:col>
      <xdr:colOff>347403</xdr:colOff>
      <xdr:row>107</xdr:row>
      <xdr:rowOff>21752</xdr:rowOff>
    </xdr:to>
    <xdr:sp macro="" textlink="">
      <xdr:nvSpPr>
        <xdr:cNvPr id="248185" name="フリーフォーム: 図形 248184">
          <a:extLst>
            <a:ext uri="{FF2B5EF4-FFF2-40B4-BE49-F238E27FC236}">
              <a16:creationId xmlns:a16="http://schemas.microsoft.com/office/drawing/2014/main" id="{21D9B561-855D-47DE-80F6-3A6264DCDEEE}"/>
            </a:ext>
          </a:extLst>
        </xdr:cNvPr>
        <xdr:cNvSpPr>
          <a:spLocks noChangeAspect="1"/>
        </xdr:cNvSpPr>
      </xdr:nvSpPr>
      <xdr:spPr>
        <a:xfrm>
          <a:off x="57016799" y="176976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106</xdr:row>
      <xdr:rowOff>139199</xdr:rowOff>
    </xdr:from>
    <xdr:to>
      <xdr:col>83</xdr:col>
      <xdr:colOff>617402</xdr:colOff>
      <xdr:row>107</xdr:row>
      <xdr:rowOff>111751</xdr:rowOff>
    </xdr:to>
    <xdr:sp macro="" textlink="">
      <xdr:nvSpPr>
        <xdr:cNvPr id="248186" name="フリーフォーム: 図形 248185">
          <a:extLst>
            <a:ext uri="{FF2B5EF4-FFF2-40B4-BE49-F238E27FC236}">
              <a16:creationId xmlns:a16="http://schemas.microsoft.com/office/drawing/2014/main" id="{E415BECA-25AE-4BFB-9A06-998E316214F1}"/>
            </a:ext>
          </a:extLst>
        </xdr:cNvPr>
        <xdr:cNvSpPr>
          <a:spLocks noChangeAspect="1"/>
        </xdr:cNvSpPr>
      </xdr:nvSpPr>
      <xdr:spPr>
        <a:xfrm>
          <a:off x="57088801" y="185795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106</xdr:row>
      <xdr:rowOff>139199</xdr:rowOff>
    </xdr:from>
    <xdr:to>
      <xdr:col>84</xdr:col>
      <xdr:colOff>435602</xdr:colOff>
      <xdr:row>107</xdr:row>
      <xdr:rowOff>111751</xdr:rowOff>
    </xdr:to>
    <xdr:sp macro="" textlink="">
      <xdr:nvSpPr>
        <xdr:cNvPr id="248187" name="フリーフォーム: 図形 248186">
          <a:extLst>
            <a:ext uri="{FF2B5EF4-FFF2-40B4-BE49-F238E27FC236}">
              <a16:creationId xmlns:a16="http://schemas.microsoft.com/office/drawing/2014/main" id="{1AABD4C3-7B39-4395-9B7C-357C643FC29B}"/>
            </a:ext>
          </a:extLst>
        </xdr:cNvPr>
        <xdr:cNvSpPr>
          <a:spLocks noChangeAspect="1"/>
        </xdr:cNvSpPr>
      </xdr:nvSpPr>
      <xdr:spPr>
        <a:xfrm>
          <a:off x="57592801" y="185795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102</xdr:row>
      <xdr:rowOff>51000</xdr:rowOff>
    </xdr:from>
    <xdr:to>
      <xdr:col>83</xdr:col>
      <xdr:colOff>635404</xdr:colOff>
      <xdr:row>107</xdr:row>
      <xdr:rowOff>3751</xdr:rowOff>
    </xdr:to>
    <xdr:sp macro="" textlink="">
      <xdr:nvSpPr>
        <xdr:cNvPr id="248188" name="フリーフォーム: 図形 248187">
          <a:extLst>
            <a:ext uri="{FF2B5EF4-FFF2-40B4-BE49-F238E27FC236}">
              <a16:creationId xmlns:a16="http://schemas.microsoft.com/office/drawing/2014/main" id="{064EED57-63C5-4213-90B3-CC62A7F7E0E7}"/>
            </a:ext>
          </a:extLst>
        </xdr:cNvPr>
        <xdr:cNvSpPr>
          <a:spLocks noChangeAspect="1"/>
        </xdr:cNvSpPr>
      </xdr:nvSpPr>
      <xdr:spPr>
        <a:xfrm>
          <a:off x="57286798" y="178056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101</xdr:row>
      <xdr:rowOff>114450</xdr:rowOff>
    </xdr:from>
    <xdr:to>
      <xdr:col>84</xdr:col>
      <xdr:colOff>201601</xdr:colOff>
      <xdr:row>106</xdr:row>
      <xdr:rowOff>157201</xdr:rowOff>
    </xdr:to>
    <xdr:sp macro="" textlink="">
      <xdr:nvSpPr>
        <xdr:cNvPr id="248189" name="フリーフォーム: 図形 248188">
          <a:extLst>
            <a:ext uri="{FF2B5EF4-FFF2-40B4-BE49-F238E27FC236}">
              <a16:creationId xmlns:a16="http://schemas.microsoft.com/office/drawing/2014/main" id="{741A4409-8ECB-475A-B9AF-78CA0A18637B}"/>
            </a:ext>
          </a:extLst>
        </xdr:cNvPr>
        <xdr:cNvSpPr>
          <a:spLocks noChangeAspect="1"/>
        </xdr:cNvSpPr>
      </xdr:nvSpPr>
      <xdr:spPr>
        <a:xfrm>
          <a:off x="57556803" y="176976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102</xdr:row>
      <xdr:rowOff>69000</xdr:rowOff>
    </xdr:from>
    <xdr:to>
      <xdr:col>84</xdr:col>
      <xdr:colOff>525600</xdr:colOff>
      <xdr:row>107</xdr:row>
      <xdr:rowOff>3751</xdr:rowOff>
    </xdr:to>
    <xdr:sp macro="" textlink="">
      <xdr:nvSpPr>
        <xdr:cNvPr id="248190" name="フリーフォーム: 図形 248189">
          <a:extLst>
            <a:ext uri="{FF2B5EF4-FFF2-40B4-BE49-F238E27FC236}">
              <a16:creationId xmlns:a16="http://schemas.microsoft.com/office/drawing/2014/main" id="{10837E32-A339-4FCB-9B7A-0A4F378A4063}"/>
            </a:ext>
          </a:extLst>
        </xdr:cNvPr>
        <xdr:cNvSpPr>
          <a:spLocks noChangeAspect="1"/>
        </xdr:cNvSpPr>
      </xdr:nvSpPr>
      <xdr:spPr>
        <a:xfrm>
          <a:off x="57610803" y="178236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107</xdr:row>
      <xdr:rowOff>75750</xdr:rowOff>
    </xdr:from>
    <xdr:to>
      <xdr:col>84</xdr:col>
      <xdr:colOff>237599</xdr:colOff>
      <xdr:row>111</xdr:row>
      <xdr:rowOff>163951</xdr:rowOff>
    </xdr:to>
    <xdr:sp macro="" textlink="">
      <xdr:nvSpPr>
        <xdr:cNvPr id="248191" name="フリーフォーム: 図形 248190">
          <a:extLst>
            <a:ext uri="{FF2B5EF4-FFF2-40B4-BE49-F238E27FC236}">
              <a16:creationId xmlns:a16="http://schemas.microsoft.com/office/drawing/2014/main" id="{494E8103-BC62-479F-B1D0-7C1DD793302A}"/>
            </a:ext>
          </a:extLst>
        </xdr:cNvPr>
        <xdr:cNvSpPr>
          <a:spLocks noChangeAspect="1"/>
        </xdr:cNvSpPr>
      </xdr:nvSpPr>
      <xdr:spPr>
        <a:xfrm>
          <a:off x="57574799" y="186876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107</xdr:row>
      <xdr:rowOff>93749</xdr:rowOff>
    </xdr:from>
    <xdr:to>
      <xdr:col>83</xdr:col>
      <xdr:colOff>653400</xdr:colOff>
      <xdr:row>112</xdr:row>
      <xdr:rowOff>118501</xdr:rowOff>
    </xdr:to>
    <xdr:sp macro="" textlink="">
      <xdr:nvSpPr>
        <xdr:cNvPr id="248192" name="フリーフォーム: 図形 248191">
          <a:extLst>
            <a:ext uri="{FF2B5EF4-FFF2-40B4-BE49-F238E27FC236}">
              <a16:creationId xmlns:a16="http://schemas.microsoft.com/office/drawing/2014/main" id="{362A0745-0503-4C2F-B0E3-37518795B699}"/>
            </a:ext>
          </a:extLst>
        </xdr:cNvPr>
        <xdr:cNvSpPr>
          <a:spLocks noChangeAspect="1"/>
        </xdr:cNvSpPr>
      </xdr:nvSpPr>
      <xdr:spPr>
        <a:xfrm>
          <a:off x="57340798" y="187055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107</xdr:row>
      <xdr:rowOff>75750</xdr:rowOff>
    </xdr:from>
    <xdr:to>
      <xdr:col>83</xdr:col>
      <xdr:colOff>617402</xdr:colOff>
      <xdr:row>112</xdr:row>
      <xdr:rowOff>10501</xdr:rowOff>
    </xdr:to>
    <xdr:sp macro="" textlink="">
      <xdr:nvSpPr>
        <xdr:cNvPr id="248193" name="フリーフォーム: 図形 248192">
          <a:extLst>
            <a:ext uri="{FF2B5EF4-FFF2-40B4-BE49-F238E27FC236}">
              <a16:creationId xmlns:a16="http://schemas.microsoft.com/office/drawing/2014/main" id="{D0E0D384-ADC6-4D80-8784-D4BDE7CD95BC}"/>
            </a:ext>
          </a:extLst>
        </xdr:cNvPr>
        <xdr:cNvSpPr>
          <a:spLocks noChangeAspect="1"/>
        </xdr:cNvSpPr>
      </xdr:nvSpPr>
      <xdr:spPr>
        <a:xfrm>
          <a:off x="57016799" y="186876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540000</xdr:colOff>
      <xdr:row>117</xdr:row>
      <xdr:rowOff>42450</xdr:rowOff>
    </xdr:from>
    <xdr:to>
      <xdr:col>1</xdr:col>
      <xdr:colOff>322201</xdr:colOff>
      <xdr:row>118</xdr:row>
      <xdr:rowOff>15002</xdr:rowOff>
    </xdr:to>
    <xdr:sp macro="" textlink="">
      <xdr:nvSpPr>
        <xdr:cNvPr id="248194" name="フリーフォーム: 図形 248193">
          <a:extLst>
            <a:ext uri="{FF2B5EF4-FFF2-40B4-BE49-F238E27FC236}">
              <a16:creationId xmlns:a16="http://schemas.microsoft.com/office/drawing/2014/main" id="{97E614B1-3FD9-4688-8ABB-A7D921330E5C}"/>
            </a:ext>
          </a:extLst>
        </xdr:cNvPr>
        <xdr:cNvSpPr>
          <a:spLocks noChangeAspect="1"/>
        </xdr:cNvSpPr>
      </xdr:nvSpPr>
      <xdr:spPr>
        <a:xfrm>
          <a:off x="5400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394200</xdr:colOff>
      <xdr:row>117</xdr:row>
      <xdr:rowOff>42450</xdr:rowOff>
    </xdr:from>
    <xdr:to>
      <xdr:col>2</xdr:col>
      <xdr:colOff>176401</xdr:colOff>
      <xdr:row>118</xdr:row>
      <xdr:rowOff>15002</xdr:rowOff>
    </xdr:to>
    <xdr:sp macro="" textlink="">
      <xdr:nvSpPr>
        <xdr:cNvPr id="248195" name="フリーフォーム: 図形 248194">
          <a:extLst>
            <a:ext uri="{FF2B5EF4-FFF2-40B4-BE49-F238E27FC236}">
              <a16:creationId xmlns:a16="http://schemas.microsoft.com/office/drawing/2014/main" id="{AAB708CA-3F4B-4C05-9D95-2FB73BEB8B62}"/>
            </a:ext>
          </a:extLst>
        </xdr:cNvPr>
        <xdr:cNvSpPr>
          <a:spLocks noChangeAspect="1"/>
        </xdr:cNvSpPr>
      </xdr:nvSpPr>
      <xdr:spPr>
        <a:xfrm>
          <a:off x="10800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646200</xdr:colOff>
      <xdr:row>117</xdr:row>
      <xdr:rowOff>114450</xdr:rowOff>
    </xdr:from>
    <xdr:to>
      <xdr:col>2</xdr:col>
      <xdr:colOff>248401</xdr:colOff>
      <xdr:row>123</xdr:row>
      <xdr:rowOff>21752</xdr:rowOff>
    </xdr:to>
    <xdr:sp macro="" textlink="">
      <xdr:nvSpPr>
        <xdr:cNvPr id="248196" name="フリーフォーム: 図形 248195">
          <a:extLst>
            <a:ext uri="{FF2B5EF4-FFF2-40B4-BE49-F238E27FC236}">
              <a16:creationId xmlns:a16="http://schemas.microsoft.com/office/drawing/2014/main" id="{D098AFA0-0370-4CAB-9748-D68B9C847B92}"/>
            </a:ext>
          </a:extLst>
        </xdr:cNvPr>
        <xdr:cNvSpPr>
          <a:spLocks noChangeAspect="1"/>
        </xdr:cNvSpPr>
      </xdr:nvSpPr>
      <xdr:spPr>
        <a:xfrm>
          <a:off x="13320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466200</xdr:colOff>
      <xdr:row>123</xdr:row>
      <xdr:rowOff>75750</xdr:rowOff>
    </xdr:from>
    <xdr:to>
      <xdr:col>2</xdr:col>
      <xdr:colOff>68401</xdr:colOff>
      <xdr:row>128</xdr:row>
      <xdr:rowOff>136501</xdr:rowOff>
    </xdr:to>
    <xdr:sp macro="" textlink="">
      <xdr:nvSpPr>
        <xdr:cNvPr id="248197" name="フリーフォーム: 図形 248196">
          <a:extLst>
            <a:ext uri="{FF2B5EF4-FFF2-40B4-BE49-F238E27FC236}">
              <a16:creationId xmlns:a16="http://schemas.microsoft.com/office/drawing/2014/main" id="{EC0B1250-98A2-4806-AE0D-1A4FA4723D6F}"/>
            </a:ext>
          </a:extLst>
        </xdr:cNvPr>
        <xdr:cNvSpPr>
          <a:spLocks noChangeAspect="1"/>
        </xdr:cNvSpPr>
      </xdr:nvSpPr>
      <xdr:spPr>
        <a:xfrm>
          <a:off x="11520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198000</xdr:colOff>
      <xdr:row>128</xdr:row>
      <xdr:rowOff>64500</xdr:rowOff>
    </xdr:from>
    <xdr:to>
      <xdr:col>0</xdr:col>
      <xdr:colOff>684001</xdr:colOff>
      <xdr:row>129</xdr:row>
      <xdr:rowOff>37051</xdr:rowOff>
    </xdr:to>
    <xdr:sp macro="" textlink="">
      <xdr:nvSpPr>
        <xdr:cNvPr id="248198" name="フリーフォーム: 図形 248197">
          <a:extLst>
            <a:ext uri="{FF2B5EF4-FFF2-40B4-BE49-F238E27FC236}">
              <a16:creationId xmlns:a16="http://schemas.microsoft.com/office/drawing/2014/main" id="{904AF0A5-BC0F-440A-BCE5-3AA6D1B6CECE}"/>
            </a:ext>
          </a:extLst>
        </xdr:cNvPr>
        <xdr:cNvSpPr>
          <a:spLocks noChangeAspect="1"/>
        </xdr:cNvSpPr>
      </xdr:nvSpPr>
      <xdr:spPr>
        <a:xfrm>
          <a:off x="1980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34200</xdr:colOff>
      <xdr:row>128</xdr:row>
      <xdr:rowOff>64500</xdr:rowOff>
    </xdr:from>
    <xdr:to>
      <xdr:col>1</xdr:col>
      <xdr:colOff>502201</xdr:colOff>
      <xdr:row>129</xdr:row>
      <xdr:rowOff>37051</xdr:rowOff>
    </xdr:to>
    <xdr:sp macro="" textlink="">
      <xdr:nvSpPr>
        <xdr:cNvPr id="248199" name="フリーフォーム: 図形 248198">
          <a:extLst>
            <a:ext uri="{FF2B5EF4-FFF2-40B4-BE49-F238E27FC236}">
              <a16:creationId xmlns:a16="http://schemas.microsoft.com/office/drawing/2014/main" id="{55D6D13E-BB17-4989-921E-E83A428C89F6}"/>
            </a:ext>
          </a:extLst>
        </xdr:cNvPr>
        <xdr:cNvSpPr>
          <a:spLocks noChangeAspect="1"/>
        </xdr:cNvSpPr>
      </xdr:nvSpPr>
      <xdr:spPr>
        <a:xfrm>
          <a:off x="7200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144000</xdr:colOff>
      <xdr:row>123</xdr:row>
      <xdr:rowOff>75750</xdr:rowOff>
    </xdr:from>
    <xdr:to>
      <xdr:col>0</xdr:col>
      <xdr:colOff>432001</xdr:colOff>
      <xdr:row>128</xdr:row>
      <xdr:rowOff>136501</xdr:rowOff>
    </xdr:to>
    <xdr:sp macro="" textlink="">
      <xdr:nvSpPr>
        <xdr:cNvPr id="248200" name="フリーフォーム: 図形 248199">
          <a:extLst>
            <a:ext uri="{FF2B5EF4-FFF2-40B4-BE49-F238E27FC236}">
              <a16:creationId xmlns:a16="http://schemas.microsoft.com/office/drawing/2014/main" id="{7939C3B5-CD77-410A-AFD8-C86D0609C5BA}"/>
            </a:ext>
          </a:extLst>
        </xdr:cNvPr>
        <xdr:cNvSpPr>
          <a:spLocks noChangeAspect="1"/>
        </xdr:cNvSpPr>
      </xdr:nvSpPr>
      <xdr:spPr>
        <a:xfrm>
          <a:off x="1440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117</xdr:row>
      <xdr:rowOff>114450</xdr:rowOff>
    </xdr:from>
    <xdr:to>
      <xdr:col>0</xdr:col>
      <xdr:colOff>576001</xdr:colOff>
      <xdr:row>123</xdr:row>
      <xdr:rowOff>21752</xdr:rowOff>
    </xdr:to>
    <xdr:sp macro="" textlink="">
      <xdr:nvSpPr>
        <xdr:cNvPr id="248201" name="フリーフォーム: 図形 248200">
          <a:extLst>
            <a:ext uri="{FF2B5EF4-FFF2-40B4-BE49-F238E27FC236}">
              <a16:creationId xmlns:a16="http://schemas.microsoft.com/office/drawing/2014/main" id="{4F569D6A-361B-42CC-AE1D-0C53117BB72F}"/>
            </a:ext>
          </a:extLst>
        </xdr:cNvPr>
        <xdr:cNvSpPr>
          <a:spLocks noChangeAspect="1"/>
        </xdr:cNvSpPr>
      </xdr:nvSpPr>
      <xdr:spPr>
        <a:xfrm>
          <a:off x="3240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396000</xdr:colOff>
      <xdr:row>122</xdr:row>
      <xdr:rowOff>139199</xdr:rowOff>
    </xdr:from>
    <xdr:to>
      <xdr:col>1</xdr:col>
      <xdr:colOff>160201</xdr:colOff>
      <xdr:row>123</xdr:row>
      <xdr:rowOff>111751</xdr:rowOff>
    </xdr:to>
    <xdr:sp macro="" textlink="">
      <xdr:nvSpPr>
        <xdr:cNvPr id="248202" name="フリーフォーム: 図形 248201">
          <a:extLst>
            <a:ext uri="{FF2B5EF4-FFF2-40B4-BE49-F238E27FC236}">
              <a16:creationId xmlns:a16="http://schemas.microsoft.com/office/drawing/2014/main" id="{0C88494C-93AD-4BCA-9536-458B6B9E72D6}"/>
            </a:ext>
          </a:extLst>
        </xdr:cNvPr>
        <xdr:cNvSpPr>
          <a:spLocks noChangeAspect="1"/>
        </xdr:cNvSpPr>
      </xdr:nvSpPr>
      <xdr:spPr>
        <a:xfrm>
          <a:off x="3960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214200</xdr:colOff>
      <xdr:row>122</xdr:row>
      <xdr:rowOff>139199</xdr:rowOff>
    </xdr:from>
    <xdr:to>
      <xdr:col>1</xdr:col>
      <xdr:colOff>664201</xdr:colOff>
      <xdr:row>123</xdr:row>
      <xdr:rowOff>111751</xdr:rowOff>
    </xdr:to>
    <xdr:sp macro="" textlink="">
      <xdr:nvSpPr>
        <xdr:cNvPr id="248203" name="フリーフォーム: 図形 248202">
          <a:extLst>
            <a:ext uri="{FF2B5EF4-FFF2-40B4-BE49-F238E27FC236}">
              <a16:creationId xmlns:a16="http://schemas.microsoft.com/office/drawing/2014/main" id="{56A231FB-194F-44C2-A801-AEEA18D131BC}"/>
            </a:ext>
          </a:extLst>
        </xdr:cNvPr>
        <xdr:cNvSpPr>
          <a:spLocks noChangeAspect="1"/>
        </xdr:cNvSpPr>
      </xdr:nvSpPr>
      <xdr:spPr>
        <a:xfrm>
          <a:off x="9000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594000</xdr:colOff>
      <xdr:row>118</xdr:row>
      <xdr:rowOff>51000</xdr:rowOff>
    </xdr:from>
    <xdr:to>
      <xdr:col>1</xdr:col>
      <xdr:colOff>178201</xdr:colOff>
      <xdr:row>123</xdr:row>
      <xdr:rowOff>3751</xdr:rowOff>
    </xdr:to>
    <xdr:sp macro="" textlink="">
      <xdr:nvSpPr>
        <xdr:cNvPr id="248204" name="フリーフォーム: 図形 248203">
          <a:extLst>
            <a:ext uri="{FF2B5EF4-FFF2-40B4-BE49-F238E27FC236}">
              <a16:creationId xmlns:a16="http://schemas.microsoft.com/office/drawing/2014/main" id="{3C58D47D-1B67-41D4-B4C3-1C88AAEB04FF}"/>
            </a:ext>
          </a:extLst>
        </xdr:cNvPr>
        <xdr:cNvSpPr>
          <a:spLocks noChangeAspect="1"/>
        </xdr:cNvSpPr>
      </xdr:nvSpPr>
      <xdr:spPr>
        <a:xfrm>
          <a:off x="5940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178200</xdr:colOff>
      <xdr:row>117</xdr:row>
      <xdr:rowOff>114450</xdr:rowOff>
    </xdr:from>
    <xdr:to>
      <xdr:col>1</xdr:col>
      <xdr:colOff>430201</xdr:colOff>
      <xdr:row>122</xdr:row>
      <xdr:rowOff>157201</xdr:rowOff>
    </xdr:to>
    <xdr:sp macro="" textlink="">
      <xdr:nvSpPr>
        <xdr:cNvPr id="248205" name="フリーフォーム: 図形 248204">
          <a:extLst>
            <a:ext uri="{FF2B5EF4-FFF2-40B4-BE49-F238E27FC236}">
              <a16:creationId xmlns:a16="http://schemas.microsoft.com/office/drawing/2014/main" id="{A3EA86D3-07F2-47BF-BE66-54C9B582BF41}"/>
            </a:ext>
          </a:extLst>
        </xdr:cNvPr>
        <xdr:cNvSpPr>
          <a:spLocks noChangeAspect="1"/>
        </xdr:cNvSpPr>
      </xdr:nvSpPr>
      <xdr:spPr>
        <a:xfrm>
          <a:off x="8640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232200</xdr:colOff>
      <xdr:row>118</xdr:row>
      <xdr:rowOff>69000</xdr:rowOff>
    </xdr:from>
    <xdr:to>
      <xdr:col>2</xdr:col>
      <xdr:colOff>68401</xdr:colOff>
      <xdr:row>123</xdr:row>
      <xdr:rowOff>3751</xdr:rowOff>
    </xdr:to>
    <xdr:sp macro="" textlink="">
      <xdr:nvSpPr>
        <xdr:cNvPr id="248206" name="フリーフォーム: 図形 248205">
          <a:extLst>
            <a:ext uri="{FF2B5EF4-FFF2-40B4-BE49-F238E27FC236}">
              <a16:creationId xmlns:a16="http://schemas.microsoft.com/office/drawing/2014/main" id="{54BC42B7-654E-421B-A012-88059F087211}"/>
            </a:ext>
          </a:extLst>
        </xdr:cNvPr>
        <xdr:cNvSpPr>
          <a:spLocks noChangeAspect="1"/>
        </xdr:cNvSpPr>
      </xdr:nvSpPr>
      <xdr:spPr>
        <a:xfrm>
          <a:off x="9180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xdr:col>
      <xdr:colOff>196200</xdr:colOff>
      <xdr:row>123</xdr:row>
      <xdr:rowOff>75750</xdr:rowOff>
    </xdr:from>
    <xdr:to>
      <xdr:col>1</xdr:col>
      <xdr:colOff>466201</xdr:colOff>
      <xdr:row>127</xdr:row>
      <xdr:rowOff>163951</xdr:rowOff>
    </xdr:to>
    <xdr:sp macro="" textlink="">
      <xdr:nvSpPr>
        <xdr:cNvPr id="248207" name="フリーフォーム: 図形 248206">
          <a:extLst>
            <a:ext uri="{FF2B5EF4-FFF2-40B4-BE49-F238E27FC236}">
              <a16:creationId xmlns:a16="http://schemas.microsoft.com/office/drawing/2014/main" id="{EA3D1207-3168-403B-ADAC-D5DFB11E7F76}"/>
            </a:ext>
          </a:extLst>
        </xdr:cNvPr>
        <xdr:cNvSpPr>
          <a:spLocks noChangeAspect="1"/>
        </xdr:cNvSpPr>
      </xdr:nvSpPr>
      <xdr:spPr>
        <a:xfrm>
          <a:off x="8820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648000</xdr:colOff>
      <xdr:row>123</xdr:row>
      <xdr:rowOff>93749</xdr:rowOff>
    </xdr:from>
    <xdr:to>
      <xdr:col>1</xdr:col>
      <xdr:colOff>196201</xdr:colOff>
      <xdr:row>128</xdr:row>
      <xdr:rowOff>118501</xdr:rowOff>
    </xdr:to>
    <xdr:sp macro="" textlink="">
      <xdr:nvSpPr>
        <xdr:cNvPr id="248208" name="フリーフォーム: 図形 248207">
          <a:extLst>
            <a:ext uri="{FF2B5EF4-FFF2-40B4-BE49-F238E27FC236}">
              <a16:creationId xmlns:a16="http://schemas.microsoft.com/office/drawing/2014/main" id="{3D11EFEC-687D-4067-AC5E-AEAE2294927B}"/>
            </a:ext>
          </a:extLst>
        </xdr:cNvPr>
        <xdr:cNvSpPr>
          <a:spLocks noChangeAspect="1"/>
        </xdr:cNvSpPr>
      </xdr:nvSpPr>
      <xdr:spPr>
        <a:xfrm>
          <a:off x="6480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0</xdr:col>
      <xdr:colOff>324000</xdr:colOff>
      <xdr:row>123</xdr:row>
      <xdr:rowOff>75750</xdr:rowOff>
    </xdr:from>
    <xdr:to>
      <xdr:col>1</xdr:col>
      <xdr:colOff>160201</xdr:colOff>
      <xdr:row>128</xdr:row>
      <xdr:rowOff>10501</xdr:rowOff>
    </xdr:to>
    <xdr:sp macro="" textlink="">
      <xdr:nvSpPr>
        <xdr:cNvPr id="248209" name="フリーフォーム: 図形 248208">
          <a:extLst>
            <a:ext uri="{FF2B5EF4-FFF2-40B4-BE49-F238E27FC236}">
              <a16:creationId xmlns:a16="http://schemas.microsoft.com/office/drawing/2014/main" id="{178862F0-94A8-4CA8-9616-A1AC89569C7D}"/>
            </a:ext>
          </a:extLst>
        </xdr:cNvPr>
        <xdr:cNvSpPr>
          <a:spLocks noChangeAspect="1"/>
        </xdr:cNvSpPr>
      </xdr:nvSpPr>
      <xdr:spPr>
        <a:xfrm>
          <a:off x="3240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311400</xdr:colOff>
      <xdr:row>117</xdr:row>
      <xdr:rowOff>42450</xdr:rowOff>
    </xdr:from>
    <xdr:to>
      <xdr:col>4</xdr:col>
      <xdr:colOff>93601</xdr:colOff>
      <xdr:row>118</xdr:row>
      <xdr:rowOff>15002</xdr:rowOff>
    </xdr:to>
    <xdr:sp macro="" textlink="">
      <xdr:nvSpPr>
        <xdr:cNvPr id="248210" name="フリーフォーム: 図形 248209">
          <a:extLst>
            <a:ext uri="{FF2B5EF4-FFF2-40B4-BE49-F238E27FC236}">
              <a16:creationId xmlns:a16="http://schemas.microsoft.com/office/drawing/2014/main" id="{BD464C09-B764-46F2-9471-0D9CD7C4E4E0}"/>
            </a:ext>
          </a:extLst>
        </xdr:cNvPr>
        <xdr:cNvSpPr>
          <a:spLocks noChangeAspect="1"/>
        </xdr:cNvSpPr>
      </xdr:nvSpPr>
      <xdr:spPr>
        <a:xfrm>
          <a:off x="23688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165600</xdr:colOff>
      <xdr:row>117</xdr:row>
      <xdr:rowOff>42450</xdr:rowOff>
    </xdr:from>
    <xdr:to>
      <xdr:col>4</xdr:col>
      <xdr:colOff>633601</xdr:colOff>
      <xdr:row>118</xdr:row>
      <xdr:rowOff>15002</xdr:rowOff>
    </xdr:to>
    <xdr:sp macro="" textlink="">
      <xdr:nvSpPr>
        <xdr:cNvPr id="248211" name="フリーフォーム: 図形 248210">
          <a:extLst>
            <a:ext uri="{FF2B5EF4-FFF2-40B4-BE49-F238E27FC236}">
              <a16:creationId xmlns:a16="http://schemas.microsoft.com/office/drawing/2014/main" id="{BDFFB867-6A63-49EF-BD0A-5380115CD0DA}"/>
            </a:ext>
          </a:extLst>
        </xdr:cNvPr>
        <xdr:cNvSpPr>
          <a:spLocks noChangeAspect="1"/>
        </xdr:cNvSpPr>
      </xdr:nvSpPr>
      <xdr:spPr>
        <a:xfrm>
          <a:off x="29088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417600</xdr:colOff>
      <xdr:row>117</xdr:row>
      <xdr:rowOff>114450</xdr:rowOff>
    </xdr:from>
    <xdr:to>
      <xdr:col>5</xdr:col>
      <xdr:colOff>19801</xdr:colOff>
      <xdr:row>123</xdr:row>
      <xdr:rowOff>21752</xdr:rowOff>
    </xdr:to>
    <xdr:sp macro="" textlink="">
      <xdr:nvSpPr>
        <xdr:cNvPr id="248212" name="フリーフォーム: 図形 248211">
          <a:extLst>
            <a:ext uri="{FF2B5EF4-FFF2-40B4-BE49-F238E27FC236}">
              <a16:creationId xmlns:a16="http://schemas.microsoft.com/office/drawing/2014/main" id="{73ECB897-9680-499F-A2AD-79CEAF107DCF}"/>
            </a:ext>
          </a:extLst>
        </xdr:cNvPr>
        <xdr:cNvSpPr>
          <a:spLocks noChangeAspect="1"/>
        </xdr:cNvSpPr>
      </xdr:nvSpPr>
      <xdr:spPr>
        <a:xfrm>
          <a:off x="31608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237600</xdr:colOff>
      <xdr:row>123</xdr:row>
      <xdr:rowOff>75750</xdr:rowOff>
    </xdr:from>
    <xdr:to>
      <xdr:col>4</xdr:col>
      <xdr:colOff>525601</xdr:colOff>
      <xdr:row>128</xdr:row>
      <xdr:rowOff>136501</xdr:rowOff>
    </xdr:to>
    <xdr:sp macro="" textlink="">
      <xdr:nvSpPr>
        <xdr:cNvPr id="248213" name="フリーフォーム: 図形 248212">
          <a:extLst>
            <a:ext uri="{FF2B5EF4-FFF2-40B4-BE49-F238E27FC236}">
              <a16:creationId xmlns:a16="http://schemas.microsoft.com/office/drawing/2014/main" id="{11B04448-8C82-4B25-A515-58152A19AB41}"/>
            </a:ext>
          </a:extLst>
        </xdr:cNvPr>
        <xdr:cNvSpPr>
          <a:spLocks noChangeAspect="1"/>
        </xdr:cNvSpPr>
      </xdr:nvSpPr>
      <xdr:spPr>
        <a:xfrm>
          <a:off x="29808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655200</xdr:colOff>
      <xdr:row>128</xdr:row>
      <xdr:rowOff>64500</xdr:rowOff>
    </xdr:from>
    <xdr:to>
      <xdr:col>3</xdr:col>
      <xdr:colOff>455401</xdr:colOff>
      <xdr:row>129</xdr:row>
      <xdr:rowOff>37051</xdr:rowOff>
    </xdr:to>
    <xdr:sp macro="" textlink="">
      <xdr:nvSpPr>
        <xdr:cNvPr id="248214" name="フリーフォーム: 図形 248213">
          <a:extLst>
            <a:ext uri="{FF2B5EF4-FFF2-40B4-BE49-F238E27FC236}">
              <a16:creationId xmlns:a16="http://schemas.microsoft.com/office/drawing/2014/main" id="{66F4859F-0FF0-4354-B13E-2BA08F78341A}"/>
            </a:ext>
          </a:extLst>
        </xdr:cNvPr>
        <xdr:cNvSpPr>
          <a:spLocks noChangeAspect="1"/>
        </xdr:cNvSpPr>
      </xdr:nvSpPr>
      <xdr:spPr>
        <a:xfrm>
          <a:off x="20268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491400</xdr:colOff>
      <xdr:row>128</xdr:row>
      <xdr:rowOff>64500</xdr:rowOff>
    </xdr:from>
    <xdr:to>
      <xdr:col>4</xdr:col>
      <xdr:colOff>273601</xdr:colOff>
      <xdr:row>129</xdr:row>
      <xdr:rowOff>37051</xdr:rowOff>
    </xdr:to>
    <xdr:sp macro="" textlink="">
      <xdr:nvSpPr>
        <xdr:cNvPr id="248215" name="フリーフォーム: 図形 248214">
          <a:extLst>
            <a:ext uri="{FF2B5EF4-FFF2-40B4-BE49-F238E27FC236}">
              <a16:creationId xmlns:a16="http://schemas.microsoft.com/office/drawing/2014/main" id="{FC558071-3E32-4E08-BE95-DD555B5F9A60}"/>
            </a:ext>
          </a:extLst>
        </xdr:cNvPr>
        <xdr:cNvSpPr>
          <a:spLocks noChangeAspect="1"/>
        </xdr:cNvSpPr>
      </xdr:nvSpPr>
      <xdr:spPr>
        <a:xfrm>
          <a:off x="25488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xdr:col>
      <xdr:colOff>601200</xdr:colOff>
      <xdr:row>123</xdr:row>
      <xdr:rowOff>75750</xdr:rowOff>
    </xdr:from>
    <xdr:to>
      <xdr:col>3</xdr:col>
      <xdr:colOff>203401</xdr:colOff>
      <xdr:row>128</xdr:row>
      <xdr:rowOff>136501</xdr:rowOff>
    </xdr:to>
    <xdr:sp macro="" textlink="">
      <xdr:nvSpPr>
        <xdr:cNvPr id="248216" name="フリーフォーム: 図形 248215">
          <a:extLst>
            <a:ext uri="{FF2B5EF4-FFF2-40B4-BE49-F238E27FC236}">
              <a16:creationId xmlns:a16="http://schemas.microsoft.com/office/drawing/2014/main" id="{515753AD-B04B-4914-93C3-24EAC4CAD7FB}"/>
            </a:ext>
          </a:extLst>
        </xdr:cNvPr>
        <xdr:cNvSpPr>
          <a:spLocks noChangeAspect="1"/>
        </xdr:cNvSpPr>
      </xdr:nvSpPr>
      <xdr:spPr>
        <a:xfrm>
          <a:off x="19728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117</xdr:row>
      <xdr:rowOff>114450</xdr:rowOff>
    </xdr:from>
    <xdr:to>
      <xdr:col>3</xdr:col>
      <xdr:colOff>347401</xdr:colOff>
      <xdr:row>123</xdr:row>
      <xdr:rowOff>21752</xdr:rowOff>
    </xdr:to>
    <xdr:sp macro="" textlink="">
      <xdr:nvSpPr>
        <xdr:cNvPr id="248217" name="フリーフォーム: 図形 248216">
          <a:extLst>
            <a:ext uri="{FF2B5EF4-FFF2-40B4-BE49-F238E27FC236}">
              <a16:creationId xmlns:a16="http://schemas.microsoft.com/office/drawing/2014/main" id="{0135AFCC-A73C-42E7-8A8B-6593746AB209}"/>
            </a:ext>
          </a:extLst>
        </xdr:cNvPr>
        <xdr:cNvSpPr>
          <a:spLocks noChangeAspect="1"/>
        </xdr:cNvSpPr>
      </xdr:nvSpPr>
      <xdr:spPr>
        <a:xfrm>
          <a:off x="21528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167400</xdr:colOff>
      <xdr:row>122</xdr:row>
      <xdr:rowOff>139199</xdr:rowOff>
    </xdr:from>
    <xdr:to>
      <xdr:col>3</xdr:col>
      <xdr:colOff>617401</xdr:colOff>
      <xdr:row>123</xdr:row>
      <xdr:rowOff>111751</xdr:rowOff>
    </xdr:to>
    <xdr:sp macro="" textlink="">
      <xdr:nvSpPr>
        <xdr:cNvPr id="248218" name="フリーフォーム: 図形 248217">
          <a:extLst>
            <a:ext uri="{FF2B5EF4-FFF2-40B4-BE49-F238E27FC236}">
              <a16:creationId xmlns:a16="http://schemas.microsoft.com/office/drawing/2014/main" id="{938CF1E1-B4CC-48BE-BDBA-29E9BB013F29}"/>
            </a:ext>
          </a:extLst>
        </xdr:cNvPr>
        <xdr:cNvSpPr>
          <a:spLocks noChangeAspect="1"/>
        </xdr:cNvSpPr>
      </xdr:nvSpPr>
      <xdr:spPr>
        <a:xfrm>
          <a:off x="22248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671400</xdr:colOff>
      <xdr:row>122</xdr:row>
      <xdr:rowOff>139199</xdr:rowOff>
    </xdr:from>
    <xdr:to>
      <xdr:col>4</xdr:col>
      <xdr:colOff>435601</xdr:colOff>
      <xdr:row>123</xdr:row>
      <xdr:rowOff>111751</xdr:rowOff>
    </xdr:to>
    <xdr:sp macro="" textlink="">
      <xdr:nvSpPr>
        <xdr:cNvPr id="248219" name="フリーフォーム: 図形 248218">
          <a:extLst>
            <a:ext uri="{FF2B5EF4-FFF2-40B4-BE49-F238E27FC236}">
              <a16:creationId xmlns:a16="http://schemas.microsoft.com/office/drawing/2014/main" id="{4CDF1697-D36D-43DA-9D81-378A675EF6CB}"/>
            </a:ext>
          </a:extLst>
        </xdr:cNvPr>
        <xdr:cNvSpPr>
          <a:spLocks noChangeAspect="1"/>
        </xdr:cNvSpPr>
      </xdr:nvSpPr>
      <xdr:spPr>
        <a:xfrm>
          <a:off x="27288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365400</xdr:colOff>
      <xdr:row>118</xdr:row>
      <xdr:rowOff>51000</xdr:rowOff>
    </xdr:from>
    <xdr:to>
      <xdr:col>3</xdr:col>
      <xdr:colOff>635401</xdr:colOff>
      <xdr:row>123</xdr:row>
      <xdr:rowOff>3751</xdr:rowOff>
    </xdr:to>
    <xdr:sp macro="" textlink="">
      <xdr:nvSpPr>
        <xdr:cNvPr id="248220" name="フリーフォーム: 図形 248219">
          <a:extLst>
            <a:ext uri="{FF2B5EF4-FFF2-40B4-BE49-F238E27FC236}">
              <a16:creationId xmlns:a16="http://schemas.microsoft.com/office/drawing/2014/main" id="{1C1F94A8-B7AE-4E73-A1ED-2F4FBC53315D}"/>
            </a:ext>
          </a:extLst>
        </xdr:cNvPr>
        <xdr:cNvSpPr>
          <a:spLocks noChangeAspect="1"/>
        </xdr:cNvSpPr>
      </xdr:nvSpPr>
      <xdr:spPr>
        <a:xfrm>
          <a:off x="24228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635400</xdr:colOff>
      <xdr:row>117</xdr:row>
      <xdr:rowOff>114450</xdr:rowOff>
    </xdr:from>
    <xdr:to>
      <xdr:col>4</xdr:col>
      <xdr:colOff>201601</xdr:colOff>
      <xdr:row>122</xdr:row>
      <xdr:rowOff>157201</xdr:rowOff>
    </xdr:to>
    <xdr:sp macro="" textlink="">
      <xdr:nvSpPr>
        <xdr:cNvPr id="248221" name="フリーフォーム: 図形 248220">
          <a:extLst>
            <a:ext uri="{FF2B5EF4-FFF2-40B4-BE49-F238E27FC236}">
              <a16:creationId xmlns:a16="http://schemas.microsoft.com/office/drawing/2014/main" id="{15AEFD6E-597C-4EA4-9D89-3B5B3366F11A}"/>
            </a:ext>
          </a:extLst>
        </xdr:cNvPr>
        <xdr:cNvSpPr>
          <a:spLocks noChangeAspect="1"/>
        </xdr:cNvSpPr>
      </xdr:nvSpPr>
      <xdr:spPr>
        <a:xfrm>
          <a:off x="26928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xdr:col>
      <xdr:colOff>3600</xdr:colOff>
      <xdr:row>118</xdr:row>
      <xdr:rowOff>69000</xdr:rowOff>
    </xdr:from>
    <xdr:to>
      <xdr:col>4</xdr:col>
      <xdr:colOff>525601</xdr:colOff>
      <xdr:row>123</xdr:row>
      <xdr:rowOff>3751</xdr:rowOff>
    </xdr:to>
    <xdr:sp macro="" textlink="">
      <xdr:nvSpPr>
        <xdr:cNvPr id="248222" name="フリーフォーム: 図形 248221">
          <a:extLst>
            <a:ext uri="{FF2B5EF4-FFF2-40B4-BE49-F238E27FC236}">
              <a16:creationId xmlns:a16="http://schemas.microsoft.com/office/drawing/2014/main" id="{67605C0E-81B5-403A-AD13-0E2C413C367F}"/>
            </a:ext>
          </a:extLst>
        </xdr:cNvPr>
        <xdr:cNvSpPr>
          <a:spLocks noChangeAspect="1"/>
        </xdr:cNvSpPr>
      </xdr:nvSpPr>
      <xdr:spPr>
        <a:xfrm>
          <a:off x="27468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653400</xdr:colOff>
      <xdr:row>123</xdr:row>
      <xdr:rowOff>75750</xdr:rowOff>
    </xdr:from>
    <xdr:to>
      <xdr:col>4</xdr:col>
      <xdr:colOff>237601</xdr:colOff>
      <xdr:row>127</xdr:row>
      <xdr:rowOff>163951</xdr:rowOff>
    </xdr:to>
    <xdr:sp macro="" textlink="">
      <xdr:nvSpPr>
        <xdr:cNvPr id="248223" name="フリーフォーム: 図形 248222">
          <a:extLst>
            <a:ext uri="{FF2B5EF4-FFF2-40B4-BE49-F238E27FC236}">
              <a16:creationId xmlns:a16="http://schemas.microsoft.com/office/drawing/2014/main" id="{FE0A784A-46B0-44B8-8095-4C00772BDDA1}"/>
            </a:ext>
          </a:extLst>
        </xdr:cNvPr>
        <xdr:cNvSpPr>
          <a:spLocks noChangeAspect="1"/>
        </xdr:cNvSpPr>
      </xdr:nvSpPr>
      <xdr:spPr>
        <a:xfrm>
          <a:off x="27108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419400</xdr:colOff>
      <xdr:row>123</xdr:row>
      <xdr:rowOff>93749</xdr:rowOff>
    </xdr:from>
    <xdr:to>
      <xdr:col>3</xdr:col>
      <xdr:colOff>653401</xdr:colOff>
      <xdr:row>128</xdr:row>
      <xdr:rowOff>118501</xdr:rowOff>
    </xdr:to>
    <xdr:sp macro="" textlink="">
      <xdr:nvSpPr>
        <xdr:cNvPr id="248224" name="フリーフォーム: 図形 248223">
          <a:extLst>
            <a:ext uri="{FF2B5EF4-FFF2-40B4-BE49-F238E27FC236}">
              <a16:creationId xmlns:a16="http://schemas.microsoft.com/office/drawing/2014/main" id="{16404AF5-4C41-471A-BAF8-9810602B1F8F}"/>
            </a:ext>
          </a:extLst>
        </xdr:cNvPr>
        <xdr:cNvSpPr>
          <a:spLocks noChangeAspect="1"/>
        </xdr:cNvSpPr>
      </xdr:nvSpPr>
      <xdr:spPr>
        <a:xfrm>
          <a:off x="24768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xdr:col>
      <xdr:colOff>95400</xdr:colOff>
      <xdr:row>123</xdr:row>
      <xdr:rowOff>75750</xdr:rowOff>
    </xdr:from>
    <xdr:to>
      <xdr:col>3</xdr:col>
      <xdr:colOff>617401</xdr:colOff>
      <xdr:row>128</xdr:row>
      <xdr:rowOff>10501</xdr:rowOff>
    </xdr:to>
    <xdr:sp macro="" textlink="">
      <xdr:nvSpPr>
        <xdr:cNvPr id="248225" name="フリーフォーム: 図形 248224">
          <a:extLst>
            <a:ext uri="{FF2B5EF4-FFF2-40B4-BE49-F238E27FC236}">
              <a16:creationId xmlns:a16="http://schemas.microsoft.com/office/drawing/2014/main" id="{5F09E4A5-686F-477F-8669-2C1440440F99}"/>
            </a:ext>
          </a:extLst>
        </xdr:cNvPr>
        <xdr:cNvSpPr>
          <a:spLocks noChangeAspect="1"/>
        </xdr:cNvSpPr>
      </xdr:nvSpPr>
      <xdr:spPr>
        <a:xfrm>
          <a:off x="21528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82800</xdr:colOff>
      <xdr:row>117</xdr:row>
      <xdr:rowOff>42450</xdr:rowOff>
    </xdr:from>
    <xdr:to>
      <xdr:col>6</xdr:col>
      <xdr:colOff>550801</xdr:colOff>
      <xdr:row>118</xdr:row>
      <xdr:rowOff>15002</xdr:rowOff>
    </xdr:to>
    <xdr:sp macro="" textlink="">
      <xdr:nvSpPr>
        <xdr:cNvPr id="248226" name="フリーフォーム: 図形 248225">
          <a:extLst>
            <a:ext uri="{FF2B5EF4-FFF2-40B4-BE49-F238E27FC236}">
              <a16:creationId xmlns:a16="http://schemas.microsoft.com/office/drawing/2014/main" id="{90734608-1621-4AB4-A326-1F389BF6EA2D}"/>
            </a:ext>
          </a:extLst>
        </xdr:cNvPr>
        <xdr:cNvSpPr>
          <a:spLocks noChangeAspect="1"/>
        </xdr:cNvSpPr>
      </xdr:nvSpPr>
      <xdr:spPr>
        <a:xfrm>
          <a:off x="41976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622800</xdr:colOff>
      <xdr:row>117</xdr:row>
      <xdr:rowOff>42450</xdr:rowOff>
    </xdr:from>
    <xdr:to>
      <xdr:col>7</xdr:col>
      <xdr:colOff>405001</xdr:colOff>
      <xdr:row>118</xdr:row>
      <xdr:rowOff>15002</xdr:rowOff>
    </xdr:to>
    <xdr:sp macro="" textlink="">
      <xdr:nvSpPr>
        <xdr:cNvPr id="248227" name="フリーフォーム: 図形 248226">
          <a:extLst>
            <a:ext uri="{FF2B5EF4-FFF2-40B4-BE49-F238E27FC236}">
              <a16:creationId xmlns:a16="http://schemas.microsoft.com/office/drawing/2014/main" id="{FC0D4CC0-DDE8-446D-A512-535CB71ED8A2}"/>
            </a:ext>
          </a:extLst>
        </xdr:cNvPr>
        <xdr:cNvSpPr>
          <a:spLocks noChangeAspect="1"/>
        </xdr:cNvSpPr>
      </xdr:nvSpPr>
      <xdr:spPr>
        <a:xfrm>
          <a:off x="47376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189000</xdr:colOff>
      <xdr:row>117</xdr:row>
      <xdr:rowOff>114450</xdr:rowOff>
    </xdr:from>
    <xdr:to>
      <xdr:col>7</xdr:col>
      <xdr:colOff>477001</xdr:colOff>
      <xdr:row>123</xdr:row>
      <xdr:rowOff>21752</xdr:rowOff>
    </xdr:to>
    <xdr:sp macro="" textlink="">
      <xdr:nvSpPr>
        <xdr:cNvPr id="248228" name="フリーフォーム: 図形 248227">
          <a:extLst>
            <a:ext uri="{FF2B5EF4-FFF2-40B4-BE49-F238E27FC236}">
              <a16:creationId xmlns:a16="http://schemas.microsoft.com/office/drawing/2014/main" id="{AF6E697C-7D69-49E7-92EF-127CA3BE806A}"/>
            </a:ext>
          </a:extLst>
        </xdr:cNvPr>
        <xdr:cNvSpPr>
          <a:spLocks noChangeAspect="1"/>
        </xdr:cNvSpPr>
      </xdr:nvSpPr>
      <xdr:spPr>
        <a:xfrm>
          <a:off x="49896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xdr:col>
      <xdr:colOff>9000</xdr:colOff>
      <xdr:row>123</xdr:row>
      <xdr:rowOff>75750</xdr:rowOff>
    </xdr:from>
    <xdr:to>
      <xdr:col>7</xdr:col>
      <xdr:colOff>297001</xdr:colOff>
      <xdr:row>128</xdr:row>
      <xdr:rowOff>136501</xdr:rowOff>
    </xdr:to>
    <xdr:sp macro="" textlink="">
      <xdr:nvSpPr>
        <xdr:cNvPr id="248229" name="フリーフォーム: 図形 248228">
          <a:extLst>
            <a:ext uri="{FF2B5EF4-FFF2-40B4-BE49-F238E27FC236}">
              <a16:creationId xmlns:a16="http://schemas.microsoft.com/office/drawing/2014/main" id="{6E9C159A-F72C-4E26-B384-4E8BF7C6D0AF}"/>
            </a:ext>
          </a:extLst>
        </xdr:cNvPr>
        <xdr:cNvSpPr>
          <a:spLocks noChangeAspect="1"/>
        </xdr:cNvSpPr>
      </xdr:nvSpPr>
      <xdr:spPr>
        <a:xfrm>
          <a:off x="48096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426600</xdr:colOff>
      <xdr:row>128</xdr:row>
      <xdr:rowOff>64500</xdr:rowOff>
    </xdr:from>
    <xdr:to>
      <xdr:col>6</xdr:col>
      <xdr:colOff>226801</xdr:colOff>
      <xdr:row>129</xdr:row>
      <xdr:rowOff>37051</xdr:rowOff>
    </xdr:to>
    <xdr:sp macro="" textlink="">
      <xdr:nvSpPr>
        <xdr:cNvPr id="248230" name="フリーフォーム: 図形 248229">
          <a:extLst>
            <a:ext uri="{FF2B5EF4-FFF2-40B4-BE49-F238E27FC236}">
              <a16:creationId xmlns:a16="http://schemas.microsoft.com/office/drawing/2014/main" id="{9BCE2B74-E61A-4C6C-BA90-8CA0A23E4220}"/>
            </a:ext>
          </a:extLst>
        </xdr:cNvPr>
        <xdr:cNvSpPr>
          <a:spLocks noChangeAspect="1"/>
        </xdr:cNvSpPr>
      </xdr:nvSpPr>
      <xdr:spPr>
        <a:xfrm>
          <a:off x="38556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262800</xdr:colOff>
      <xdr:row>128</xdr:row>
      <xdr:rowOff>64500</xdr:rowOff>
    </xdr:from>
    <xdr:to>
      <xdr:col>7</xdr:col>
      <xdr:colOff>45001</xdr:colOff>
      <xdr:row>129</xdr:row>
      <xdr:rowOff>37051</xdr:rowOff>
    </xdr:to>
    <xdr:sp macro="" textlink="">
      <xdr:nvSpPr>
        <xdr:cNvPr id="248231" name="フリーフォーム: 図形 248230">
          <a:extLst>
            <a:ext uri="{FF2B5EF4-FFF2-40B4-BE49-F238E27FC236}">
              <a16:creationId xmlns:a16="http://schemas.microsoft.com/office/drawing/2014/main" id="{6CA0B6B9-388A-4FD9-B592-72B67F74783E}"/>
            </a:ext>
          </a:extLst>
        </xdr:cNvPr>
        <xdr:cNvSpPr>
          <a:spLocks noChangeAspect="1"/>
        </xdr:cNvSpPr>
      </xdr:nvSpPr>
      <xdr:spPr>
        <a:xfrm>
          <a:off x="43776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372600</xdr:colOff>
      <xdr:row>123</xdr:row>
      <xdr:rowOff>75750</xdr:rowOff>
    </xdr:from>
    <xdr:to>
      <xdr:col>5</xdr:col>
      <xdr:colOff>660601</xdr:colOff>
      <xdr:row>128</xdr:row>
      <xdr:rowOff>136501</xdr:rowOff>
    </xdr:to>
    <xdr:sp macro="" textlink="">
      <xdr:nvSpPr>
        <xdr:cNvPr id="248232" name="フリーフォーム: 図形 248231">
          <a:extLst>
            <a:ext uri="{FF2B5EF4-FFF2-40B4-BE49-F238E27FC236}">
              <a16:creationId xmlns:a16="http://schemas.microsoft.com/office/drawing/2014/main" id="{B168A812-5E2B-4CB0-A7E1-5D11B09AF081}"/>
            </a:ext>
          </a:extLst>
        </xdr:cNvPr>
        <xdr:cNvSpPr>
          <a:spLocks noChangeAspect="1"/>
        </xdr:cNvSpPr>
      </xdr:nvSpPr>
      <xdr:spPr>
        <a:xfrm>
          <a:off x="38016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117</xdr:row>
      <xdr:rowOff>114450</xdr:rowOff>
    </xdr:from>
    <xdr:to>
      <xdr:col>6</xdr:col>
      <xdr:colOff>118801</xdr:colOff>
      <xdr:row>123</xdr:row>
      <xdr:rowOff>21752</xdr:rowOff>
    </xdr:to>
    <xdr:sp macro="" textlink="">
      <xdr:nvSpPr>
        <xdr:cNvPr id="248233" name="フリーフォーム: 図形 248232">
          <a:extLst>
            <a:ext uri="{FF2B5EF4-FFF2-40B4-BE49-F238E27FC236}">
              <a16:creationId xmlns:a16="http://schemas.microsoft.com/office/drawing/2014/main" id="{2A45D48E-D532-48EB-AED0-29E7AB8B87CF}"/>
            </a:ext>
          </a:extLst>
        </xdr:cNvPr>
        <xdr:cNvSpPr>
          <a:spLocks noChangeAspect="1"/>
        </xdr:cNvSpPr>
      </xdr:nvSpPr>
      <xdr:spPr>
        <a:xfrm>
          <a:off x="39816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624600</xdr:colOff>
      <xdr:row>122</xdr:row>
      <xdr:rowOff>139199</xdr:rowOff>
    </xdr:from>
    <xdr:to>
      <xdr:col>6</xdr:col>
      <xdr:colOff>388801</xdr:colOff>
      <xdr:row>123</xdr:row>
      <xdr:rowOff>111751</xdr:rowOff>
    </xdr:to>
    <xdr:sp macro="" textlink="">
      <xdr:nvSpPr>
        <xdr:cNvPr id="248234" name="フリーフォーム: 図形 248233">
          <a:extLst>
            <a:ext uri="{FF2B5EF4-FFF2-40B4-BE49-F238E27FC236}">
              <a16:creationId xmlns:a16="http://schemas.microsoft.com/office/drawing/2014/main" id="{1D5FF181-26D4-4F99-80FE-55DCF39B3856}"/>
            </a:ext>
          </a:extLst>
        </xdr:cNvPr>
        <xdr:cNvSpPr>
          <a:spLocks noChangeAspect="1"/>
        </xdr:cNvSpPr>
      </xdr:nvSpPr>
      <xdr:spPr>
        <a:xfrm>
          <a:off x="40536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442800</xdr:colOff>
      <xdr:row>122</xdr:row>
      <xdr:rowOff>139199</xdr:rowOff>
    </xdr:from>
    <xdr:to>
      <xdr:col>7</xdr:col>
      <xdr:colOff>207001</xdr:colOff>
      <xdr:row>123</xdr:row>
      <xdr:rowOff>111751</xdr:rowOff>
    </xdr:to>
    <xdr:sp macro="" textlink="">
      <xdr:nvSpPr>
        <xdr:cNvPr id="248235" name="フリーフォーム: 図形 248234">
          <a:extLst>
            <a:ext uri="{FF2B5EF4-FFF2-40B4-BE49-F238E27FC236}">
              <a16:creationId xmlns:a16="http://schemas.microsoft.com/office/drawing/2014/main" id="{6A9789F6-B90A-4B7D-85DD-351417E21668}"/>
            </a:ext>
          </a:extLst>
        </xdr:cNvPr>
        <xdr:cNvSpPr>
          <a:spLocks noChangeAspect="1"/>
        </xdr:cNvSpPr>
      </xdr:nvSpPr>
      <xdr:spPr>
        <a:xfrm>
          <a:off x="45576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136800</xdr:colOff>
      <xdr:row>118</xdr:row>
      <xdr:rowOff>51000</xdr:rowOff>
    </xdr:from>
    <xdr:to>
      <xdr:col>6</xdr:col>
      <xdr:colOff>406801</xdr:colOff>
      <xdr:row>123</xdr:row>
      <xdr:rowOff>3751</xdr:rowOff>
    </xdr:to>
    <xdr:sp macro="" textlink="">
      <xdr:nvSpPr>
        <xdr:cNvPr id="248236" name="フリーフォーム: 図形 248235">
          <a:extLst>
            <a:ext uri="{FF2B5EF4-FFF2-40B4-BE49-F238E27FC236}">
              <a16:creationId xmlns:a16="http://schemas.microsoft.com/office/drawing/2014/main" id="{93378A71-A6AF-401D-AFC4-4941E7E8D4AA}"/>
            </a:ext>
          </a:extLst>
        </xdr:cNvPr>
        <xdr:cNvSpPr>
          <a:spLocks noChangeAspect="1"/>
        </xdr:cNvSpPr>
      </xdr:nvSpPr>
      <xdr:spPr>
        <a:xfrm>
          <a:off x="42516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406800</xdr:colOff>
      <xdr:row>117</xdr:row>
      <xdr:rowOff>114450</xdr:rowOff>
    </xdr:from>
    <xdr:to>
      <xdr:col>6</xdr:col>
      <xdr:colOff>658801</xdr:colOff>
      <xdr:row>122</xdr:row>
      <xdr:rowOff>157201</xdr:rowOff>
    </xdr:to>
    <xdr:sp macro="" textlink="">
      <xdr:nvSpPr>
        <xdr:cNvPr id="248237" name="フリーフォーム: 図形 248236">
          <a:extLst>
            <a:ext uri="{FF2B5EF4-FFF2-40B4-BE49-F238E27FC236}">
              <a16:creationId xmlns:a16="http://schemas.microsoft.com/office/drawing/2014/main" id="{159D1700-E6A3-4CEC-BC61-8E4EF9E78A66}"/>
            </a:ext>
          </a:extLst>
        </xdr:cNvPr>
        <xdr:cNvSpPr>
          <a:spLocks noChangeAspect="1"/>
        </xdr:cNvSpPr>
      </xdr:nvSpPr>
      <xdr:spPr>
        <a:xfrm>
          <a:off x="45216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460800</xdr:colOff>
      <xdr:row>118</xdr:row>
      <xdr:rowOff>69000</xdr:rowOff>
    </xdr:from>
    <xdr:to>
      <xdr:col>7</xdr:col>
      <xdr:colOff>297001</xdr:colOff>
      <xdr:row>123</xdr:row>
      <xdr:rowOff>3751</xdr:rowOff>
    </xdr:to>
    <xdr:sp macro="" textlink="">
      <xdr:nvSpPr>
        <xdr:cNvPr id="248238" name="フリーフォーム: 図形 248237">
          <a:extLst>
            <a:ext uri="{FF2B5EF4-FFF2-40B4-BE49-F238E27FC236}">
              <a16:creationId xmlns:a16="http://schemas.microsoft.com/office/drawing/2014/main" id="{E46EA53A-CDB5-4565-AEB4-554DABDF88ED}"/>
            </a:ext>
          </a:extLst>
        </xdr:cNvPr>
        <xdr:cNvSpPr>
          <a:spLocks noChangeAspect="1"/>
        </xdr:cNvSpPr>
      </xdr:nvSpPr>
      <xdr:spPr>
        <a:xfrm>
          <a:off x="45756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424800</xdr:colOff>
      <xdr:row>123</xdr:row>
      <xdr:rowOff>75750</xdr:rowOff>
    </xdr:from>
    <xdr:to>
      <xdr:col>7</xdr:col>
      <xdr:colOff>9001</xdr:colOff>
      <xdr:row>127</xdr:row>
      <xdr:rowOff>163951</xdr:rowOff>
    </xdr:to>
    <xdr:sp macro="" textlink="">
      <xdr:nvSpPr>
        <xdr:cNvPr id="248239" name="フリーフォーム: 図形 248238">
          <a:extLst>
            <a:ext uri="{FF2B5EF4-FFF2-40B4-BE49-F238E27FC236}">
              <a16:creationId xmlns:a16="http://schemas.microsoft.com/office/drawing/2014/main" id="{F26982C0-9AE5-4B0F-A443-00226534CC4A}"/>
            </a:ext>
          </a:extLst>
        </xdr:cNvPr>
        <xdr:cNvSpPr>
          <a:spLocks noChangeAspect="1"/>
        </xdr:cNvSpPr>
      </xdr:nvSpPr>
      <xdr:spPr>
        <a:xfrm>
          <a:off x="45396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xdr:col>
      <xdr:colOff>190800</xdr:colOff>
      <xdr:row>123</xdr:row>
      <xdr:rowOff>93749</xdr:rowOff>
    </xdr:from>
    <xdr:to>
      <xdr:col>6</xdr:col>
      <xdr:colOff>424801</xdr:colOff>
      <xdr:row>128</xdr:row>
      <xdr:rowOff>118501</xdr:rowOff>
    </xdr:to>
    <xdr:sp macro="" textlink="">
      <xdr:nvSpPr>
        <xdr:cNvPr id="248240" name="フリーフォーム: 図形 248239">
          <a:extLst>
            <a:ext uri="{FF2B5EF4-FFF2-40B4-BE49-F238E27FC236}">
              <a16:creationId xmlns:a16="http://schemas.microsoft.com/office/drawing/2014/main" id="{8983CAE6-02BA-488C-B557-27ABB05A60E6}"/>
            </a:ext>
          </a:extLst>
        </xdr:cNvPr>
        <xdr:cNvSpPr>
          <a:spLocks noChangeAspect="1"/>
        </xdr:cNvSpPr>
      </xdr:nvSpPr>
      <xdr:spPr>
        <a:xfrm>
          <a:off x="43056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xdr:col>
      <xdr:colOff>552600</xdr:colOff>
      <xdr:row>123</xdr:row>
      <xdr:rowOff>75750</xdr:rowOff>
    </xdr:from>
    <xdr:to>
      <xdr:col>6</xdr:col>
      <xdr:colOff>388801</xdr:colOff>
      <xdr:row>128</xdr:row>
      <xdr:rowOff>10501</xdr:rowOff>
    </xdr:to>
    <xdr:sp macro="" textlink="">
      <xdr:nvSpPr>
        <xdr:cNvPr id="248241" name="フリーフォーム: 図形 248240">
          <a:extLst>
            <a:ext uri="{FF2B5EF4-FFF2-40B4-BE49-F238E27FC236}">
              <a16:creationId xmlns:a16="http://schemas.microsoft.com/office/drawing/2014/main" id="{E11BFAC6-D2BF-4BAC-8806-C2DECA028752}"/>
            </a:ext>
          </a:extLst>
        </xdr:cNvPr>
        <xdr:cNvSpPr>
          <a:spLocks noChangeAspect="1"/>
        </xdr:cNvSpPr>
      </xdr:nvSpPr>
      <xdr:spPr>
        <a:xfrm>
          <a:off x="39816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540000</xdr:colOff>
      <xdr:row>117</xdr:row>
      <xdr:rowOff>42450</xdr:rowOff>
    </xdr:from>
    <xdr:to>
      <xdr:col>9</xdr:col>
      <xdr:colOff>322201</xdr:colOff>
      <xdr:row>118</xdr:row>
      <xdr:rowOff>15002</xdr:rowOff>
    </xdr:to>
    <xdr:sp macro="" textlink="">
      <xdr:nvSpPr>
        <xdr:cNvPr id="248242" name="フリーフォーム: 図形 248241">
          <a:extLst>
            <a:ext uri="{FF2B5EF4-FFF2-40B4-BE49-F238E27FC236}">
              <a16:creationId xmlns:a16="http://schemas.microsoft.com/office/drawing/2014/main" id="{FFF4D4C4-303A-4B00-A437-A00E57553114}"/>
            </a:ext>
          </a:extLst>
        </xdr:cNvPr>
        <xdr:cNvSpPr>
          <a:spLocks noChangeAspect="1"/>
        </xdr:cNvSpPr>
      </xdr:nvSpPr>
      <xdr:spPr>
        <a:xfrm>
          <a:off x="60264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394200</xdr:colOff>
      <xdr:row>117</xdr:row>
      <xdr:rowOff>42450</xdr:rowOff>
    </xdr:from>
    <xdr:to>
      <xdr:col>10</xdr:col>
      <xdr:colOff>176401</xdr:colOff>
      <xdr:row>118</xdr:row>
      <xdr:rowOff>15002</xdr:rowOff>
    </xdr:to>
    <xdr:sp macro="" textlink="">
      <xdr:nvSpPr>
        <xdr:cNvPr id="248243" name="フリーフォーム: 図形 248242">
          <a:extLst>
            <a:ext uri="{FF2B5EF4-FFF2-40B4-BE49-F238E27FC236}">
              <a16:creationId xmlns:a16="http://schemas.microsoft.com/office/drawing/2014/main" id="{E5C09E19-EFE2-4340-BF72-B5A36E4E759E}"/>
            </a:ext>
          </a:extLst>
        </xdr:cNvPr>
        <xdr:cNvSpPr>
          <a:spLocks noChangeAspect="1"/>
        </xdr:cNvSpPr>
      </xdr:nvSpPr>
      <xdr:spPr>
        <a:xfrm>
          <a:off x="65664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646200</xdr:colOff>
      <xdr:row>117</xdr:row>
      <xdr:rowOff>114450</xdr:rowOff>
    </xdr:from>
    <xdr:to>
      <xdr:col>10</xdr:col>
      <xdr:colOff>248401</xdr:colOff>
      <xdr:row>123</xdr:row>
      <xdr:rowOff>21752</xdr:rowOff>
    </xdr:to>
    <xdr:sp macro="" textlink="">
      <xdr:nvSpPr>
        <xdr:cNvPr id="248244" name="フリーフォーム: 図形 248243">
          <a:extLst>
            <a:ext uri="{FF2B5EF4-FFF2-40B4-BE49-F238E27FC236}">
              <a16:creationId xmlns:a16="http://schemas.microsoft.com/office/drawing/2014/main" id="{0319960B-99C1-408F-8FF7-B1467DA6D6F2}"/>
            </a:ext>
          </a:extLst>
        </xdr:cNvPr>
        <xdr:cNvSpPr>
          <a:spLocks noChangeAspect="1"/>
        </xdr:cNvSpPr>
      </xdr:nvSpPr>
      <xdr:spPr>
        <a:xfrm>
          <a:off x="68184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466200</xdr:colOff>
      <xdr:row>123</xdr:row>
      <xdr:rowOff>75750</xdr:rowOff>
    </xdr:from>
    <xdr:to>
      <xdr:col>10</xdr:col>
      <xdr:colOff>68401</xdr:colOff>
      <xdr:row>128</xdr:row>
      <xdr:rowOff>136501</xdr:rowOff>
    </xdr:to>
    <xdr:sp macro="" textlink="">
      <xdr:nvSpPr>
        <xdr:cNvPr id="248245" name="フリーフォーム: 図形 248244">
          <a:extLst>
            <a:ext uri="{FF2B5EF4-FFF2-40B4-BE49-F238E27FC236}">
              <a16:creationId xmlns:a16="http://schemas.microsoft.com/office/drawing/2014/main" id="{5990488B-DE11-42DC-B105-7BEFFDE38836}"/>
            </a:ext>
          </a:extLst>
        </xdr:cNvPr>
        <xdr:cNvSpPr>
          <a:spLocks noChangeAspect="1"/>
        </xdr:cNvSpPr>
      </xdr:nvSpPr>
      <xdr:spPr>
        <a:xfrm>
          <a:off x="66384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198000</xdr:colOff>
      <xdr:row>128</xdr:row>
      <xdr:rowOff>64500</xdr:rowOff>
    </xdr:from>
    <xdr:to>
      <xdr:col>8</xdr:col>
      <xdr:colOff>684001</xdr:colOff>
      <xdr:row>129</xdr:row>
      <xdr:rowOff>37051</xdr:rowOff>
    </xdr:to>
    <xdr:sp macro="" textlink="">
      <xdr:nvSpPr>
        <xdr:cNvPr id="248246" name="フリーフォーム: 図形 248245">
          <a:extLst>
            <a:ext uri="{FF2B5EF4-FFF2-40B4-BE49-F238E27FC236}">
              <a16:creationId xmlns:a16="http://schemas.microsoft.com/office/drawing/2014/main" id="{C461C8B6-A31E-470B-82D1-7991D38E7323}"/>
            </a:ext>
          </a:extLst>
        </xdr:cNvPr>
        <xdr:cNvSpPr>
          <a:spLocks noChangeAspect="1"/>
        </xdr:cNvSpPr>
      </xdr:nvSpPr>
      <xdr:spPr>
        <a:xfrm>
          <a:off x="56844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34200</xdr:colOff>
      <xdr:row>128</xdr:row>
      <xdr:rowOff>64500</xdr:rowOff>
    </xdr:from>
    <xdr:to>
      <xdr:col>9</xdr:col>
      <xdr:colOff>502201</xdr:colOff>
      <xdr:row>129</xdr:row>
      <xdr:rowOff>37051</xdr:rowOff>
    </xdr:to>
    <xdr:sp macro="" textlink="">
      <xdr:nvSpPr>
        <xdr:cNvPr id="248247" name="フリーフォーム: 図形 248246">
          <a:extLst>
            <a:ext uri="{FF2B5EF4-FFF2-40B4-BE49-F238E27FC236}">
              <a16:creationId xmlns:a16="http://schemas.microsoft.com/office/drawing/2014/main" id="{9253EDC9-96EE-4CB1-A898-E043903D3B87}"/>
            </a:ext>
          </a:extLst>
        </xdr:cNvPr>
        <xdr:cNvSpPr>
          <a:spLocks noChangeAspect="1"/>
        </xdr:cNvSpPr>
      </xdr:nvSpPr>
      <xdr:spPr>
        <a:xfrm>
          <a:off x="62064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144000</xdr:colOff>
      <xdr:row>123</xdr:row>
      <xdr:rowOff>75750</xdr:rowOff>
    </xdr:from>
    <xdr:to>
      <xdr:col>8</xdr:col>
      <xdr:colOff>432001</xdr:colOff>
      <xdr:row>128</xdr:row>
      <xdr:rowOff>136501</xdr:rowOff>
    </xdr:to>
    <xdr:sp macro="" textlink="">
      <xdr:nvSpPr>
        <xdr:cNvPr id="248248" name="フリーフォーム: 図形 248247">
          <a:extLst>
            <a:ext uri="{FF2B5EF4-FFF2-40B4-BE49-F238E27FC236}">
              <a16:creationId xmlns:a16="http://schemas.microsoft.com/office/drawing/2014/main" id="{26F8DA05-7681-4EE6-90B0-0B3915E0D509}"/>
            </a:ext>
          </a:extLst>
        </xdr:cNvPr>
        <xdr:cNvSpPr>
          <a:spLocks noChangeAspect="1"/>
        </xdr:cNvSpPr>
      </xdr:nvSpPr>
      <xdr:spPr>
        <a:xfrm>
          <a:off x="56304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117</xdr:row>
      <xdr:rowOff>114450</xdr:rowOff>
    </xdr:from>
    <xdr:to>
      <xdr:col>8</xdr:col>
      <xdr:colOff>576001</xdr:colOff>
      <xdr:row>123</xdr:row>
      <xdr:rowOff>21752</xdr:rowOff>
    </xdr:to>
    <xdr:sp macro="" textlink="">
      <xdr:nvSpPr>
        <xdr:cNvPr id="248249" name="フリーフォーム: 図形 248248">
          <a:extLst>
            <a:ext uri="{FF2B5EF4-FFF2-40B4-BE49-F238E27FC236}">
              <a16:creationId xmlns:a16="http://schemas.microsoft.com/office/drawing/2014/main" id="{BEE3838D-219F-4374-BE7E-0FBB79E45646}"/>
            </a:ext>
          </a:extLst>
        </xdr:cNvPr>
        <xdr:cNvSpPr>
          <a:spLocks noChangeAspect="1"/>
        </xdr:cNvSpPr>
      </xdr:nvSpPr>
      <xdr:spPr>
        <a:xfrm>
          <a:off x="58104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396000</xdr:colOff>
      <xdr:row>122</xdr:row>
      <xdr:rowOff>139199</xdr:rowOff>
    </xdr:from>
    <xdr:to>
      <xdr:col>9</xdr:col>
      <xdr:colOff>160201</xdr:colOff>
      <xdr:row>123</xdr:row>
      <xdr:rowOff>111751</xdr:rowOff>
    </xdr:to>
    <xdr:sp macro="" textlink="">
      <xdr:nvSpPr>
        <xdr:cNvPr id="248250" name="フリーフォーム: 図形 248249">
          <a:extLst>
            <a:ext uri="{FF2B5EF4-FFF2-40B4-BE49-F238E27FC236}">
              <a16:creationId xmlns:a16="http://schemas.microsoft.com/office/drawing/2014/main" id="{D0DC4DA2-A2F2-4560-918B-CA72FED5C13E}"/>
            </a:ext>
          </a:extLst>
        </xdr:cNvPr>
        <xdr:cNvSpPr>
          <a:spLocks noChangeAspect="1"/>
        </xdr:cNvSpPr>
      </xdr:nvSpPr>
      <xdr:spPr>
        <a:xfrm>
          <a:off x="58824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214200</xdr:colOff>
      <xdr:row>122</xdr:row>
      <xdr:rowOff>139199</xdr:rowOff>
    </xdr:from>
    <xdr:to>
      <xdr:col>9</xdr:col>
      <xdr:colOff>664201</xdr:colOff>
      <xdr:row>123</xdr:row>
      <xdr:rowOff>111751</xdr:rowOff>
    </xdr:to>
    <xdr:sp macro="" textlink="">
      <xdr:nvSpPr>
        <xdr:cNvPr id="248251" name="フリーフォーム: 図形 248250">
          <a:extLst>
            <a:ext uri="{FF2B5EF4-FFF2-40B4-BE49-F238E27FC236}">
              <a16:creationId xmlns:a16="http://schemas.microsoft.com/office/drawing/2014/main" id="{3F18CC02-1B55-4F24-B256-C40C068622DB}"/>
            </a:ext>
          </a:extLst>
        </xdr:cNvPr>
        <xdr:cNvSpPr>
          <a:spLocks noChangeAspect="1"/>
        </xdr:cNvSpPr>
      </xdr:nvSpPr>
      <xdr:spPr>
        <a:xfrm>
          <a:off x="63864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594000</xdr:colOff>
      <xdr:row>118</xdr:row>
      <xdr:rowOff>51000</xdr:rowOff>
    </xdr:from>
    <xdr:to>
      <xdr:col>9</xdr:col>
      <xdr:colOff>178201</xdr:colOff>
      <xdr:row>123</xdr:row>
      <xdr:rowOff>3751</xdr:rowOff>
    </xdr:to>
    <xdr:sp macro="" textlink="">
      <xdr:nvSpPr>
        <xdr:cNvPr id="248252" name="フリーフォーム: 図形 248251">
          <a:extLst>
            <a:ext uri="{FF2B5EF4-FFF2-40B4-BE49-F238E27FC236}">
              <a16:creationId xmlns:a16="http://schemas.microsoft.com/office/drawing/2014/main" id="{96E1DB16-F468-4105-BCA5-B897BC6F3D12}"/>
            </a:ext>
          </a:extLst>
        </xdr:cNvPr>
        <xdr:cNvSpPr>
          <a:spLocks noChangeAspect="1"/>
        </xdr:cNvSpPr>
      </xdr:nvSpPr>
      <xdr:spPr>
        <a:xfrm>
          <a:off x="60804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178200</xdr:colOff>
      <xdr:row>117</xdr:row>
      <xdr:rowOff>114450</xdr:rowOff>
    </xdr:from>
    <xdr:to>
      <xdr:col>9</xdr:col>
      <xdr:colOff>430201</xdr:colOff>
      <xdr:row>122</xdr:row>
      <xdr:rowOff>157201</xdr:rowOff>
    </xdr:to>
    <xdr:sp macro="" textlink="">
      <xdr:nvSpPr>
        <xdr:cNvPr id="248253" name="フリーフォーム: 図形 248252">
          <a:extLst>
            <a:ext uri="{FF2B5EF4-FFF2-40B4-BE49-F238E27FC236}">
              <a16:creationId xmlns:a16="http://schemas.microsoft.com/office/drawing/2014/main" id="{464C8EAC-EDCA-48D1-85BC-EFE0C629217C}"/>
            </a:ext>
          </a:extLst>
        </xdr:cNvPr>
        <xdr:cNvSpPr>
          <a:spLocks noChangeAspect="1"/>
        </xdr:cNvSpPr>
      </xdr:nvSpPr>
      <xdr:spPr>
        <a:xfrm>
          <a:off x="63504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232200</xdr:colOff>
      <xdr:row>118</xdr:row>
      <xdr:rowOff>69000</xdr:rowOff>
    </xdr:from>
    <xdr:to>
      <xdr:col>10</xdr:col>
      <xdr:colOff>68401</xdr:colOff>
      <xdr:row>123</xdr:row>
      <xdr:rowOff>3751</xdr:rowOff>
    </xdr:to>
    <xdr:sp macro="" textlink="">
      <xdr:nvSpPr>
        <xdr:cNvPr id="248254" name="フリーフォーム: 図形 248253">
          <a:extLst>
            <a:ext uri="{FF2B5EF4-FFF2-40B4-BE49-F238E27FC236}">
              <a16:creationId xmlns:a16="http://schemas.microsoft.com/office/drawing/2014/main" id="{46F04EB9-FDE3-4C0A-A1FF-1CA56C6176BA}"/>
            </a:ext>
          </a:extLst>
        </xdr:cNvPr>
        <xdr:cNvSpPr>
          <a:spLocks noChangeAspect="1"/>
        </xdr:cNvSpPr>
      </xdr:nvSpPr>
      <xdr:spPr>
        <a:xfrm>
          <a:off x="64044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9</xdr:col>
      <xdr:colOff>196200</xdr:colOff>
      <xdr:row>123</xdr:row>
      <xdr:rowOff>75750</xdr:rowOff>
    </xdr:from>
    <xdr:to>
      <xdr:col>9</xdr:col>
      <xdr:colOff>466201</xdr:colOff>
      <xdr:row>127</xdr:row>
      <xdr:rowOff>163951</xdr:rowOff>
    </xdr:to>
    <xdr:sp macro="" textlink="">
      <xdr:nvSpPr>
        <xdr:cNvPr id="248255" name="フリーフォーム: 図形 248254">
          <a:extLst>
            <a:ext uri="{FF2B5EF4-FFF2-40B4-BE49-F238E27FC236}">
              <a16:creationId xmlns:a16="http://schemas.microsoft.com/office/drawing/2014/main" id="{31F8BE49-C4F6-4BB2-92D2-4917190BFD1F}"/>
            </a:ext>
          </a:extLst>
        </xdr:cNvPr>
        <xdr:cNvSpPr>
          <a:spLocks noChangeAspect="1"/>
        </xdr:cNvSpPr>
      </xdr:nvSpPr>
      <xdr:spPr>
        <a:xfrm>
          <a:off x="63684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648000</xdr:colOff>
      <xdr:row>123</xdr:row>
      <xdr:rowOff>93749</xdr:rowOff>
    </xdr:from>
    <xdr:to>
      <xdr:col>9</xdr:col>
      <xdr:colOff>196201</xdr:colOff>
      <xdr:row>128</xdr:row>
      <xdr:rowOff>118501</xdr:rowOff>
    </xdr:to>
    <xdr:sp macro="" textlink="">
      <xdr:nvSpPr>
        <xdr:cNvPr id="248256" name="フリーフォーム: 図形 248255">
          <a:extLst>
            <a:ext uri="{FF2B5EF4-FFF2-40B4-BE49-F238E27FC236}">
              <a16:creationId xmlns:a16="http://schemas.microsoft.com/office/drawing/2014/main" id="{039A9D1B-ADA5-49C5-9A6C-A63B74D1470B}"/>
            </a:ext>
          </a:extLst>
        </xdr:cNvPr>
        <xdr:cNvSpPr>
          <a:spLocks noChangeAspect="1"/>
        </xdr:cNvSpPr>
      </xdr:nvSpPr>
      <xdr:spPr>
        <a:xfrm>
          <a:off x="61344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xdr:col>
      <xdr:colOff>324000</xdr:colOff>
      <xdr:row>123</xdr:row>
      <xdr:rowOff>75750</xdr:rowOff>
    </xdr:from>
    <xdr:to>
      <xdr:col>9</xdr:col>
      <xdr:colOff>160201</xdr:colOff>
      <xdr:row>128</xdr:row>
      <xdr:rowOff>10501</xdr:rowOff>
    </xdr:to>
    <xdr:sp macro="" textlink="">
      <xdr:nvSpPr>
        <xdr:cNvPr id="248257" name="フリーフォーム: 図形 248256">
          <a:extLst>
            <a:ext uri="{FF2B5EF4-FFF2-40B4-BE49-F238E27FC236}">
              <a16:creationId xmlns:a16="http://schemas.microsoft.com/office/drawing/2014/main" id="{68F3E952-59BA-4EFF-BDC1-018C7995D1CF}"/>
            </a:ext>
          </a:extLst>
        </xdr:cNvPr>
        <xdr:cNvSpPr>
          <a:spLocks noChangeAspect="1"/>
        </xdr:cNvSpPr>
      </xdr:nvSpPr>
      <xdr:spPr>
        <a:xfrm>
          <a:off x="58104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311400</xdr:colOff>
      <xdr:row>117</xdr:row>
      <xdr:rowOff>42450</xdr:rowOff>
    </xdr:from>
    <xdr:to>
      <xdr:col>12</xdr:col>
      <xdr:colOff>93601</xdr:colOff>
      <xdr:row>118</xdr:row>
      <xdr:rowOff>15002</xdr:rowOff>
    </xdr:to>
    <xdr:sp macro="" textlink="">
      <xdr:nvSpPr>
        <xdr:cNvPr id="248258" name="フリーフォーム: 図形 248257">
          <a:extLst>
            <a:ext uri="{FF2B5EF4-FFF2-40B4-BE49-F238E27FC236}">
              <a16:creationId xmlns:a16="http://schemas.microsoft.com/office/drawing/2014/main" id="{A236E37D-3C07-4B43-AD17-04955FEF2A51}"/>
            </a:ext>
          </a:extLst>
        </xdr:cNvPr>
        <xdr:cNvSpPr>
          <a:spLocks noChangeAspect="1"/>
        </xdr:cNvSpPr>
      </xdr:nvSpPr>
      <xdr:spPr>
        <a:xfrm>
          <a:off x="78552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165600</xdr:colOff>
      <xdr:row>117</xdr:row>
      <xdr:rowOff>42450</xdr:rowOff>
    </xdr:from>
    <xdr:to>
      <xdr:col>12</xdr:col>
      <xdr:colOff>633601</xdr:colOff>
      <xdr:row>118</xdr:row>
      <xdr:rowOff>15002</xdr:rowOff>
    </xdr:to>
    <xdr:sp macro="" textlink="">
      <xdr:nvSpPr>
        <xdr:cNvPr id="248259" name="フリーフォーム: 図形 248258">
          <a:extLst>
            <a:ext uri="{FF2B5EF4-FFF2-40B4-BE49-F238E27FC236}">
              <a16:creationId xmlns:a16="http://schemas.microsoft.com/office/drawing/2014/main" id="{3158D564-E8E8-43BE-90CB-D05DAD936FFB}"/>
            </a:ext>
          </a:extLst>
        </xdr:cNvPr>
        <xdr:cNvSpPr>
          <a:spLocks noChangeAspect="1"/>
        </xdr:cNvSpPr>
      </xdr:nvSpPr>
      <xdr:spPr>
        <a:xfrm>
          <a:off x="83952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417600</xdr:colOff>
      <xdr:row>117</xdr:row>
      <xdr:rowOff>114450</xdr:rowOff>
    </xdr:from>
    <xdr:to>
      <xdr:col>13</xdr:col>
      <xdr:colOff>19801</xdr:colOff>
      <xdr:row>123</xdr:row>
      <xdr:rowOff>21752</xdr:rowOff>
    </xdr:to>
    <xdr:sp macro="" textlink="">
      <xdr:nvSpPr>
        <xdr:cNvPr id="248260" name="フリーフォーム: 図形 248259">
          <a:extLst>
            <a:ext uri="{FF2B5EF4-FFF2-40B4-BE49-F238E27FC236}">
              <a16:creationId xmlns:a16="http://schemas.microsoft.com/office/drawing/2014/main" id="{6C92F868-26F3-4BC4-9845-49DFF21AD1E8}"/>
            </a:ext>
          </a:extLst>
        </xdr:cNvPr>
        <xdr:cNvSpPr>
          <a:spLocks noChangeAspect="1"/>
        </xdr:cNvSpPr>
      </xdr:nvSpPr>
      <xdr:spPr>
        <a:xfrm>
          <a:off x="86472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237600</xdr:colOff>
      <xdr:row>123</xdr:row>
      <xdr:rowOff>75750</xdr:rowOff>
    </xdr:from>
    <xdr:to>
      <xdr:col>12</xdr:col>
      <xdr:colOff>525601</xdr:colOff>
      <xdr:row>128</xdr:row>
      <xdr:rowOff>136501</xdr:rowOff>
    </xdr:to>
    <xdr:sp macro="" textlink="">
      <xdr:nvSpPr>
        <xdr:cNvPr id="248261" name="フリーフォーム: 図形 248260">
          <a:extLst>
            <a:ext uri="{FF2B5EF4-FFF2-40B4-BE49-F238E27FC236}">
              <a16:creationId xmlns:a16="http://schemas.microsoft.com/office/drawing/2014/main" id="{CE9EF600-8CF8-45A7-8D70-56779E8C319F}"/>
            </a:ext>
          </a:extLst>
        </xdr:cNvPr>
        <xdr:cNvSpPr>
          <a:spLocks noChangeAspect="1"/>
        </xdr:cNvSpPr>
      </xdr:nvSpPr>
      <xdr:spPr>
        <a:xfrm>
          <a:off x="84672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655200</xdr:colOff>
      <xdr:row>128</xdr:row>
      <xdr:rowOff>64500</xdr:rowOff>
    </xdr:from>
    <xdr:to>
      <xdr:col>11</xdr:col>
      <xdr:colOff>455401</xdr:colOff>
      <xdr:row>129</xdr:row>
      <xdr:rowOff>37051</xdr:rowOff>
    </xdr:to>
    <xdr:sp macro="" textlink="">
      <xdr:nvSpPr>
        <xdr:cNvPr id="248262" name="フリーフォーム: 図形 248261">
          <a:extLst>
            <a:ext uri="{FF2B5EF4-FFF2-40B4-BE49-F238E27FC236}">
              <a16:creationId xmlns:a16="http://schemas.microsoft.com/office/drawing/2014/main" id="{C5C5C84A-25A2-4150-B3A0-203BB8042597}"/>
            </a:ext>
          </a:extLst>
        </xdr:cNvPr>
        <xdr:cNvSpPr>
          <a:spLocks noChangeAspect="1"/>
        </xdr:cNvSpPr>
      </xdr:nvSpPr>
      <xdr:spPr>
        <a:xfrm>
          <a:off x="75132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491400</xdr:colOff>
      <xdr:row>128</xdr:row>
      <xdr:rowOff>64500</xdr:rowOff>
    </xdr:from>
    <xdr:to>
      <xdr:col>12</xdr:col>
      <xdr:colOff>273601</xdr:colOff>
      <xdr:row>129</xdr:row>
      <xdr:rowOff>37051</xdr:rowOff>
    </xdr:to>
    <xdr:sp macro="" textlink="">
      <xdr:nvSpPr>
        <xdr:cNvPr id="248263" name="フリーフォーム: 図形 248262">
          <a:extLst>
            <a:ext uri="{FF2B5EF4-FFF2-40B4-BE49-F238E27FC236}">
              <a16:creationId xmlns:a16="http://schemas.microsoft.com/office/drawing/2014/main" id="{72795191-05A3-40A3-998D-5315A38976AB}"/>
            </a:ext>
          </a:extLst>
        </xdr:cNvPr>
        <xdr:cNvSpPr>
          <a:spLocks noChangeAspect="1"/>
        </xdr:cNvSpPr>
      </xdr:nvSpPr>
      <xdr:spPr>
        <a:xfrm>
          <a:off x="80352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10</xdr:col>
      <xdr:colOff>601200</xdr:colOff>
      <xdr:row>123</xdr:row>
      <xdr:rowOff>75750</xdr:rowOff>
    </xdr:from>
    <xdr:to>
      <xdr:col>11</xdr:col>
      <xdr:colOff>203401</xdr:colOff>
      <xdr:row>128</xdr:row>
      <xdr:rowOff>136501</xdr:rowOff>
    </xdr:to>
    <xdr:sp macro="" textlink="">
      <xdr:nvSpPr>
        <xdr:cNvPr id="248264" name="フリーフォーム: 図形 248263">
          <a:extLst>
            <a:ext uri="{FF2B5EF4-FFF2-40B4-BE49-F238E27FC236}">
              <a16:creationId xmlns:a16="http://schemas.microsoft.com/office/drawing/2014/main" id="{0592E804-B338-41F6-BC33-69FF6D7B631F}"/>
            </a:ext>
          </a:extLst>
        </xdr:cNvPr>
        <xdr:cNvSpPr>
          <a:spLocks noChangeAspect="1"/>
        </xdr:cNvSpPr>
      </xdr:nvSpPr>
      <xdr:spPr>
        <a:xfrm>
          <a:off x="74592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117</xdr:row>
      <xdr:rowOff>114450</xdr:rowOff>
    </xdr:from>
    <xdr:to>
      <xdr:col>11</xdr:col>
      <xdr:colOff>347401</xdr:colOff>
      <xdr:row>123</xdr:row>
      <xdr:rowOff>21752</xdr:rowOff>
    </xdr:to>
    <xdr:sp macro="" textlink="">
      <xdr:nvSpPr>
        <xdr:cNvPr id="248265" name="フリーフォーム: 図形 248264">
          <a:extLst>
            <a:ext uri="{FF2B5EF4-FFF2-40B4-BE49-F238E27FC236}">
              <a16:creationId xmlns:a16="http://schemas.microsoft.com/office/drawing/2014/main" id="{C9C54379-D03B-434C-91F1-BC214E4429DE}"/>
            </a:ext>
          </a:extLst>
        </xdr:cNvPr>
        <xdr:cNvSpPr>
          <a:spLocks noChangeAspect="1"/>
        </xdr:cNvSpPr>
      </xdr:nvSpPr>
      <xdr:spPr>
        <a:xfrm>
          <a:off x="76392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167400</xdr:colOff>
      <xdr:row>122</xdr:row>
      <xdr:rowOff>139199</xdr:rowOff>
    </xdr:from>
    <xdr:to>
      <xdr:col>11</xdr:col>
      <xdr:colOff>617401</xdr:colOff>
      <xdr:row>123</xdr:row>
      <xdr:rowOff>111751</xdr:rowOff>
    </xdr:to>
    <xdr:sp macro="" textlink="">
      <xdr:nvSpPr>
        <xdr:cNvPr id="248266" name="フリーフォーム: 図形 248265">
          <a:extLst>
            <a:ext uri="{FF2B5EF4-FFF2-40B4-BE49-F238E27FC236}">
              <a16:creationId xmlns:a16="http://schemas.microsoft.com/office/drawing/2014/main" id="{4E9CDDF6-BEC6-498C-BD34-FD7B7CFBBF7F}"/>
            </a:ext>
          </a:extLst>
        </xdr:cNvPr>
        <xdr:cNvSpPr>
          <a:spLocks noChangeAspect="1"/>
        </xdr:cNvSpPr>
      </xdr:nvSpPr>
      <xdr:spPr>
        <a:xfrm>
          <a:off x="77112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671400</xdr:colOff>
      <xdr:row>122</xdr:row>
      <xdr:rowOff>139199</xdr:rowOff>
    </xdr:from>
    <xdr:to>
      <xdr:col>12</xdr:col>
      <xdr:colOff>435601</xdr:colOff>
      <xdr:row>123</xdr:row>
      <xdr:rowOff>111751</xdr:rowOff>
    </xdr:to>
    <xdr:sp macro="" textlink="">
      <xdr:nvSpPr>
        <xdr:cNvPr id="248267" name="フリーフォーム: 図形 248266">
          <a:extLst>
            <a:ext uri="{FF2B5EF4-FFF2-40B4-BE49-F238E27FC236}">
              <a16:creationId xmlns:a16="http://schemas.microsoft.com/office/drawing/2014/main" id="{3649377D-CB12-4AA9-852D-FCEA5DD54D63}"/>
            </a:ext>
          </a:extLst>
        </xdr:cNvPr>
        <xdr:cNvSpPr>
          <a:spLocks noChangeAspect="1"/>
        </xdr:cNvSpPr>
      </xdr:nvSpPr>
      <xdr:spPr>
        <a:xfrm>
          <a:off x="82152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365400</xdr:colOff>
      <xdr:row>118</xdr:row>
      <xdr:rowOff>51000</xdr:rowOff>
    </xdr:from>
    <xdr:to>
      <xdr:col>11</xdr:col>
      <xdr:colOff>635401</xdr:colOff>
      <xdr:row>123</xdr:row>
      <xdr:rowOff>3751</xdr:rowOff>
    </xdr:to>
    <xdr:sp macro="" textlink="">
      <xdr:nvSpPr>
        <xdr:cNvPr id="248268" name="フリーフォーム: 図形 248267">
          <a:extLst>
            <a:ext uri="{FF2B5EF4-FFF2-40B4-BE49-F238E27FC236}">
              <a16:creationId xmlns:a16="http://schemas.microsoft.com/office/drawing/2014/main" id="{20BAE689-74E0-44D3-A0ED-D0005762A155}"/>
            </a:ext>
          </a:extLst>
        </xdr:cNvPr>
        <xdr:cNvSpPr>
          <a:spLocks noChangeAspect="1"/>
        </xdr:cNvSpPr>
      </xdr:nvSpPr>
      <xdr:spPr>
        <a:xfrm>
          <a:off x="79092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635400</xdr:colOff>
      <xdr:row>117</xdr:row>
      <xdr:rowOff>114450</xdr:rowOff>
    </xdr:from>
    <xdr:to>
      <xdr:col>12</xdr:col>
      <xdr:colOff>201601</xdr:colOff>
      <xdr:row>122</xdr:row>
      <xdr:rowOff>157201</xdr:rowOff>
    </xdr:to>
    <xdr:sp macro="" textlink="">
      <xdr:nvSpPr>
        <xdr:cNvPr id="248269" name="フリーフォーム: 図形 248268">
          <a:extLst>
            <a:ext uri="{FF2B5EF4-FFF2-40B4-BE49-F238E27FC236}">
              <a16:creationId xmlns:a16="http://schemas.microsoft.com/office/drawing/2014/main" id="{83948928-29AD-4838-B2E6-8E94744DA4BD}"/>
            </a:ext>
          </a:extLst>
        </xdr:cNvPr>
        <xdr:cNvSpPr>
          <a:spLocks noChangeAspect="1"/>
        </xdr:cNvSpPr>
      </xdr:nvSpPr>
      <xdr:spPr>
        <a:xfrm>
          <a:off x="81792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12</xdr:col>
      <xdr:colOff>3600</xdr:colOff>
      <xdr:row>118</xdr:row>
      <xdr:rowOff>69000</xdr:rowOff>
    </xdr:from>
    <xdr:to>
      <xdr:col>12</xdr:col>
      <xdr:colOff>525601</xdr:colOff>
      <xdr:row>123</xdr:row>
      <xdr:rowOff>3751</xdr:rowOff>
    </xdr:to>
    <xdr:sp macro="" textlink="">
      <xdr:nvSpPr>
        <xdr:cNvPr id="248270" name="フリーフォーム: 図形 248269">
          <a:extLst>
            <a:ext uri="{FF2B5EF4-FFF2-40B4-BE49-F238E27FC236}">
              <a16:creationId xmlns:a16="http://schemas.microsoft.com/office/drawing/2014/main" id="{32B38472-C510-4658-AF69-7F813741F698}"/>
            </a:ext>
          </a:extLst>
        </xdr:cNvPr>
        <xdr:cNvSpPr>
          <a:spLocks noChangeAspect="1"/>
        </xdr:cNvSpPr>
      </xdr:nvSpPr>
      <xdr:spPr>
        <a:xfrm>
          <a:off x="82332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653400</xdr:colOff>
      <xdr:row>123</xdr:row>
      <xdr:rowOff>75750</xdr:rowOff>
    </xdr:from>
    <xdr:to>
      <xdr:col>12</xdr:col>
      <xdr:colOff>237601</xdr:colOff>
      <xdr:row>127</xdr:row>
      <xdr:rowOff>163951</xdr:rowOff>
    </xdr:to>
    <xdr:sp macro="" textlink="">
      <xdr:nvSpPr>
        <xdr:cNvPr id="248271" name="フリーフォーム: 図形 248270">
          <a:extLst>
            <a:ext uri="{FF2B5EF4-FFF2-40B4-BE49-F238E27FC236}">
              <a16:creationId xmlns:a16="http://schemas.microsoft.com/office/drawing/2014/main" id="{616F25DC-CE0C-4395-8088-B379CBC42B14}"/>
            </a:ext>
          </a:extLst>
        </xdr:cNvPr>
        <xdr:cNvSpPr>
          <a:spLocks noChangeAspect="1"/>
        </xdr:cNvSpPr>
      </xdr:nvSpPr>
      <xdr:spPr>
        <a:xfrm>
          <a:off x="81972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419400</xdr:colOff>
      <xdr:row>123</xdr:row>
      <xdr:rowOff>93749</xdr:rowOff>
    </xdr:from>
    <xdr:to>
      <xdr:col>11</xdr:col>
      <xdr:colOff>653401</xdr:colOff>
      <xdr:row>128</xdr:row>
      <xdr:rowOff>118501</xdr:rowOff>
    </xdr:to>
    <xdr:sp macro="" textlink="">
      <xdr:nvSpPr>
        <xdr:cNvPr id="248272" name="フリーフォーム: 図形 248271">
          <a:extLst>
            <a:ext uri="{FF2B5EF4-FFF2-40B4-BE49-F238E27FC236}">
              <a16:creationId xmlns:a16="http://schemas.microsoft.com/office/drawing/2014/main" id="{5520CD2E-ABE7-4C9E-8C01-1A79C5D18513}"/>
            </a:ext>
          </a:extLst>
        </xdr:cNvPr>
        <xdr:cNvSpPr>
          <a:spLocks noChangeAspect="1"/>
        </xdr:cNvSpPr>
      </xdr:nvSpPr>
      <xdr:spPr>
        <a:xfrm>
          <a:off x="79632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11</xdr:col>
      <xdr:colOff>95400</xdr:colOff>
      <xdr:row>123</xdr:row>
      <xdr:rowOff>75750</xdr:rowOff>
    </xdr:from>
    <xdr:to>
      <xdr:col>11</xdr:col>
      <xdr:colOff>617401</xdr:colOff>
      <xdr:row>128</xdr:row>
      <xdr:rowOff>10501</xdr:rowOff>
    </xdr:to>
    <xdr:sp macro="" textlink="">
      <xdr:nvSpPr>
        <xdr:cNvPr id="248273" name="フリーフォーム: 図形 248272">
          <a:extLst>
            <a:ext uri="{FF2B5EF4-FFF2-40B4-BE49-F238E27FC236}">
              <a16:creationId xmlns:a16="http://schemas.microsoft.com/office/drawing/2014/main" id="{B4165BCB-0A91-410C-91C2-5CE4F8AECA0C}"/>
            </a:ext>
          </a:extLst>
        </xdr:cNvPr>
        <xdr:cNvSpPr>
          <a:spLocks noChangeAspect="1"/>
        </xdr:cNvSpPr>
      </xdr:nvSpPr>
      <xdr:spPr>
        <a:xfrm>
          <a:off x="76392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82800</xdr:colOff>
      <xdr:row>117</xdr:row>
      <xdr:rowOff>42450</xdr:rowOff>
    </xdr:from>
    <xdr:to>
      <xdr:col>14</xdr:col>
      <xdr:colOff>550801</xdr:colOff>
      <xdr:row>118</xdr:row>
      <xdr:rowOff>15002</xdr:rowOff>
    </xdr:to>
    <xdr:sp macro="" textlink="">
      <xdr:nvSpPr>
        <xdr:cNvPr id="248274" name="フリーフォーム: 図形 248273">
          <a:extLst>
            <a:ext uri="{FF2B5EF4-FFF2-40B4-BE49-F238E27FC236}">
              <a16:creationId xmlns:a16="http://schemas.microsoft.com/office/drawing/2014/main" id="{A1AD096A-70C9-4790-B388-94994B7F26B3}"/>
            </a:ext>
          </a:extLst>
        </xdr:cNvPr>
        <xdr:cNvSpPr>
          <a:spLocks noChangeAspect="1"/>
        </xdr:cNvSpPr>
      </xdr:nvSpPr>
      <xdr:spPr>
        <a:xfrm>
          <a:off x="96840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622800</xdr:colOff>
      <xdr:row>117</xdr:row>
      <xdr:rowOff>42450</xdr:rowOff>
    </xdr:from>
    <xdr:to>
      <xdr:col>15</xdr:col>
      <xdr:colOff>405001</xdr:colOff>
      <xdr:row>118</xdr:row>
      <xdr:rowOff>15002</xdr:rowOff>
    </xdr:to>
    <xdr:sp macro="" textlink="">
      <xdr:nvSpPr>
        <xdr:cNvPr id="248275" name="フリーフォーム: 図形 248274">
          <a:extLst>
            <a:ext uri="{FF2B5EF4-FFF2-40B4-BE49-F238E27FC236}">
              <a16:creationId xmlns:a16="http://schemas.microsoft.com/office/drawing/2014/main" id="{41ED2984-C78C-4ECB-A642-F841D13E0430}"/>
            </a:ext>
          </a:extLst>
        </xdr:cNvPr>
        <xdr:cNvSpPr>
          <a:spLocks noChangeAspect="1"/>
        </xdr:cNvSpPr>
      </xdr:nvSpPr>
      <xdr:spPr>
        <a:xfrm>
          <a:off x="102240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189000</xdr:colOff>
      <xdr:row>117</xdr:row>
      <xdr:rowOff>114450</xdr:rowOff>
    </xdr:from>
    <xdr:to>
      <xdr:col>15</xdr:col>
      <xdr:colOff>477001</xdr:colOff>
      <xdr:row>123</xdr:row>
      <xdr:rowOff>21752</xdr:rowOff>
    </xdr:to>
    <xdr:sp macro="" textlink="">
      <xdr:nvSpPr>
        <xdr:cNvPr id="248276" name="フリーフォーム: 図形 248275">
          <a:extLst>
            <a:ext uri="{FF2B5EF4-FFF2-40B4-BE49-F238E27FC236}">
              <a16:creationId xmlns:a16="http://schemas.microsoft.com/office/drawing/2014/main" id="{51E6D7CF-BADC-4F64-9F52-594EBF948751}"/>
            </a:ext>
          </a:extLst>
        </xdr:cNvPr>
        <xdr:cNvSpPr>
          <a:spLocks noChangeAspect="1"/>
        </xdr:cNvSpPr>
      </xdr:nvSpPr>
      <xdr:spPr>
        <a:xfrm>
          <a:off x="104760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15</xdr:col>
      <xdr:colOff>9000</xdr:colOff>
      <xdr:row>123</xdr:row>
      <xdr:rowOff>75750</xdr:rowOff>
    </xdr:from>
    <xdr:to>
      <xdr:col>15</xdr:col>
      <xdr:colOff>297001</xdr:colOff>
      <xdr:row>128</xdr:row>
      <xdr:rowOff>136501</xdr:rowOff>
    </xdr:to>
    <xdr:sp macro="" textlink="">
      <xdr:nvSpPr>
        <xdr:cNvPr id="248277" name="フリーフォーム: 図形 248276">
          <a:extLst>
            <a:ext uri="{FF2B5EF4-FFF2-40B4-BE49-F238E27FC236}">
              <a16:creationId xmlns:a16="http://schemas.microsoft.com/office/drawing/2014/main" id="{29521623-8655-40C3-B03B-58514B017792}"/>
            </a:ext>
          </a:extLst>
        </xdr:cNvPr>
        <xdr:cNvSpPr>
          <a:spLocks noChangeAspect="1"/>
        </xdr:cNvSpPr>
      </xdr:nvSpPr>
      <xdr:spPr>
        <a:xfrm>
          <a:off x="102960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426600</xdr:colOff>
      <xdr:row>128</xdr:row>
      <xdr:rowOff>64500</xdr:rowOff>
    </xdr:from>
    <xdr:to>
      <xdr:col>14</xdr:col>
      <xdr:colOff>226801</xdr:colOff>
      <xdr:row>129</xdr:row>
      <xdr:rowOff>37051</xdr:rowOff>
    </xdr:to>
    <xdr:sp macro="" textlink="">
      <xdr:nvSpPr>
        <xdr:cNvPr id="248278" name="フリーフォーム: 図形 248277">
          <a:extLst>
            <a:ext uri="{FF2B5EF4-FFF2-40B4-BE49-F238E27FC236}">
              <a16:creationId xmlns:a16="http://schemas.microsoft.com/office/drawing/2014/main" id="{7D4991DE-75F3-4AE2-B07D-038E9BA56A3B}"/>
            </a:ext>
          </a:extLst>
        </xdr:cNvPr>
        <xdr:cNvSpPr>
          <a:spLocks noChangeAspect="1"/>
        </xdr:cNvSpPr>
      </xdr:nvSpPr>
      <xdr:spPr>
        <a:xfrm>
          <a:off x="93420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262800</xdr:colOff>
      <xdr:row>128</xdr:row>
      <xdr:rowOff>64500</xdr:rowOff>
    </xdr:from>
    <xdr:to>
      <xdr:col>15</xdr:col>
      <xdr:colOff>45001</xdr:colOff>
      <xdr:row>129</xdr:row>
      <xdr:rowOff>37051</xdr:rowOff>
    </xdr:to>
    <xdr:sp macro="" textlink="">
      <xdr:nvSpPr>
        <xdr:cNvPr id="248279" name="フリーフォーム: 図形 248278">
          <a:extLst>
            <a:ext uri="{FF2B5EF4-FFF2-40B4-BE49-F238E27FC236}">
              <a16:creationId xmlns:a16="http://schemas.microsoft.com/office/drawing/2014/main" id="{3F96C27B-65EB-4E9E-A434-4C19E9FB664B}"/>
            </a:ext>
          </a:extLst>
        </xdr:cNvPr>
        <xdr:cNvSpPr>
          <a:spLocks noChangeAspect="1"/>
        </xdr:cNvSpPr>
      </xdr:nvSpPr>
      <xdr:spPr>
        <a:xfrm>
          <a:off x="98640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372600</xdr:colOff>
      <xdr:row>123</xdr:row>
      <xdr:rowOff>75750</xdr:rowOff>
    </xdr:from>
    <xdr:to>
      <xdr:col>13</xdr:col>
      <xdr:colOff>660601</xdr:colOff>
      <xdr:row>128</xdr:row>
      <xdr:rowOff>136501</xdr:rowOff>
    </xdr:to>
    <xdr:sp macro="" textlink="">
      <xdr:nvSpPr>
        <xdr:cNvPr id="248280" name="フリーフォーム: 図形 248279">
          <a:extLst>
            <a:ext uri="{FF2B5EF4-FFF2-40B4-BE49-F238E27FC236}">
              <a16:creationId xmlns:a16="http://schemas.microsoft.com/office/drawing/2014/main" id="{3AD45330-D5AD-4F55-BD98-15F1A1B47ECA}"/>
            </a:ext>
          </a:extLst>
        </xdr:cNvPr>
        <xdr:cNvSpPr>
          <a:spLocks noChangeAspect="1"/>
        </xdr:cNvSpPr>
      </xdr:nvSpPr>
      <xdr:spPr>
        <a:xfrm>
          <a:off x="92880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117</xdr:row>
      <xdr:rowOff>114450</xdr:rowOff>
    </xdr:from>
    <xdr:to>
      <xdr:col>14</xdr:col>
      <xdr:colOff>118801</xdr:colOff>
      <xdr:row>123</xdr:row>
      <xdr:rowOff>21752</xdr:rowOff>
    </xdr:to>
    <xdr:sp macro="" textlink="">
      <xdr:nvSpPr>
        <xdr:cNvPr id="248281" name="フリーフォーム: 図形 248280">
          <a:extLst>
            <a:ext uri="{FF2B5EF4-FFF2-40B4-BE49-F238E27FC236}">
              <a16:creationId xmlns:a16="http://schemas.microsoft.com/office/drawing/2014/main" id="{3F433772-83C4-4033-B149-124674F66EE4}"/>
            </a:ext>
          </a:extLst>
        </xdr:cNvPr>
        <xdr:cNvSpPr>
          <a:spLocks noChangeAspect="1"/>
        </xdr:cNvSpPr>
      </xdr:nvSpPr>
      <xdr:spPr>
        <a:xfrm>
          <a:off x="94680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624600</xdr:colOff>
      <xdr:row>122</xdr:row>
      <xdr:rowOff>139199</xdr:rowOff>
    </xdr:from>
    <xdr:to>
      <xdr:col>14</xdr:col>
      <xdr:colOff>388801</xdr:colOff>
      <xdr:row>123</xdr:row>
      <xdr:rowOff>111751</xdr:rowOff>
    </xdr:to>
    <xdr:sp macro="" textlink="">
      <xdr:nvSpPr>
        <xdr:cNvPr id="248282" name="フリーフォーム: 図形 248281">
          <a:extLst>
            <a:ext uri="{FF2B5EF4-FFF2-40B4-BE49-F238E27FC236}">
              <a16:creationId xmlns:a16="http://schemas.microsoft.com/office/drawing/2014/main" id="{4E8662A9-57CD-48F0-B1B1-15D9082D69D7}"/>
            </a:ext>
          </a:extLst>
        </xdr:cNvPr>
        <xdr:cNvSpPr>
          <a:spLocks noChangeAspect="1"/>
        </xdr:cNvSpPr>
      </xdr:nvSpPr>
      <xdr:spPr>
        <a:xfrm>
          <a:off x="95400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442800</xdr:colOff>
      <xdr:row>122</xdr:row>
      <xdr:rowOff>139199</xdr:rowOff>
    </xdr:from>
    <xdr:to>
      <xdr:col>15</xdr:col>
      <xdr:colOff>207001</xdr:colOff>
      <xdr:row>123</xdr:row>
      <xdr:rowOff>111751</xdr:rowOff>
    </xdr:to>
    <xdr:sp macro="" textlink="">
      <xdr:nvSpPr>
        <xdr:cNvPr id="248283" name="フリーフォーム: 図形 248282">
          <a:extLst>
            <a:ext uri="{FF2B5EF4-FFF2-40B4-BE49-F238E27FC236}">
              <a16:creationId xmlns:a16="http://schemas.microsoft.com/office/drawing/2014/main" id="{35484E05-5DF0-403C-9A65-B6980913C92F}"/>
            </a:ext>
          </a:extLst>
        </xdr:cNvPr>
        <xdr:cNvSpPr>
          <a:spLocks noChangeAspect="1"/>
        </xdr:cNvSpPr>
      </xdr:nvSpPr>
      <xdr:spPr>
        <a:xfrm>
          <a:off x="100440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136800</xdr:colOff>
      <xdr:row>118</xdr:row>
      <xdr:rowOff>51000</xdr:rowOff>
    </xdr:from>
    <xdr:to>
      <xdr:col>14</xdr:col>
      <xdr:colOff>406801</xdr:colOff>
      <xdr:row>123</xdr:row>
      <xdr:rowOff>3751</xdr:rowOff>
    </xdr:to>
    <xdr:sp macro="" textlink="">
      <xdr:nvSpPr>
        <xdr:cNvPr id="248284" name="フリーフォーム: 図形 248283">
          <a:extLst>
            <a:ext uri="{FF2B5EF4-FFF2-40B4-BE49-F238E27FC236}">
              <a16:creationId xmlns:a16="http://schemas.microsoft.com/office/drawing/2014/main" id="{70097881-3282-44A7-B637-A75E25F7B4ED}"/>
            </a:ext>
          </a:extLst>
        </xdr:cNvPr>
        <xdr:cNvSpPr>
          <a:spLocks noChangeAspect="1"/>
        </xdr:cNvSpPr>
      </xdr:nvSpPr>
      <xdr:spPr>
        <a:xfrm>
          <a:off x="97380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406800</xdr:colOff>
      <xdr:row>117</xdr:row>
      <xdr:rowOff>114450</xdr:rowOff>
    </xdr:from>
    <xdr:to>
      <xdr:col>14</xdr:col>
      <xdr:colOff>658801</xdr:colOff>
      <xdr:row>122</xdr:row>
      <xdr:rowOff>157201</xdr:rowOff>
    </xdr:to>
    <xdr:sp macro="" textlink="">
      <xdr:nvSpPr>
        <xdr:cNvPr id="248285" name="フリーフォーム: 図形 248284">
          <a:extLst>
            <a:ext uri="{FF2B5EF4-FFF2-40B4-BE49-F238E27FC236}">
              <a16:creationId xmlns:a16="http://schemas.microsoft.com/office/drawing/2014/main" id="{1C7512DA-E96C-445B-90CE-5B594254314D}"/>
            </a:ext>
          </a:extLst>
        </xdr:cNvPr>
        <xdr:cNvSpPr>
          <a:spLocks noChangeAspect="1"/>
        </xdr:cNvSpPr>
      </xdr:nvSpPr>
      <xdr:spPr>
        <a:xfrm>
          <a:off x="100080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460800</xdr:colOff>
      <xdr:row>118</xdr:row>
      <xdr:rowOff>69000</xdr:rowOff>
    </xdr:from>
    <xdr:to>
      <xdr:col>15</xdr:col>
      <xdr:colOff>297001</xdr:colOff>
      <xdr:row>123</xdr:row>
      <xdr:rowOff>3751</xdr:rowOff>
    </xdr:to>
    <xdr:sp macro="" textlink="">
      <xdr:nvSpPr>
        <xdr:cNvPr id="248286" name="フリーフォーム: 図形 248285">
          <a:extLst>
            <a:ext uri="{FF2B5EF4-FFF2-40B4-BE49-F238E27FC236}">
              <a16:creationId xmlns:a16="http://schemas.microsoft.com/office/drawing/2014/main" id="{B3EB7154-9C4B-4BCE-8434-ECA68C2C6700}"/>
            </a:ext>
          </a:extLst>
        </xdr:cNvPr>
        <xdr:cNvSpPr>
          <a:spLocks noChangeAspect="1"/>
        </xdr:cNvSpPr>
      </xdr:nvSpPr>
      <xdr:spPr>
        <a:xfrm>
          <a:off x="100620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424800</xdr:colOff>
      <xdr:row>123</xdr:row>
      <xdr:rowOff>75750</xdr:rowOff>
    </xdr:from>
    <xdr:to>
      <xdr:col>15</xdr:col>
      <xdr:colOff>9001</xdr:colOff>
      <xdr:row>127</xdr:row>
      <xdr:rowOff>163951</xdr:rowOff>
    </xdr:to>
    <xdr:sp macro="" textlink="">
      <xdr:nvSpPr>
        <xdr:cNvPr id="248287" name="フリーフォーム: 図形 248286">
          <a:extLst>
            <a:ext uri="{FF2B5EF4-FFF2-40B4-BE49-F238E27FC236}">
              <a16:creationId xmlns:a16="http://schemas.microsoft.com/office/drawing/2014/main" id="{A96024EA-4486-424A-BE1C-F5BC35806887}"/>
            </a:ext>
          </a:extLst>
        </xdr:cNvPr>
        <xdr:cNvSpPr>
          <a:spLocks noChangeAspect="1"/>
        </xdr:cNvSpPr>
      </xdr:nvSpPr>
      <xdr:spPr>
        <a:xfrm>
          <a:off x="100260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14</xdr:col>
      <xdr:colOff>190800</xdr:colOff>
      <xdr:row>123</xdr:row>
      <xdr:rowOff>93749</xdr:rowOff>
    </xdr:from>
    <xdr:to>
      <xdr:col>14</xdr:col>
      <xdr:colOff>424801</xdr:colOff>
      <xdr:row>128</xdr:row>
      <xdr:rowOff>118501</xdr:rowOff>
    </xdr:to>
    <xdr:sp macro="" textlink="">
      <xdr:nvSpPr>
        <xdr:cNvPr id="248288" name="フリーフォーム: 図形 248287">
          <a:extLst>
            <a:ext uri="{FF2B5EF4-FFF2-40B4-BE49-F238E27FC236}">
              <a16:creationId xmlns:a16="http://schemas.microsoft.com/office/drawing/2014/main" id="{55E9DE7C-6798-4235-8E1A-1527BCC3F6C4}"/>
            </a:ext>
          </a:extLst>
        </xdr:cNvPr>
        <xdr:cNvSpPr>
          <a:spLocks noChangeAspect="1"/>
        </xdr:cNvSpPr>
      </xdr:nvSpPr>
      <xdr:spPr>
        <a:xfrm>
          <a:off x="97920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13</xdr:col>
      <xdr:colOff>552600</xdr:colOff>
      <xdr:row>123</xdr:row>
      <xdr:rowOff>75750</xdr:rowOff>
    </xdr:from>
    <xdr:to>
      <xdr:col>14</xdr:col>
      <xdr:colOff>388801</xdr:colOff>
      <xdr:row>128</xdr:row>
      <xdr:rowOff>10501</xdr:rowOff>
    </xdr:to>
    <xdr:sp macro="" textlink="">
      <xdr:nvSpPr>
        <xdr:cNvPr id="248289" name="フリーフォーム: 図形 248288">
          <a:extLst>
            <a:ext uri="{FF2B5EF4-FFF2-40B4-BE49-F238E27FC236}">
              <a16:creationId xmlns:a16="http://schemas.microsoft.com/office/drawing/2014/main" id="{9F508580-B064-456F-A54A-3619E933FAC8}"/>
            </a:ext>
          </a:extLst>
        </xdr:cNvPr>
        <xdr:cNvSpPr>
          <a:spLocks noChangeAspect="1"/>
        </xdr:cNvSpPr>
      </xdr:nvSpPr>
      <xdr:spPr>
        <a:xfrm>
          <a:off x="94680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540000</xdr:colOff>
      <xdr:row>117</xdr:row>
      <xdr:rowOff>42450</xdr:rowOff>
    </xdr:from>
    <xdr:to>
      <xdr:col>17</xdr:col>
      <xdr:colOff>322201</xdr:colOff>
      <xdr:row>118</xdr:row>
      <xdr:rowOff>15002</xdr:rowOff>
    </xdr:to>
    <xdr:sp macro="" textlink="">
      <xdr:nvSpPr>
        <xdr:cNvPr id="248290" name="フリーフォーム: 図形 248289">
          <a:extLst>
            <a:ext uri="{FF2B5EF4-FFF2-40B4-BE49-F238E27FC236}">
              <a16:creationId xmlns:a16="http://schemas.microsoft.com/office/drawing/2014/main" id="{5A6FC41C-1957-4BCF-B3F0-B5BB955D790D}"/>
            </a:ext>
          </a:extLst>
        </xdr:cNvPr>
        <xdr:cNvSpPr>
          <a:spLocks noChangeAspect="1"/>
        </xdr:cNvSpPr>
      </xdr:nvSpPr>
      <xdr:spPr>
        <a:xfrm>
          <a:off x="11512800" y="20368800"/>
          <a:ext cx="468001" cy="144002"/>
        </a:xfrm>
        <a:custGeom>
          <a:avLst/>
          <a:gdLst/>
          <a:ahLst/>
          <a:cxnLst/>
          <a:rect l="0" t="0" r="0" b="0"/>
          <a:pathLst>
            <a:path w="468001" h="144002">
              <a:moveTo>
                <a:pt x="72000" y="0"/>
              </a:moveTo>
              <a:lnTo>
                <a:pt x="432000" y="0"/>
              </a:lnTo>
              <a:lnTo>
                <a:pt x="468000" y="35999"/>
              </a:lnTo>
              <a:lnTo>
                <a:pt x="360000"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394200</xdr:colOff>
      <xdr:row>117</xdr:row>
      <xdr:rowOff>42450</xdr:rowOff>
    </xdr:from>
    <xdr:to>
      <xdr:col>18</xdr:col>
      <xdr:colOff>176401</xdr:colOff>
      <xdr:row>118</xdr:row>
      <xdr:rowOff>15002</xdr:rowOff>
    </xdr:to>
    <xdr:sp macro="" textlink="">
      <xdr:nvSpPr>
        <xdr:cNvPr id="248291" name="フリーフォーム: 図形 248290">
          <a:extLst>
            <a:ext uri="{FF2B5EF4-FFF2-40B4-BE49-F238E27FC236}">
              <a16:creationId xmlns:a16="http://schemas.microsoft.com/office/drawing/2014/main" id="{058349C0-1BA2-45D3-B07B-EAD7852D842F}"/>
            </a:ext>
          </a:extLst>
        </xdr:cNvPr>
        <xdr:cNvSpPr>
          <a:spLocks noChangeAspect="1"/>
        </xdr:cNvSpPr>
      </xdr:nvSpPr>
      <xdr:spPr>
        <a:xfrm>
          <a:off x="12052800" y="20368800"/>
          <a:ext cx="468001" cy="144002"/>
        </a:xfrm>
        <a:custGeom>
          <a:avLst/>
          <a:gdLst/>
          <a:ahLst/>
          <a:cxnLst/>
          <a:rect l="0" t="0" r="0" b="0"/>
          <a:pathLst>
            <a:path w="468001" h="144002">
              <a:moveTo>
                <a:pt x="72000" y="0"/>
              </a:moveTo>
              <a:lnTo>
                <a:pt x="432000" y="0"/>
              </a:lnTo>
              <a:lnTo>
                <a:pt x="468000" y="35999"/>
              </a:lnTo>
              <a:lnTo>
                <a:pt x="360000" y="144001"/>
              </a:lnTo>
              <a:lnTo>
                <a:pt x="90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646200</xdr:colOff>
      <xdr:row>117</xdr:row>
      <xdr:rowOff>114450</xdr:rowOff>
    </xdr:from>
    <xdr:to>
      <xdr:col>18</xdr:col>
      <xdr:colOff>248401</xdr:colOff>
      <xdr:row>123</xdr:row>
      <xdr:rowOff>21752</xdr:rowOff>
    </xdr:to>
    <xdr:sp macro="" textlink="">
      <xdr:nvSpPr>
        <xdr:cNvPr id="248292" name="フリーフォーム: 図形 248291">
          <a:extLst>
            <a:ext uri="{FF2B5EF4-FFF2-40B4-BE49-F238E27FC236}">
              <a16:creationId xmlns:a16="http://schemas.microsoft.com/office/drawing/2014/main" id="{A4B8141A-570D-4DA0-84F4-7E05055EC114}"/>
            </a:ext>
          </a:extLst>
        </xdr:cNvPr>
        <xdr:cNvSpPr>
          <a:spLocks noChangeAspect="1"/>
        </xdr:cNvSpPr>
      </xdr:nvSpPr>
      <xdr:spPr>
        <a:xfrm>
          <a:off x="12304800" y="20440800"/>
          <a:ext cx="288001" cy="936002"/>
        </a:xfrm>
        <a:custGeom>
          <a:avLst/>
          <a:gdLst/>
          <a:ahLst/>
          <a:cxnLst/>
          <a:rect l="0" t="0" r="0" b="0"/>
          <a:pathLst>
            <a:path w="288001" h="936002">
              <a:moveTo>
                <a:pt x="144000" y="108000"/>
              </a:moveTo>
              <a:lnTo>
                <a:pt x="252000" y="0"/>
              </a:lnTo>
              <a:lnTo>
                <a:pt x="288000" y="72001"/>
              </a:lnTo>
              <a:lnTo>
                <a:pt x="144000"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466200</xdr:colOff>
      <xdr:row>123</xdr:row>
      <xdr:rowOff>75750</xdr:rowOff>
    </xdr:from>
    <xdr:to>
      <xdr:col>18</xdr:col>
      <xdr:colOff>68401</xdr:colOff>
      <xdr:row>128</xdr:row>
      <xdr:rowOff>136501</xdr:rowOff>
    </xdr:to>
    <xdr:sp macro="" textlink="">
      <xdr:nvSpPr>
        <xdr:cNvPr id="248293" name="フリーフォーム: 図形 248292">
          <a:extLst>
            <a:ext uri="{FF2B5EF4-FFF2-40B4-BE49-F238E27FC236}">
              <a16:creationId xmlns:a16="http://schemas.microsoft.com/office/drawing/2014/main" id="{76354E4B-1EC3-478A-8EE6-B40E1A8A2D28}"/>
            </a:ext>
          </a:extLst>
        </xdr:cNvPr>
        <xdr:cNvSpPr>
          <a:spLocks noChangeAspect="1"/>
        </xdr:cNvSpPr>
      </xdr:nvSpPr>
      <xdr:spPr>
        <a:xfrm>
          <a:off x="12124800" y="21430800"/>
          <a:ext cx="288001" cy="918001"/>
        </a:xfrm>
        <a:custGeom>
          <a:avLst/>
          <a:gdLst/>
          <a:ahLst/>
          <a:cxnLst/>
          <a:rect l="0" t="0" r="0" b="0"/>
          <a:pathLst>
            <a:path w="288001" h="918001">
              <a:moveTo>
                <a:pt x="144000" y="72001"/>
              </a:moveTo>
              <a:lnTo>
                <a:pt x="216000" y="0"/>
              </a:lnTo>
              <a:lnTo>
                <a:pt x="288000" y="54000"/>
              </a:lnTo>
              <a:lnTo>
                <a:pt x="144000" y="846000"/>
              </a:lnTo>
              <a:lnTo>
                <a:pt x="72000"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198000</xdr:colOff>
      <xdr:row>128</xdr:row>
      <xdr:rowOff>64500</xdr:rowOff>
    </xdr:from>
    <xdr:to>
      <xdr:col>16</xdr:col>
      <xdr:colOff>684001</xdr:colOff>
      <xdr:row>129</xdr:row>
      <xdr:rowOff>37051</xdr:rowOff>
    </xdr:to>
    <xdr:sp macro="" textlink="">
      <xdr:nvSpPr>
        <xdr:cNvPr id="248294" name="フリーフォーム: 図形 248293">
          <a:extLst>
            <a:ext uri="{FF2B5EF4-FFF2-40B4-BE49-F238E27FC236}">
              <a16:creationId xmlns:a16="http://schemas.microsoft.com/office/drawing/2014/main" id="{CF0DA4AA-7729-40C2-9C81-B10B19CE2A5C}"/>
            </a:ext>
          </a:extLst>
        </xdr:cNvPr>
        <xdr:cNvSpPr>
          <a:spLocks noChangeAspect="1"/>
        </xdr:cNvSpPr>
      </xdr:nvSpPr>
      <xdr:spPr>
        <a:xfrm>
          <a:off x="11170800" y="22276800"/>
          <a:ext cx="486001" cy="144001"/>
        </a:xfrm>
        <a:custGeom>
          <a:avLst/>
          <a:gdLst/>
          <a:ahLst/>
          <a:cxnLst/>
          <a:rect l="0" t="0" r="0" b="0"/>
          <a:pathLst>
            <a:path w="486001" h="144001">
              <a:moveTo>
                <a:pt x="126000" y="0"/>
              </a:moveTo>
              <a:lnTo>
                <a:pt x="396000"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34200</xdr:colOff>
      <xdr:row>128</xdr:row>
      <xdr:rowOff>64500</xdr:rowOff>
    </xdr:from>
    <xdr:to>
      <xdr:col>17</xdr:col>
      <xdr:colOff>502201</xdr:colOff>
      <xdr:row>129</xdr:row>
      <xdr:rowOff>37051</xdr:rowOff>
    </xdr:to>
    <xdr:sp macro="" textlink="">
      <xdr:nvSpPr>
        <xdr:cNvPr id="248295" name="フリーフォーム: 図形 248294">
          <a:extLst>
            <a:ext uri="{FF2B5EF4-FFF2-40B4-BE49-F238E27FC236}">
              <a16:creationId xmlns:a16="http://schemas.microsoft.com/office/drawing/2014/main" id="{EAEFB5E1-DD96-4B97-A617-A225E112B9E3}"/>
            </a:ext>
          </a:extLst>
        </xdr:cNvPr>
        <xdr:cNvSpPr>
          <a:spLocks noChangeAspect="1"/>
        </xdr:cNvSpPr>
      </xdr:nvSpPr>
      <xdr:spPr>
        <a:xfrm>
          <a:off x="11692800" y="22276800"/>
          <a:ext cx="468001" cy="144001"/>
        </a:xfrm>
        <a:custGeom>
          <a:avLst/>
          <a:gdLst/>
          <a:ahLst/>
          <a:cxnLst/>
          <a:rect l="0" t="0" r="0" b="0"/>
          <a:pathLst>
            <a:path w="468001" h="144001">
              <a:moveTo>
                <a:pt x="144000" y="0"/>
              </a:moveTo>
              <a:lnTo>
                <a:pt x="396000" y="0"/>
              </a:lnTo>
              <a:lnTo>
                <a:pt x="468000" y="108000"/>
              </a:lnTo>
              <a:lnTo>
                <a:pt x="432000" y="144000"/>
              </a:lnTo>
              <a:lnTo>
                <a:pt x="36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144000</xdr:colOff>
      <xdr:row>123</xdr:row>
      <xdr:rowOff>75750</xdr:rowOff>
    </xdr:from>
    <xdr:to>
      <xdr:col>16</xdr:col>
      <xdr:colOff>432001</xdr:colOff>
      <xdr:row>128</xdr:row>
      <xdr:rowOff>136501</xdr:rowOff>
    </xdr:to>
    <xdr:sp macro="" textlink="">
      <xdr:nvSpPr>
        <xdr:cNvPr id="248296" name="フリーフォーム: 図形 248295">
          <a:extLst>
            <a:ext uri="{FF2B5EF4-FFF2-40B4-BE49-F238E27FC236}">
              <a16:creationId xmlns:a16="http://schemas.microsoft.com/office/drawing/2014/main" id="{39435D4E-A724-44A4-9C88-904015DBAC77}"/>
            </a:ext>
          </a:extLst>
        </xdr:cNvPr>
        <xdr:cNvSpPr>
          <a:spLocks noChangeAspect="1"/>
        </xdr:cNvSpPr>
      </xdr:nvSpPr>
      <xdr:spPr>
        <a:xfrm>
          <a:off x="11116800" y="21430800"/>
          <a:ext cx="288001" cy="918001"/>
        </a:xfrm>
        <a:custGeom>
          <a:avLst/>
          <a:gdLst/>
          <a:ahLst/>
          <a:cxnLst/>
          <a:rect l="0" t="0" r="0" b="0"/>
          <a:pathLst>
            <a:path w="288001" h="918001">
              <a:moveTo>
                <a:pt x="144000" y="54000"/>
              </a:moveTo>
              <a:lnTo>
                <a:pt x="216000" y="0"/>
              </a:lnTo>
              <a:lnTo>
                <a:pt x="288000"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117</xdr:row>
      <xdr:rowOff>114450</xdr:rowOff>
    </xdr:from>
    <xdr:to>
      <xdr:col>16</xdr:col>
      <xdr:colOff>576001</xdr:colOff>
      <xdr:row>123</xdr:row>
      <xdr:rowOff>21752</xdr:rowOff>
    </xdr:to>
    <xdr:sp macro="" textlink="">
      <xdr:nvSpPr>
        <xdr:cNvPr id="248297" name="フリーフォーム: 図形 248296">
          <a:extLst>
            <a:ext uri="{FF2B5EF4-FFF2-40B4-BE49-F238E27FC236}">
              <a16:creationId xmlns:a16="http://schemas.microsoft.com/office/drawing/2014/main" id="{080AB51D-0068-4FEE-A573-030CF0AFA111}"/>
            </a:ext>
          </a:extLst>
        </xdr:cNvPr>
        <xdr:cNvSpPr>
          <a:spLocks noChangeAspect="1"/>
        </xdr:cNvSpPr>
      </xdr:nvSpPr>
      <xdr:spPr>
        <a:xfrm>
          <a:off x="11296800" y="20440800"/>
          <a:ext cx="252001" cy="936002"/>
        </a:xfrm>
        <a:custGeom>
          <a:avLst/>
          <a:gdLst/>
          <a:ahLst/>
          <a:cxnLst/>
          <a:rect l="0" t="0" r="0" b="0"/>
          <a:pathLst>
            <a:path w="252001" h="936002">
              <a:moveTo>
                <a:pt x="126000" y="72001"/>
              </a:moveTo>
              <a:lnTo>
                <a:pt x="180000" y="0"/>
              </a:lnTo>
              <a:lnTo>
                <a:pt x="252000" y="108000"/>
              </a:lnTo>
              <a:lnTo>
                <a:pt x="144000"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396000</xdr:colOff>
      <xdr:row>122</xdr:row>
      <xdr:rowOff>139199</xdr:rowOff>
    </xdr:from>
    <xdr:to>
      <xdr:col>17</xdr:col>
      <xdr:colOff>160201</xdr:colOff>
      <xdr:row>123</xdr:row>
      <xdr:rowOff>111751</xdr:rowOff>
    </xdr:to>
    <xdr:sp macro="" textlink="">
      <xdr:nvSpPr>
        <xdr:cNvPr id="248298" name="フリーフォーム: 図形 248297">
          <a:extLst>
            <a:ext uri="{FF2B5EF4-FFF2-40B4-BE49-F238E27FC236}">
              <a16:creationId xmlns:a16="http://schemas.microsoft.com/office/drawing/2014/main" id="{B8AED16E-E189-4292-8AD8-8672374D8A91}"/>
            </a:ext>
          </a:extLst>
        </xdr:cNvPr>
        <xdr:cNvSpPr>
          <a:spLocks noChangeAspect="1"/>
        </xdr:cNvSpPr>
      </xdr:nvSpPr>
      <xdr:spPr>
        <a:xfrm>
          <a:off x="11368800" y="21322799"/>
          <a:ext cx="450001" cy="144002"/>
        </a:xfrm>
        <a:custGeom>
          <a:avLst/>
          <a:gdLst/>
          <a:ahLst/>
          <a:cxnLst/>
          <a:rect l="0" t="0" r="0" b="0"/>
          <a:pathLst>
            <a:path w="450001" h="144002">
              <a:moveTo>
                <a:pt x="90000" y="0"/>
              </a:moveTo>
              <a:lnTo>
                <a:pt x="360000" y="0"/>
              </a:lnTo>
              <a:lnTo>
                <a:pt x="450000" y="72001"/>
              </a:lnTo>
              <a:lnTo>
                <a:pt x="324000" y="144001"/>
              </a:lnTo>
              <a:lnTo>
                <a:pt x="72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214200</xdr:colOff>
      <xdr:row>122</xdr:row>
      <xdr:rowOff>139199</xdr:rowOff>
    </xdr:from>
    <xdr:to>
      <xdr:col>17</xdr:col>
      <xdr:colOff>664201</xdr:colOff>
      <xdr:row>123</xdr:row>
      <xdr:rowOff>111751</xdr:rowOff>
    </xdr:to>
    <xdr:sp macro="" textlink="">
      <xdr:nvSpPr>
        <xdr:cNvPr id="248299" name="フリーフォーム: 図形 248298">
          <a:extLst>
            <a:ext uri="{FF2B5EF4-FFF2-40B4-BE49-F238E27FC236}">
              <a16:creationId xmlns:a16="http://schemas.microsoft.com/office/drawing/2014/main" id="{26940F08-55A9-4590-B17A-7D6BEA9034FB}"/>
            </a:ext>
          </a:extLst>
        </xdr:cNvPr>
        <xdr:cNvSpPr>
          <a:spLocks noChangeAspect="1"/>
        </xdr:cNvSpPr>
      </xdr:nvSpPr>
      <xdr:spPr>
        <a:xfrm>
          <a:off x="11872800" y="21322799"/>
          <a:ext cx="450001" cy="144002"/>
        </a:xfrm>
        <a:custGeom>
          <a:avLst/>
          <a:gdLst/>
          <a:ahLst/>
          <a:cxnLst/>
          <a:rect l="0" t="0" r="0" b="0"/>
          <a:pathLst>
            <a:path w="450001" h="144002">
              <a:moveTo>
                <a:pt x="144000" y="0"/>
              </a:moveTo>
              <a:lnTo>
                <a:pt x="396000" y="0"/>
              </a:lnTo>
              <a:lnTo>
                <a:pt x="450000" y="72001"/>
              </a:lnTo>
              <a:lnTo>
                <a:pt x="360000" y="144001"/>
              </a:lnTo>
              <a:lnTo>
                <a:pt x="90000"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594000</xdr:colOff>
      <xdr:row>118</xdr:row>
      <xdr:rowOff>51000</xdr:rowOff>
    </xdr:from>
    <xdr:to>
      <xdr:col>17</xdr:col>
      <xdr:colOff>178201</xdr:colOff>
      <xdr:row>123</xdr:row>
      <xdr:rowOff>3751</xdr:rowOff>
    </xdr:to>
    <xdr:sp macro="" textlink="">
      <xdr:nvSpPr>
        <xdr:cNvPr id="248300" name="フリーフォーム: 図形 248299">
          <a:extLst>
            <a:ext uri="{FF2B5EF4-FFF2-40B4-BE49-F238E27FC236}">
              <a16:creationId xmlns:a16="http://schemas.microsoft.com/office/drawing/2014/main" id="{589A90C3-963D-4D86-A29C-F283DF8B3713}"/>
            </a:ext>
          </a:extLst>
        </xdr:cNvPr>
        <xdr:cNvSpPr>
          <a:spLocks noChangeAspect="1"/>
        </xdr:cNvSpPr>
      </xdr:nvSpPr>
      <xdr:spPr>
        <a:xfrm>
          <a:off x="11566800" y="20548800"/>
          <a:ext cx="270001" cy="810001"/>
        </a:xfrm>
        <a:custGeom>
          <a:avLst/>
          <a:gdLst/>
          <a:ahLst/>
          <a:cxnLst/>
          <a:rect l="0" t="0" r="0" b="0"/>
          <a:pathLst>
            <a:path w="270001" h="810001">
              <a:moveTo>
                <a:pt x="0" y="180000"/>
              </a:moveTo>
              <a:lnTo>
                <a:pt x="18000" y="0"/>
              </a:lnTo>
              <a:lnTo>
                <a:pt x="108000" y="108000"/>
              </a:lnTo>
              <a:lnTo>
                <a:pt x="216000" y="467999"/>
              </a:lnTo>
              <a:lnTo>
                <a:pt x="270000"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178200</xdr:colOff>
      <xdr:row>117</xdr:row>
      <xdr:rowOff>114450</xdr:rowOff>
    </xdr:from>
    <xdr:to>
      <xdr:col>17</xdr:col>
      <xdr:colOff>430201</xdr:colOff>
      <xdr:row>122</xdr:row>
      <xdr:rowOff>157201</xdr:rowOff>
    </xdr:to>
    <xdr:sp macro="" textlink="">
      <xdr:nvSpPr>
        <xdr:cNvPr id="248301" name="フリーフォーム: 図形 248300">
          <a:extLst>
            <a:ext uri="{FF2B5EF4-FFF2-40B4-BE49-F238E27FC236}">
              <a16:creationId xmlns:a16="http://schemas.microsoft.com/office/drawing/2014/main" id="{87D34FB9-082B-460D-8394-69698B0C96CE}"/>
            </a:ext>
          </a:extLst>
        </xdr:cNvPr>
        <xdr:cNvSpPr>
          <a:spLocks noChangeAspect="1"/>
        </xdr:cNvSpPr>
      </xdr:nvSpPr>
      <xdr:spPr>
        <a:xfrm>
          <a:off x="118368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232200</xdr:colOff>
      <xdr:row>118</xdr:row>
      <xdr:rowOff>69000</xdr:rowOff>
    </xdr:from>
    <xdr:to>
      <xdr:col>18</xdr:col>
      <xdr:colOff>68401</xdr:colOff>
      <xdr:row>123</xdr:row>
      <xdr:rowOff>3751</xdr:rowOff>
    </xdr:to>
    <xdr:sp macro="" textlink="">
      <xdr:nvSpPr>
        <xdr:cNvPr id="248302" name="フリーフォーム: 図形 248301">
          <a:extLst>
            <a:ext uri="{FF2B5EF4-FFF2-40B4-BE49-F238E27FC236}">
              <a16:creationId xmlns:a16="http://schemas.microsoft.com/office/drawing/2014/main" id="{9F8E00C9-7733-4798-8B04-1725D94F3798}"/>
            </a:ext>
          </a:extLst>
        </xdr:cNvPr>
        <xdr:cNvSpPr>
          <a:spLocks noChangeAspect="1"/>
        </xdr:cNvSpPr>
      </xdr:nvSpPr>
      <xdr:spPr>
        <a:xfrm>
          <a:off x="118908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17</xdr:col>
      <xdr:colOff>196200</xdr:colOff>
      <xdr:row>123</xdr:row>
      <xdr:rowOff>75750</xdr:rowOff>
    </xdr:from>
    <xdr:to>
      <xdr:col>17</xdr:col>
      <xdr:colOff>466201</xdr:colOff>
      <xdr:row>127</xdr:row>
      <xdr:rowOff>163951</xdr:rowOff>
    </xdr:to>
    <xdr:sp macro="" textlink="">
      <xdr:nvSpPr>
        <xdr:cNvPr id="248303" name="フリーフォーム: 図形 248302">
          <a:extLst>
            <a:ext uri="{FF2B5EF4-FFF2-40B4-BE49-F238E27FC236}">
              <a16:creationId xmlns:a16="http://schemas.microsoft.com/office/drawing/2014/main" id="{FD462410-FB14-4C42-AECF-ED74C87B3EFE}"/>
            </a:ext>
          </a:extLst>
        </xdr:cNvPr>
        <xdr:cNvSpPr>
          <a:spLocks noChangeAspect="1"/>
        </xdr:cNvSpPr>
      </xdr:nvSpPr>
      <xdr:spPr>
        <a:xfrm>
          <a:off x="11854800" y="21430800"/>
          <a:ext cx="270001" cy="774001"/>
        </a:xfrm>
        <a:custGeom>
          <a:avLst/>
          <a:gdLst/>
          <a:ahLst/>
          <a:cxnLst/>
          <a:rect l="0" t="0" r="0" b="0"/>
          <a:pathLst>
            <a:path w="270001" h="774001">
              <a:moveTo>
                <a:pt x="54000" y="342000"/>
              </a:moveTo>
              <a:lnTo>
                <a:pt x="0" y="0"/>
              </a:lnTo>
              <a:lnTo>
                <a:pt x="90000" y="72001"/>
              </a:lnTo>
              <a:lnTo>
                <a:pt x="270000" y="630001"/>
              </a:lnTo>
              <a:lnTo>
                <a:pt x="234000"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648000</xdr:colOff>
      <xdr:row>123</xdr:row>
      <xdr:rowOff>93749</xdr:rowOff>
    </xdr:from>
    <xdr:to>
      <xdr:col>17</xdr:col>
      <xdr:colOff>196201</xdr:colOff>
      <xdr:row>128</xdr:row>
      <xdr:rowOff>118501</xdr:rowOff>
    </xdr:to>
    <xdr:sp macro="" textlink="">
      <xdr:nvSpPr>
        <xdr:cNvPr id="248304" name="フリーフォーム: 図形 248303">
          <a:extLst>
            <a:ext uri="{FF2B5EF4-FFF2-40B4-BE49-F238E27FC236}">
              <a16:creationId xmlns:a16="http://schemas.microsoft.com/office/drawing/2014/main" id="{796E113A-2A5B-43AD-B2D1-FF2B0CD6AD08}"/>
            </a:ext>
          </a:extLst>
        </xdr:cNvPr>
        <xdr:cNvSpPr>
          <a:spLocks noChangeAspect="1"/>
        </xdr:cNvSpPr>
      </xdr:nvSpPr>
      <xdr:spPr>
        <a:xfrm>
          <a:off x="11620800" y="21448799"/>
          <a:ext cx="234001" cy="882002"/>
        </a:xfrm>
        <a:custGeom>
          <a:avLst/>
          <a:gdLst/>
          <a:ahLst/>
          <a:cxnLst/>
          <a:rect l="0" t="0" r="0" b="0"/>
          <a:pathLst>
            <a:path w="234001" h="882002">
              <a:moveTo>
                <a:pt x="108000" y="216001"/>
              </a:moveTo>
              <a:lnTo>
                <a:pt x="216000" y="0"/>
              </a:lnTo>
              <a:lnTo>
                <a:pt x="234000"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16</xdr:col>
      <xdr:colOff>324000</xdr:colOff>
      <xdr:row>123</xdr:row>
      <xdr:rowOff>75750</xdr:rowOff>
    </xdr:from>
    <xdr:to>
      <xdr:col>17</xdr:col>
      <xdr:colOff>160201</xdr:colOff>
      <xdr:row>128</xdr:row>
      <xdr:rowOff>10501</xdr:rowOff>
    </xdr:to>
    <xdr:sp macro="" textlink="">
      <xdr:nvSpPr>
        <xdr:cNvPr id="248305" name="フリーフォーム: 図形 248304">
          <a:extLst>
            <a:ext uri="{FF2B5EF4-FFF2-40B4-BE49-F238E27FC236}">
              <a16:creationId xmlns:a16="http://schemas.microsoft.com/office/drawing/2014/main" id="{7F7CC5F3-933D-4451-B98C-144E0C093CC3}"/>
            </a:ext>
          </a:extLst>
        </xdr:cNvPr>
        <xdr:cNvSpPr>
          <a:spLocks noChangeAspect="1"/>
        </xdr:cNvSpPr>
      </xdr:nvSpPr>
      <xdr:spPr>
        <a:xfrm>
          <a:off x="11296800" y="21430800"/>
          <a:ext cx="522001" cy="792001"/>
        </a:xfrm>
        <a:custGeom>
          <a:avLst/>
          <a:gdLst/>
          <a:ahLst/>
          <a:cxnLst/>
          <a:rect l="0" t="0" r="0" b="0"/>
          <a:pathLst>
            <a:path w="522001" h="792001">
              <a:moveTo>
                <a:pt x="396000" y="72001"/>
              </a:moveTo>
              <a:lnTo>
                <a:pt x="522000" y="0"/>
              </a:lnTo>
              <a:lnTo>
                <a:pt x="324000"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311400</xdr:colOff>
      <xdr:row>117</xdr:row>
      <xdr:rowOff>42450</xdr:rowOff>
    </xdr:from>
    <xdr:to>
      <xdr:col>20</xdr:col>
      <xdr:colOff>93601</xdr:colOff>
      <xdr:row>118</xdr:row>
      <xdr:rowOff>15002</xdr:rowOff>
    </xdr:to>
    <xdr:sp macro="" textlink="">
      <xdr:nvSpPr>
        <xdr:cNvPr id="248306" name="フリーフォーム: 図形 248305">
          <a:extLst>
            <a:ext uri="{FF2B5EF4-FFF2-40B4-BE49-F238E27FC236}">
              <a16:creationId xmlns:a16="http://schemas.microsoft.com/office/drawing/2014/main" id="{9618DEE7-38F5-45E4-87EC-761E5C407E88}"/>
            </a:ext>
          </a:extLst>
        </xdr:cNvPr>
        <xdr:cNvSpPr>
          <a:spLocks noChangeAspect="1"/>
        </xdr:cNvSpPr>
      </xdr:nvSpPr>
      <xdr:spPr>
        <a:xfrm>
          <a:off x="133416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165601</xdr:colOff>
      <xdr:row>117</xdr:row>
      <xdr:rowOff>42450</xdr:rowOff>
    </xdr:from>
    <xdr:to>
      <xdr:col>20</xdr:col>
      <xdr:colOff>633601</xdr:colOff>
      <xdr:row>118</xdr:row>
      <xdr:rowOff>15002</xdr:rowOff>
    </xdr:to>
    <xdr:sp macro="" textlink="">
      <xdr:nvSpPr>
        <xdr:cNvPr id="248307" name="フリーフォーム: 図形 248306">
          <a:extLst>
            <a:ext uri="{FF2B5EF4-FFF2-40B4-BE49-F238E27FC236}">
              <a16:creationId xmlns:a16="http://schemas.microsoft.com/office/drawing/2014/main" id="{6FBA1D12-12C5-4C5D-BFFF-22884830CC94}"/>
            </a:ext>
          </a:extLst>
        </xdr:cNvPr>
        <xdr:cNvSpPr>
          <a:spLocks noChangeAspect="1"/>
        </xdr:cNvSpPr>
      </xdr:nvSpPr>
      <xdr:spPr>
        <a:xfrm>
          <a:off x="138816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417599</xdr:colOff>
      <xdr:row>117</xdr:row>
      <xdr:rowOff>114450</xdr:rowOff>
    </xdr:from>
    <xdr:to>
      <xdr:col>21</xdr:col>
      <xdr:colOff>19801</xdr:colOff>
      <xdr:row>123</xdr:row>
      <xdr:rowOff>21752</xdr:rowOff>
    </xdr:to>
    <xdr:sp macro="" textlink="">
      <xdr:nvSpPr>
        <xdr:cNvPr id="248308" name="フリーフォーム: 図形 248307">
          <a:extLst>
            <a:ext uri="{FF2B5EF4-FFF2-40B4-BE49-F238E27FC236}">
              <a16:creationId xmlns:a16="http://schemas.microsoft.com/office/drawing/2014/main" id="{E9E02D88-EBCE-4717-B336-524F960C64FB}"/>
            </a:ext>
          </a:extLst>
        </xdr:cNvPr>
        <xdr:cNvSpPr>
          <a:spLocks noChangeAspect="1"/>
        </xdr:cNvSpPr>
      </xdr:nvSpPr>
      <xdr:spPr>
        <a:xfrm>
          <a:off x="141335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237599</xdr:colOff>
      <xdr:row>123</xdr:row>
      <xdr:rowOff>75750</xdr:rowOff>
    </xdr:from>
    <xdr:to>
      <xdr:col>20</xdr:col>
      <xdr:colOff>525601</xdr:colOff>
      <xdr:row>128</xdr:row>
      <xdr:rowOff>136501</xdr:rowOff>
    </xdr:to>
    <xdr:sp macro="" textlink="">
      <xdr:nvSpPr>
        <xdr:cNvPr id="248309" name="フリーフォーム: 図形 248308">
          <a:extLst>
            <a:ext uri="{FF2B5EF4-FFF2-40B4-BE49-F238E27FC236}">
              <a16:creationId xmlns:a16="http://schemas.microsoft.com/office/drawing/2014/main" id="{2F4183D7-12B6-46B5-B97D-D76B2B7CE18C}"/>
            </a:ext>
          </a:extLst>
        </xdr:cNvPr>
        <xdr:cNvSpPr>
          <a:spLocks noChangeAspect="1"/>
        </xdr:cNvSpPr>
      </xdr:nvSpPr>
      <xdr:spPr>
        <a:xfrm>
          <a:off x="139535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655200</xdr:colOff>
      <xdr:row>128</xdr:row>
      <xdr:rowOff>64500</xdr:rowOff>
    </xdr:from>
    <xdr:to>
      <xdr:col>19</xdr:col>
      <xdr:colOff>455401</xdr:colOff>
      <xdr:row>129</xdr:row>
      <xdr:rowOff>37051</xdr:rowOff>
    </xdr:to>
    <xdr:sp macro="" textlink="">
      <xdr:nvSpPr>
        <xdr:cNvPr id="248310" name="フリーフォーム: 図形 248309">
          <a:extLst>
            <a:ext uri="{FF2B5EF4-FFF2-40B4-BE49-F238E27FC236}">
              <a16:creationId xmlns:a16="http://schemas.microsoft.com/office/drawing/2014/main" id="{702CE37A-24C9-4959-844D-81DC7CDB3B1B}"/>
            </a:ext>
          </a:extLst>
        </xdr:cNvPr>
        <xdr:cNvSpPr>
          <a:spLocks noChangeAspect="1"/>
        </xdr:cNvSpPr>
      </xdr:nvSpPr>
      <xdr:spPr>
        <a:xfrm>
          <a:off x="129996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491399</xdr:colOff>
      <xdr:row>128</xdr:row>
      <xdr:rowOff>64500</xdr:rowOff>
    </xdr:from>
    <xdr:to>
      <xdr:col>20</xdr:col>
      <xdr:colOff>273601</xdr:colOff>
      <xdr:row>129</xdr:row>
      <xdr:rowOff>37051</xdr:rowOff>
    </xdr:to>
    <xdr:sp macro="" textlink="">
      <xdr:nvSpPr>
        <xdr:cNvPr id="248311" name="フリーフォーム: 図形 248310">
          <a:extLst>
            <a:ext uri="{FF2B5EF4-FFF2-40B4-BE49-F238E27FC236}">
              <a16:creationId xmlns:a16="http://schemas.microsoft.com/office/drawing/2014/main" id="{07088CAB-6726-4997-B221-991DBE7C886C}"/>
            </a:ext>
          </a:extLst>
        </xdr:cNvPr>
        <xdr:cNvSpPr>
          <a:spLocks noChangeAspect="1"/>
        </xdr:cNvSpPr>
      </xdr:nvSpPr>
      <xdr:spPr>
        <a:xfrm>
          <a:off x="135215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18</xdr:col>
      <xdr:colOff>601200</xdr:colOff>
      <xdr:row>123</xdr:row>
      <xdr:rowOff>75750</xdr:rowOff>
    </xdr:from>
    <xdr:to>
      <xdr:col>19</xdr:col>
      <xdr:colOff>203401</xdr:colOff>
      <xdr:row>128</xdr:row>
      <xdr:rowOff>136501</xdr:rowOff>
    </xdr:to>
    <xdr:sp macro="" textlink="">
      <xdr:nvSpPr>
        <xdr:cNvPr id="248312" name="フリーフォーム: 図形 248311">
          <a:extLst>
            <a:ext uri="{FF2B5EF4-FFF2-40B4-BE49-F238E27FC236}">
              <a16:creationId xmlns:a16="http://schemas.microsoft.com/office/drawing/2014/main" id="{2832385A-708E-4511-BA94-D6BC0DED7492}"/>
            </a:ext>
          </a:extLst>
        </xdr:cNvPr>
        <xdr:cNvSpPr>
          <a:spLocks noChangeAspect="1"/>
        </xdr:cNvSpPr>
      </xdr:nvSpPr>
      <xdr:spPr>
        <a:xfrm>
          <a:off x="12945600" y="21430800"/>
          <a:ext cx="288001" cy="918001"/>
        </a:xfrm>
        <a:custGeom>
          <a:avLst/>
          <a:gdLst/>
          <a:ahLst/>
          <a:cxnLst/>
          <a:rect l="0" t="0" r="0" b="0"/>
          <a:pathLst>
            <a:path w="288001" h="918001">
              <a:moveTo>
                <a:pt x="143999" y="54000"/>
              </a:moveTo>
              <a:lnTo>
                <a:pt x="216000" y="0"/>
              </a:lnTo>
              <a:lnTo>
                <a:pt x="288000" y="72001"/>
              </a:lnTo>
              <a:lnTo>
                <a:pt x="143999"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117</xdr:row>
      <xdr:rowOff>114450</xdr:rowOff>
    </xdr:from>
    <xdr:to>
      <xdr:col>19</xdr:col>
      <xdr:colOff>347402</xdr:colOff>
      <xdr:row>123</xdr:row>
      <xdr:rowOff>21752</xdr:rowOff>
    </xdr:to>
    <xdr:sp macro="" textlink="">
      <xdr:nvSpPr>
        <xdr:cNvPr id="248313" name="フリーフォーム: 図形 248312">
          <a:extLst>
            <a:ext uri="{FF2B5EF4-FFF2-40B4-BE49-F238E27FC236}">
              <a16:creationId xmlns:a16="http://schemas.microsoft.com/office/drawing/2014/main" id="{D252326F-6858-4437-9B2D-84F9275E183F}"/>
            </a:ext>
          </a:extLst>
        </xdr:cNvPr>
        <xdr:cNvSpPr>
          <a:spLocks noChangeAspect="1"/>
        </xdr:cNvSpPr>
      </xdr:nvSpPr>
      <xdr:spPr>
        <a:xfrm>
          <a:off x="131256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167401</xdr:colOff>
      <xdr:row>122</xdr:row>
      <xdr:rowOff>139199</xdr:rowOff>
    </xdr:from>
    <xdr:to>
      <xdr:col>19</xdr:col>
      <xdr:colOff>617401</xdr:colOff>
      <xdr:row>123</xdr:row>
      <xdr:rowOff>111751</xdr:rowOff>
    </xdr:to>
    <xdr:sp macro="" textlink="">
      <xdr:nvSpPr>
        <xdr:cNvPr id="248314" name="フリーフォーム: 図形 248313">
          <a:extLst>
            <a:ext uri="{FF2B5EF4-FFF2-40B4-BE49-F238E27FC236}">
              <a16:creationId xmlns:a16="http://schemas.microsoft.com/office/drawing/2014/main" id="{407326F1-1F5A-4A27-804D-1CC220C72E78}"/>
            </a:ext>
          </a:extLst>
        </xdr:cNvPr>
        <xdr:cNvSpPr>
          <a:spLocks noChangeAspect="1"/>
        </xdr:cNvSpPr>
      </xdr:nvSpPr>
      <xdr:spPr>
        <a:xfrm>
          <a:off x="131976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671399</xdr:colOff>
      <xdr:row>122</xdr:row>
      <xdr:rowOff>139199</xdr:rowOff>
    </xdr:from>
    <xdr:to>
      <xdr:col>20</xdr:col>
      <xdr:colOff>435601</xdr:colOff>
      <xdr:row>123</xdr:row>
      <xdr:rowOff>111751</xdr:rowOff>
    </xdr:to>
    <xdr:sp macro="" textlink="">
      <xdr:nvSpPr>
        <xdr:cNvPr id="248315" name="フリーフォーム: 図形 248314">
          <a:extLst>
            <a:ext uri="{FF2B5EF4-FFF2-40B4-BE49-F238E27FC236}">
              <a16:creationId xmlns:a16="http://schemas.microsoft.com/office/drawing/2014/main" id="{A238A6DB-0787-4DD2-913E-E47E248F43BE}"/>
            </a:ext>
          </a:extLst>
        </xdr:cNvPr>
        <xdr:cNvSpPr>
          <a:spLocks noChangeAspect="1"/>
        </xdr:cNvSpPr>
      </xdr:nvSpPr>
      <xdr:spPr>
        <a:xfrm>
          <a:off x="137015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365399</xdr:colOff>
      <xdr:row>118</xdr:row>
      <xdr:rowOff>51000</xdr:rowOff>
    </xdr:from>
    <xdr:to>
      <xdr:col>19</xdr:col>
      <xdr:colOff>635401</xdr:colOff>
      <xdr:row>123</xdr:row>
      <xdr:rowOff>3751</xdr:rowOff>
    </xdr:to>
    <xdr:sp macro="" textlink="">
      <xdr:nvSpPr>
        <xdr:cNvPr id="248316" name="フリーフォーム: 図形 248315">
          <a:extLst>
            <a:ext uri="{FF2B5EF4-FFF2-40B4-BE49-F238E27FC236}">
              <a16:creationId xmlns:a16="http://schemas.microsoft.com/office/drawing/2014/main" id="{3967F082-ADBB-439E-8661-32122ED503CE}"/>
            </a:ext>
          </a:extLst>
        </xdr:cNvPr>
        <xdr:cNvSpPr>
          <a:spLocks noChangeAspect="1"/>
        </xdr:cNvSpPr>
      </xdr:nvSpPr>
      <xdr:spPr>
        <a:xfrm>
          <a:off x="133955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635400</xdr:colOff>
      <xdr:row>117</xdr:row>
      <xdr:rowOff>114450</xdr:rowOff>
    </xdr:from>
    <xdr:to>
      <xdr:col>20</xdr:col>
      <xdr:colOff>201601</xdr:colOff>
      <xdr:row>122</xdr:row>
      <xdr:rowOff>157201</xdr:rowOff>
    </xdr:to>
    <xdr:sp macro="" textlink="">
      <xdr:nvSpPr>
        <xdr:cNvPr id="248317" name="フリーフォーム: 図形 248316">
          <a:extLst>
            <a:ext uri="{FF2B5EF4-FFF2-40B4-BE49-F238E27FC236}">
              <a16:creationId xmlns:a16="http://schemas.microsoft.com/office/drawing/2014/main" id="{F26EEAAE-5FDA-4646-9999-41C7783C598E}"/>
            </a:ext>
          </a:extLst>
        </xdr:cNvPr>
        <xdr:cNvSpPr>
          <a:spLocks noChangeAspect="1"/>
        </xdr:cNvSpPr>
      </xdr:nvSpPr>
      <xdr:spPr>
        <a:xfrm>
          <a:off x="136656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20</xdr:col>
      <xdr:colOff>3600</xdr:colOff>
      <xdr:row>118</xdr:row>
      <xdr:rowOff>69000</xdr:rowOff>
    </xdr:from>
    <xdr:to>
      <xdr:col>20</xdr:col>
      <xdr:colOff>525601</xdr:colOff>
      <xdr:row>123</xdr:row>
      <xdr:rowOff>3751</xdr:rowOff>
    </xdr:to>
    <xdr:sp macro="" textlink="">
      <xdr:nvSpPr>
        <xdr:cNvPr id="248318" name="フリーフォーム: 図形 248317">
          <a:extLst>
            <a:ext uri="{FF2B5EF4-FFF2-40B4-BE49-F238E27FC236}">
              <a16:creationId xmlns:a16="http://schemas.microsoft.com/office/drawing/2014/main" id="{BB6E7437-A871-470A-B86D-FE5FD9AB4C71}"/>
            </a:ext>
          </a:extLst>
        </xdr:cNvPr>
        <xdr:cNvSpPr>
          <a:spLocks noChangeAspect="1"/>
        </xdr:cNvSpPr>
      </xdr:nvSpPr>
      <xdr:spPr>
        <a:xfrm>
          <a:off x="137196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653400</xdr:colOff>
      <xdr:row>123</xdr:row>
      <xdr:rowOff>75750</xdr:rowOff>
    </xdr:from>
    <xdr:to>
      <xdr:col>20</xdr:col>
      <xdr:colOff>237600</xdr:colOff>
      <xdr:row>127</xdr:row>
      <xdr:rowOff>163951</xdr:rowOff>
    </xdr:to>
    <xdr:sp macro="" textlink="">
      <xdr:nvSpPr>
        <xdr:cNvPr id="248319" name="フリーフォーム: 図形 248318">
          <a:extLst>
            <a:ext uri="{FF2B5EF4-FFF2-40B4-BE49-F238E27FC236}">
              <a16:creationId xmlns:a16="http://schemas.microsoft.com/office/drawing/2014/main" id="{08AF133D-BB71-4F00-BA51-2CBB600466E2}"/>
            </a:ext>
          </a:extLst>
        </xdr:cNvPr>
        <xdr:cNvSpPr>
          <a:spLocks noChangeAspect="1"/>
        </xdr:cNvSpPr>
      </xdr:nvSpPr>
      <xdr:spPr>
        <a:xfrm>
          <a:off x="136836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419401</xdr:colOff>
      <xdr:row>123</xdr:row>
      <xdr:rowOff>93749</xdr:rowOff>
    </xdr:from>
    <xdr:to>
      <xdr:col>19</xdr:col>
      <xdr:colOff>653401</xdr:colOff>
      <xdr:row>128</xdr:row>
      <xdr:rowOff>118501</xdr:rowOff>
    </xdr:to>
    <xdr:sp macro="" textlink="">
      <xdr:nvSpPr>
        <xdr:cNvPr id="248320" name="フリーフォーム: 図形 248319">
          <a:extLst>
            <a:ext uri="{FF2B5EF4-FFF2-40B4-BE49-F238E27FC236}">
              <a16:creationId xmlns:a16="http://schemas.microsoft.com/office/drawing/2014/main" id="{839B39CF-F3CF-4203-AE1E-C9C07AB12DE0}"/>
            </a:ext>
          </a:extLst>
        </xdr:cNvPr>
        <xdr:cNvSpPr>
          <a:spLocks noChangeAspect="1"/>
        </xdr:cNvSpPr>
      </xdr:nvSpPr>
      <xdr:spPr>
        <a:xfrm>
          <a:off x="134496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19</xdr:col>
      <xdr:colOff>95400</xdr:colOff>
      <xdr:row>123</xdr:row>
      <xdr:rowOff>75750</xdr:rowOff>
    </xdr:from>
    <xdr:to>
      <xdr:col>19</xdr:col>
      <xdr:colOff>617401</xdr:colOff>
      <xdr:row>128</xdr:row>
      <xdr:rowOff>10501</xdr:rowOff>
    </xdr:to>
    <xdr:sp macro="" textlink="">
      <xdr:nvSpPr>
        <xdr:cNvPr id="248321" name="フリーフォーム: 図形 248320">
          <a:extLst>
            <a:ext uri="{FF2B5EF4-FFF2-40B4-BE49-F238E27FC236}">
              <a16:creationId xmlns:a16="http://schemas.microsoft.com/office/drawing/2014/main" id="{8476B9D6-9CCC-4CAD-B8E9-C7A79D31B393}"/>
            </a:ext>
          </a:extLst>
        </xdr:cNvPr>
        <xdr:cNvSpPr>
          <a:spLocks noChangeAspect="1"/>
        </xdr:cNvSpPr>
      </xdr:nvSpPr>
      <xdr:spPr>
        <a:xfrm>
          <a:off x="131256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82800</xdr:colOff>
      <xdr:row>117</xdr:row>
      <xdr:rowOff>42450</xdr:rowOff>
    </xdr:from>
    <xdr:to>
      <xdr:col>22</xdr:col>
      <xdr:colOff>550801</xdr:colOff>
      <xdr:row>118</xdr:row>
      <xdr:rowOff>15002</xdr:rowOff>
    </xdr:to>
    <xdr:sp macro="" textlink="">
      <xdr:nvSpPr>
        <xdr:cNvPr id="248322" name="フリーフォーム: 図形 248321">
          <a:extLst>
            <a:ext uri="{FF2B5EF4-FFF2-40B4-BE49-F238E27FC236}">
              <a16:creationId xmlns:a16="http://schemas.microsoft.com/office/drawing/2014/main" id="{3D3AA848-047A-49A2-9206-8D08BB535A6F}"/>
            </a:ext>
          </a:extLst>
        </xdr:cNvPr>
        <xdr:cNvSpPr>
          <a:spLocks noChangeAspect="1"/>
        </xdr:cNvSpPr>
      </xdr:nvSpPr>
      <xdr:spPr>
        <a:xfrm>
          <a:off x="151704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622801</xdr:colOff>
      <xdr:row>117</xdr:row>
      <xdr:rowOff>42450</xdr:rowOff>
    </xdr:from>
    <xdr:to>
      <xdr:col>23</xdr:col>
      <xdr:colOff>405001</xdr:colOff>
      <xdr:row>118</xdr:row>
      <xdr:rowOff>15002</xdr:rowOff>
    </xdr:to>
    <xdr:sp macro="" textlink="">
      <xdr:nvSpPr>
        <xdr:cNvPr id="248323" name="フリーフォーム: 図形 248322">
          <a:extLst>
            <a:ext uri="{FF2B5EF4-FFF2-40B4-BE49-F238E27FC236}">
              <a16:creationId xmlns:a16="http://schemas.microsoft.com/office/drawing/2014/main" id="{72C28130-D0C3-486F-8283-956BD36E8CD8}"/>
            </a:ext>
          </a:extLst>
        </xdr:cNvPr>
        <xdr:cNvSpPr>
          <a:spLocks noChangeAspect="1"/>
        </xdr:cNvSpPr>
      </xdr:nvSpPr>
      <xdr:spPr>
        <a:xfrm>
          <a:off x="157104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188999</xdr:colOff>
      <xdr:row>117</xdr:row>
      <xdr:rowOff>114450</xdr:rowOff>
    </xdr:from>
    <xdr:to>
      <xdr:col>23</xdr:col>
      <xdr:colOff>477001</xdr:colOff>
      <xdr:row>123</xdr:row>
      <xdr:rowOff>21752</xdr:rowOff>
    </xdr:to>
    <xdr:sp macro="" textlink="">
      <xdr:nvSpPr>
        <xdr:cNvPr id="248324" name="フリーフォーム: 図形 248323">
          <a:extLst>
            <a:ext uri="{FF2B5EF4-FFF2-40B4-BE49-F238E27FC236}">
              <a16:creationId xmlns:a16="http://schemas.microsoft.com/office/drawing/2014/main" id="{DB794833-9EFD-4D06-AE0D-BE43CB48AD59}"/>
            </a:ext>
          </a:extLst>
        </xdr:cNvPr>
        <xdr:cNvSpPr>
          <a:spLocks noChangeAspect="1"/>
        </xdr:cNvSpPr>
      </xdr:nvSpPr>
      <xdr:spPr>
        <a:xfrm>
          <a:off x="159623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23</xdr:col>
      <xdr:colOff>8999</xdr:colOff>
      <xdr:row>123</xdr:row>
      <xdr:rowOff>75750</xdr:rowOff>
    </xdr:from>
    <xdr:to>
      <xdr:col>23</xdr:col>
      <xdr:colOff>297001</xdr:colOff>
      <xdr:row>128</xdr:row>
      <xdr:rowOff>136501</xdr:rowOff>
    </xdr:to>
    <xdr:sp macro="" textlink="">
      <xdr:nvSpPr>
        <xdr:cNvPr id="248325" name="フリーフォーム: 図形 248324">
          <a:extLst>
            <a:ext uri="{FF2B5EF4-FFF2-40B4-BE49-F238E27FC236}">
              <a16:creationId xmlns:a16="http://schemas.microsoft.com/office/drawing/2014/main" id="{8302B0CF-F844-4BD0-A72E-CF274432DA5E}"/>
            </a:ext>
          </a:extLst>
        </xdr:cNvPr>
        <xdr:cNvSpPr>
          <a:spLocks noChangeAspect="1"/>
        </xdr:cNvSpPr>
      </xdr:nvSpPr>
      <xdr:spPr>
        <a:xfrm>
          <a:off x="157823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426600</xdr:colOff>
      <xdr:row>128</xdr:row>
      <xdr:rowOff>64500</xdr:rowOff>
    </xdr:from>
    <xdr:to>
      <xdr:col>22</xdr:col>
      <xdr:colOff>226801</xdr:colOff>
      <xdr:row>129</xdr:row>
      <xdr:rowOff>37051</xdr:rowOff>
    </xdr:to>
    <xdr:sp macro="" textlink="">
      <xdr:nvSpPr>
        <xdr:cNvPr id="248326" name="フリーフォーム: 図形 248325">
          <a:extLst>
            <a:ext uri="{FF2B5EF4-FFF2-40B4-BE49-F238E27FC236}">
              <a16:creationId xmlns:a16="http://schemas.microsoft.com/office/drawing/2014/main" id="{D9661B6C-00C2-4981-A9CC-F32C67126739}"/>
            </a:ext>
          </a:extLst>
        </xdr:cNvPr>
        <xdr:cNvSpPr>
          <a:spLocks noChangeAspect="1"/>
        </xdr:cNvSpPr>
      </xdr:nvSpPr>
      <xdr:spPr>
        <a:xfrm>
          <a:off x="148284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262799</xdr:colOff>
      <xdr:row>128</xdr:row>
      <xdr:rowOff>64500</xdr:rowOff>
    </xdr:from>
    <xdr:to>
      <xdr:col>23</xdr:col>
      <xdr:colOff>45001</xdr:colOff>
      <xdr:row>129</xdr:row>
      <xdr:rowOff>37051</xdr:rowOff>
    </xdr:to>
    <xdr:sp macro="" textlink="">
      <xdr:nvSpPr>
        <xdr:cNvPr id="248327" name="フリーフォーム: 図形 248326">
          <a:extLst>
            <a:ext uri="{FF2B5EF4-FFF2-40B4-BE49-F238E27FC236}">
              <a16:creationId xmlns:a16="http://schemas.microsoft.com/office/drawing/2014/main" id="{19DA8D73-A307-4705-A1E5-8D40F6199765}"/>
            </a:ext>
          </a:extLst>
        </xdr:cNvPr>
        <xdr:cNvSpPr>
          <a:spLocks noChangeAspect="1"/>
        </xdr:cNvSpPr>
      </xdr:nvSpPr>
      <xdr:spPr>
        <a:xfrm>
          <a:off x="153503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372601</xdr:colOff>
      <xdr:row>123</xdr:row>
      <xdr:rowOff>75750</xdr:rowOff>
    </xdr:from>
    <xdr:to>
      <xdr:col>21</xdr:col>
      <xdr:colOff>660601</xdr:colOff>
      <xdr:row>128</xdr:row>
      <xdr:rowOff>136501</xdr:rowOff>
    </xdr:to>
    <xdr:sp macro="" textlink="">
      <xdr:nvSpPr>
        <xdr:cNvPr id="248328" name="フリーフォーム: 図形 248327">
          <a:extLst>
            <a:ext uri="{FF2B5EF4-FFF2-40B4-BE49-F238E27FC236}">
              <a16:creationId xmlns:a16="http://schemas.microsoft.com/office/drawing/2014/main" id="{FEA16693-368A-47C7-B4B5-82EB5B1659D9}"/>
            </a:ext>
          </a:extLst>
        </xdr:cNvPr>
        <xdr:cNvSpPr>
          <a:spLocks noChangeAspect="1"/>
        </xdr:cNvSpPr>
      </xdr:nvSpPr>
      <xdr:spPr>
        <a:xfrm>
          <a:off x="14774401" y="214308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117</xdr:row>
      <xdr:rowOff>114450</xdr:rowOff>
    </xdr:from>
    <xdr:to>
      <xdr:col>22</xdr:col>
      <xdr:colOff>118802</xdr:colOff>
      <xdr:row>123</xdr:row>
      <xdr:rowOff>21752</xdr:rowOff>
    </xdr:to>
    <xdr:sp macro="" textlink="">
      <xdr:nvSpPr>
        <xdr:cNvPr id="248329" name="フリーフォーム: 図形 248328">
          <a:extLst>
            <a:ext uri="{FF2B5EF4-FFF2-40B4-BE49-F238E27FC236}">
              <a16:creationId xmlns:a16="http://schemas.microsoft.com/office/drawing/2014/main" id="{A911FE0A-EFA2-4BB5-A803-AED3FC965329}"/>
            </a:ext>
          </a:extLst>
        </xdr:cNvPr>
        <xdr:cNvSpPr>
          <a:spLocks noChangeAspect="1"/>
        </xdr:cNvSpPr>
      </xdr:nvSpPr>
      <xdr:spPr>
        <a:xfrm>
          <a:off x="149544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624601</xdr:colOff>
      <xdr:row>122</xdr:row>
      <xdr:rowOff>139199</xdr:rowOff>
    </xdr:from>
    <xdr:to>
      <xdr:col>22</xdr:col>
      <xdr:colOff>388801</xdr:colOff>
      <xdr:row>123</xdr:row>
      <xdr:rowOff>111751</xdr:rowOff>
    </xdr:to>
    <xdr:sp macro="" textlink="">
      <xdr:nvSpPr>
        <xdr:cNvPr id="248330" name="フリーフォーム: 図形 248329">
          <a:extLst>
            <a:ext uri="{FF2B5EF4-FFF2-40B4-BE49-F238E27FC236}">
              <a16:creationId xmlns:a16="http://schemas.microsoft.com/office/drawing/2014/main" id="{B76CD6E6-8BB4-422F-BAE8-A3B67D14675E}"/>
            </a:ext>
          </a:extLst>
        </xdr:cNvPr>
        <xdr:cNvSpPr>
          <a:spLocks noChangeAspect="1"/>
        </xdr:cNvSpPr>
      </xdr:nvSpPr>
      <xdr:spPr>
        <a:xfrm>
          <a:off x="150264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442799</xdr:colOff>
      <xdr:row>122</xdr:row>
      <xdr:rowOff>139199</xdr:rowOff>
    </xdr:from>
    <xdr:to>
      <xdr:col>23</xdr:col>
      <xdr:colOff>207001</xdr:colOff>
      <xdr:row>123</xdr:row>
      <xdr:rowOff>111751</xdr:rowOff>
    </xdr:to>
    <xdr:sp macro="" textlink="">
      <xdr:nvSpPr>
        <xdr:cNvPr id="248331" name="フリーフォーム: 図形 248330">
          <a:extLst>
            <a:ext uri="{FF2B5EF4-FFF2-40B4-BE49-F238E27FC236}">
              <a16:creationId xmlns:a16="http://schemas.microsoft.com/office/drawing/2014/main" id="{1EB623E4-449F-4484-9DA7-535146E441A7}"/>
            </a:ext>
          </a:extLst>
        </xdr:cNvPr>
        <xdr:cNvSpPr>
          <a:spLocks noChangeAspect="1"/>
        </xdr:cNvSpPr>
      </xdr:nvSpPr>
      <xdr:spPr>
        <a:xfrm>
          <a:off x="155303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136799</xdr:colOff>
      <xdr:row>118</xdr:row>
      <xdr:rowOff>51000</xdr:rowOff>
    </xdr:from>
    <xdr:to>
      <xdr:col>22</xdr:col>
      <xdr:colOff>406801</xdr:colOff>
      <xdr:row>123</xdr:row>
      <xdr:rowOff>3751</xdr:rowOff>
    </xdr:to>
    <xdr:sp macro="" textlink="">
      <xdr:nvSpPr>
        <xdr:cNvPr id="248332" name="フリーフォーム: 図形 248331">
          <a:extLst>
            <a:ext uri="{FF2B5EF4-FFF2-40B4-BE49-F238E27FC236}">
              <a16:creationId xmlns:a16="http://schemas.microsoft.com/office/drawing/2014/main" id="{4B12A8E6-B47C-4636-950A-B0A0A156280F}"/>
            </a:ext>
          </a:extLst>
        </xdr:cNvPr>
        <xdr:cNvSpPr>
          <a:spLocks noChangeAspect="1"/>
        </xdr:cNvSpPr>
      </xdr:nvSpPr>
      <xdr:spPr>
        <a:xfrm>
          <a:off x="152243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406800</xdr:colOff>
      <xdr:row>117</xdr:row>
      <xdr:rowOff>114450</xdr:rowOff>
    </xdr:from>
    <xdr:to>
      <xdr:col>22</xdr:col>
      <xdr:colOff>658801</xdr:colOff>
      <xdr:row>122</xdr:row>
      <xdr:rowOff>157201</xdr:rowOff>
    </xdr:to>
    <xdr:sp macro="" textlink="">
      <xdr:nvSpPr>
        <xdr:cNvPr id="248333" name="フリーフォーム: 図形 248332">
          <a:extLst>
            <a:ext uri="{FF2B5EF4-FFF2-40B4-BE49-F238E27FC236}">
              <a16:creationId xmlns:a16="http://schemas.microsoft.com/office/drawing/2014/main" id="{6012AF4A-8EC9-401F-BC07-361C58FC897F}"/>
            </a:ext>
          </a:extLst>
        </xdr:cNvPr>
        <xdr:cNvSpPr>
          <a:spLocks noChangeAspect="1"/>
        </xdr:cNvSpPr>
      </xdr:nvSpPr>
      <xdr:spPr>
        <a:xfrm>
          <a:off x="154944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460800</xdr:colOff>
      <xdr:row>118</xdr:row>
      <xdr:rowOff>69000</xdr:rowOff>
    </xdr:from>
    <xdr:to>
      <xdr:col>23</xdr:col>
      <xdr:colOff>297001</xdr:colOff>
      <xdr:row>123</xdr:row>
      <xdr:rowOff>3751</xdr:rowOff>
    </xdr:to>
    <xdr:sp macro="" textlink="">
      <xdr:nvSpPr>
        <xdr:cNvPr id="248334" name="フリーフォーム: 図形 248333">
          <a:extLst>
            <a:ext uri="{FF2B5EF4-FFF2-40B4-BE49-F238E27FC236}">
              <a16:creationId xmlns:a16="http://schemas.microsoft.com/office/drawing/2014/main" id="{7BF6D827-CE58-4C28-864F-7DDB8A65214F}"/>
            </a:ext>
          </a:extLst>
        </xdr:cNvPr>
        <xdr:cNvSpPr>
          <a:spLocks noChangeAspect="1"/>
        </xdr:cNvSpPr>
      </xdr:nvSpPr>
      <xdr:spPr>
        <a:xfrm>
          <a:off x="155484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424800</xdr:colOff>
      <xdr:row>123</xdr:row>
      <xdr:rowOff>75750</xdr:rowOff>
    </xdr:from>
    <xdr:to>
      <xdr:col>23</xdr:col>
      <xdr:colOff>9000</xdr:colOff>
      <xdr:row>127</xdr:row>
      <xdr:rowOff>163951</xdr:rowOff>
    </xdr:to>
    <xdr:sp macro="" textlink="">
      <xdr:nvSpPr>
        <xdr:cNvPr id="248335" name="フリーフォーム: 図形 248334">
          <a:extLst>
            <a:ext uri="{FF2B5EF4-FFF2-40B4-BE49-F238E27FC236}">
              <a16:creationId xmlns:a16="http://schemas.microsoft.com/office/drawing/2014/main" id="{34C9E023-EC7D-4304-B531-2A69D3A9B623}"/>
            </a:ext>
          </a:extLst>
        </xdr:cNvPr>
        <xdr:cNvSpPr>
          <a:spLocks noChangeAspect="1"/>
        </xdr:cNvSpPr>
      </xdr:nvSpPr>
      <xdr:spPr>
        <a:xfrm>
          <a:off x="155124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22</xdr:col>
      <xdr:colOff>190801</xdr:colOff>
      <xdr:row>123</xdr:row>
      <xdr:rowOff>93749</xdr:rowOff>
    </xdr:from>
    <xdr:to>
      <xdr:col>22</xdr:col>
      <xdr:colOff>424801</xdr:colOff>
      <xdr:row>128</xdr:row>
      <xdr:rowOff>118501</xdr:rowOff>
    </xdr:to>
    <xdr:sp macro="" textlink="">
      <xdr:nvSpPr>
        <xdr:cNvPr id="248336" name="フリーフォーム: 図形 248335">
          <a:extLst>
            <a:ext uri="{FF2B5EF4-FFF2-40B4-BE49-F238E27FC236}">
              <a16:creationId xmlns:a16="http://schemas.microsoft.com/office/drawing/2014/main" id="{1AC2AE3C-7A40-491E-9706-288EF04126E0}"/>
            </a:ext>
          </a:extLst>
        </xdr:cNvPr>
        <xdr:cNvSpPr>
          <a:spLocks noChangeAspect="1"/>
        </xdr:cNvSpPr>
      </xdr:nvSpPr>
      <xdr:spPr>
        <a:xfrm>
          <a:off x="152784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21</xdr:col>
      <xdr:colOff>552600</xdr:colOff>
      <xdr:row>123</xdr:row>
      <xdr:rowOff>75750</xdr:rowOff>
    </xdr:from>
    <xdr:to>
      <xdr:col>22</xdr:col>
      <xdr:colOff>388801</xdr:colOff>
      <xdr:row>128</xdr:row>
      <xdr:rowOff>10501</xdr:rowOff>
    </xdr:to>
    <xdr:sp macro="" textlink="">
      <xdr:nvSpPr>
        <xdr:cNvPr id="248337" name="フリーフォーム: 図形 248336">
          <a:extLst>
            <a:ext uri="{FF2B5EF4-FFF2-40B4-BE49-F238E27FC236}">
              <a16:creationId xmlns:a16="http://schemas.microsoft.com/office/drawing/2014/main" id="{D1799B13-E2D0-45CC-A412-5C2F7B719349}"/>
            </a:ext>
          </a:extLst>
        </xdr:cNvPr>
        <xdr:cNvSpPr>
          <a:spLocks noChangeAspect="1"/>
        </xdr:cNvSpPr>
      </xdr:nvSpPr>
      <xdr:spPr>
        <a:xfrm>
          <a:off x="149544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540000</xdr:colOff>
      <xdr:row>117</xdr:row>
      <xdr:rowOff>42450</xdr:rowOff>
    </xdr:from>
    <xdr:to>
      <xdr:col>25</xdr:col>
      <xdr:colOff>322201</xdr:colOff>
      <xdr:row>118</xdr:row>
      <xdr:rowOff>15002</xdr:rowOff>
    </xdr:to>
    <xdr:sp macro="" textlink="">
      <xdr:nvSpPr>
        <xdr:cNvPr id="248338" name="フリーフォーム: 図形 248337">
          <a:extLst>
            <a:ext uri="{FF2B5EF4-FFF2-40B4-BE49-F238E27FC236}">
              <a16:creationId xmlns:a16="http://schemas.microsoft.com/office/drawing/2014/main" id="{D909B2B0-D702-4079-BD3A-9AE3A80E2E3F}"/>
            </a:ext>
          </a:extLst>
        </xdr:cNvPr>
        <xdr:cNvSpPr>
          <a:spLocks noChangeAspect="1"/>
        </xdr:cNvSpPr>
      </xdr:nvSpPr>
      <xdr:spPr>
        <a:xfrm>
          <a:off x="169992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394201</xdr:colOff>
      <xdr:row>117</xdr:row>
      <xdr:rowOff>42450</xdr:rowOff>
    </xdr:from>
    <xdr:to>
      <xdr:col>26</xdr:col>
      <xdr:colOff>176401</xdr:colOff>
      <xdr:row>118</xdr:row>
      <xdr:rowOff>15002</xdr:rowOff>
    </xdr:to>
    <xdr:sp macro="" textlink="">
      <xdr:nvSpPr>
        <xdr:cNvPr id="248339" name="フリーフォーム: 図形 248338">
          <a:extLst>
            <a:ext uri="{FF2B5EF4-FFF2-40B4-BE49-F238E27FC236}">
              <a16:creationId xmlns:a16="http://schemas.microsoft.com/office/drawing/2014/main" id="{1BA4436E-EEC4-4F19-8A20-87BCD077EE30}"/>
            </a:ext>
          </a:extLst>
        </xdr:cNvPr>
        <xdr:cNvSpPr>
          <a:spLocks noChangeAspect="1"/>
        </xdr:cNvSpPr>
      </xdr:nvSpPr>
      <xdr:spPr>
        <a:xfrm>
          <a:off x="175392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646199</xdr:colOff>
      <xdr:row>117</xdr:row>
      <xdr:rowOff>114450</xdr:rowOff>
    </xdr:from>
    <xdr:to>
      <xdr:col>26</xdr:col>
      <xdr:colOff>248401</xdr:colOff>
      <xdr:row>123</xdr:row>
      <xdr:rowOff>21752</xdr:rowOff>
    </xdr:to>
    <xdr:sp macro="" textlink="">
      <xdr:nvSpPr>
        <xdr:cNvPr id="248340" name="フリーフォーム: 図形 248339">
          <a:extLst>
            <a:ext uri="{FF2B5EF4-FFF2-40B4-BE49-F238E27FC236}">
              <a16:creationId xmlns:a16="http://schemas.microsoft.com/office/drawing/2014/main" id="{62DBBECC-CF18-4DEF-B342-D2DC8BA010FF}"/>
            </a:ext>
          </a:extLst>
        </xdr:cNvPr>
        <xdr:cNvSpPr>
          <a:spLocks noChangeAspect="1"/>
        </xdr:cNvSpPr>
      </xdr:nvSpPr>
      <xdr:spPr>
        <a:xfrm>
          <a:off x="177911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466199</xdr:colOff>
      <xdr:row>123</xdr:row>
      <xdr:rowOff>75750</xdr:rowOff>
    </xdr:from>
    <xdr:to>
      <xdr:col>26</xdr:col>
      <xdr:colOff>68401</xdr:colOff>
      <xdr:row>128</xdr:row>
      <xdr:rowOff>136501</xdr:rowOff>
    </xdr:to>
    <xdr:sp macro="" textlink="">
      <xdr:nvSpPr>
        <xdr:cNvPr id="248341" name="フリーフォーム: 図形 248340">
          <a:extLst>
            <a:ext uri="{FF2B5EF4-FFF2-40B4-BE49-F238E27FC236}">
              <a16:creationId xmlns:a16="http://schemas.microsoft.com/office/drawing/2014/main" id="{F2BA1224-A865-4056-8312-20C822533C14}"/>
            </a:ext>
          </a:extLst>
        </xdr:cNvPr>
        <xdr:cNvSpPr>
          <a:spLocks noChangeAspect="1"/>
        </xdr:cNvSpPr>
      </xdr:nvSpPr>
      <xdr:spPr>
        <a:xfrm>
          <a:off x="176111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198000</xdr:colOff>
      <xdr:row>128</xdr:row>
      <xdr:rowOff>64500</xdr:rowOff>
    </xdr:from>
    <xdr:to>
      <xdr:col>24</xdr:col>
      <xdr:colOff>684001</xdr:colOff>
      <xdr:row>129</xdr:row>
      <xdr:rowOff>37051</xdr:rowOff>
    </xdr:to>
    <xdr:sp macro="" textlink="">
      <xdr:nvSpPr>
        <xdr:cNvPr id="248342" name="フリーフォーム: 図形 248341">
          <a:extLst>
            <a:ext uri="{FF2B5EF4-FFF2-40B4-BE49-F238E27FC236}">
              <a16:creationId xmlns:a16="http://schemas.microsoft.com/office/drawing/2014/main" id="{70F605D4-2A9D-4829-B5BC-DA0E286FECA4}"/>
            </a:ext>
          </a:extLst>
        </xdr:cNvPr>
        <xdr:cNvSpPr>
          <a:spLocks noChangeAspect="1"/>
        </xdr:cNvSpPr>
      </xdr:nvSpPr>
      <xdr:spPr>
        <a:xfrm>
          <a:off x="166572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34199</xdr:colOff>
      <xdr:row>128</xdr:row>
      <xdr:rowOff>64500</xdr:rowOff>
    </xdr:from>
    <xdr:to>
      <xdr:col>25</xdr:col>
      <xdr:colOff>502201</xdr:colOff>
      <xdr:row>129</xdr:row>
      <xdr:rowOff>37051</xdr:rowOff>
    </xdr:to>
    <xdr:sp macro="" textlink="">
      <xdr:nvSpPr>
        <xdr:cNvPr id="248343" name="フリーフォーム: 図形 248342">
          <a:extLst>
            <a:ext uri="{FF2B5EF4-FFF2-40B4-BE49-F238E27FC236}">
              <a16:creationId xmlns:a16="http://schemas.microsoft.com/office/drawing/2014/main" id="{455B9343-91A5-4907-A486-2B84A7F62428}"/>
            </a:ext>
          </a:extLst>
        </xdr:cNvPr>
        <xdr:cNvSpPr>
          <a:spLocks noChangeAspect="1"/>
        </xdr:cNvSpPr>
      </xdr:nvSpPr>
      <xdr:spPr>
        <a:xfrm>
          <a:off x="171791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144001</xdr:colOff>
      <xdr:row>123</xdr:row>
      <xdr:rowOff>75750</xdr:rowOff>
    </xdr:from>
    <xdr:to>
      <xdr:col>24</xdr:col>
      <xdr:colOff>432001</xdr:colOff>
      <xdr:row>128</xdr:row>
      <xdr:rowOff>136501</xdr:rowOff>
    </xdr:to>
    <xdr:sp macro="" textlink="">
      <xdr:nvSpPr>
        <xdr:cNvPr id="248344" name="フリーフォーム: 図形 248343">
          <a:extLst>
            <a:ext uri="{FF2B5EF4-FFF2-40B4-BE49-F238E27FC236}">
              <a16:creationId xmlns:a16="http://schemas.microsoft.com/office/drawing/2014/main" id="{84694644-302D-46E3-8D05-21C183CA6FC3}"/>
            </a:ext>
          </a:extLst>
        </xdr:cNvPr>
        <xdr:cNvSpPr>
          <a:spLocks noChangeAspect="1"/>
        </xdr:cNvSpPr>
      </xdr:nvSpPr>
      <xdr:spPr>
        <a:xfrm>
          <a:off x="16603201" y="214308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117</xdr:row>
      <xdr:rowOff>114450</xdr:rowOff>
    </xdr:from>
    <xdr:to>
      <xdr:col>24</xdr:col>
      <xdr:colOff>576002</xdr:colOff>
      <xdr:row>123</xdr:row>
      <xdr:rowOff>21752</xdr:rowOff>
    </xdr:to>
    <xdr:sp macro="" textlink="">
      <xdr:nvSpPr>
        <xdr:cNvPr id="248345" name="フリーフォーム: 図形 248344">
          <a:extLst>
            <a:ext uri="{FF2B5EF4-FFF2-40B4-BE49-F238E27FC236}">
              <a16:creationId xmlns:a16="http://schemas.microsoft.com/office/drawing/2014/main" id="{2885FA82-9099-4C98-8C87-79AB45DF513E}"/>
            </a:ext>
          </a:extLst>
        </xdr:cNvPr>
        <xdr:cNvSpPr>
          <a:spLocks noChangeAspect="1"/>
        </xdr:cNvSpPr>
      </xdr:nvSpPr>
      <xdr:spPr>
        <a:xfrm>
          <a:off x="167832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396001</xdr:colOff>
      <xdr:row>122</xdr:row>
      <xdr:rowOff>139199</xdr:rowOff>
    </xdr:from>
    <xdr:to>
      <xdr:col>25</xdr:col>
      <xdr:colOff>160201</xdr:colOff>
      <xdr:row>123</xdr:row>
      <xdr:rowOff>111751</xdr:rowOff>
    </xdr:to>
    <xdr:sp macro="" textlink="">
      <xdr:nvSpPr>
        <xdr:cNvPr id="248346" name="フリーフォーム: 図形 248345">
          <a:extLst>
            <a:ext uri="{FF2B5EF4-FFF2-40B4-BE49-F238E27FC236}">
              <a16:creationId xmlns:a16="http://schemas.microsoft.com/office/drawing/2014/main" id="{6EC69C3D-4451-453C-A273-305B8948585E}"/>
            </a:ext>
          </a:extLst>
        </xdr:cNvPr>
        <xdr:cNvSpPr>
          <a:spLocks noChangeAspect="1"/>
        </xdr:cNvSpPr>
      </xdr:nvSpPr>
      <xdr:spPr>
        <a:xfrm>
          <a:off x="168552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214199</xdr:colOff>
      <xdr:row>122</xdr:row>
      <xdr:rowOff>139199</xdr:rowOff>
    </xdr:from>
    <xdr:to>
      <xdr:col>25</xdr:col>
      <xdr:colOff>664201</xdr:colOff>
      <xdr:row>123</xdr:row>
      <xdr:rowOff>111751</xdr:rowOff>
    </xdr:to>
    <xdr:sp macro="" textlink="">
      <xdr:nvSpPr>
        <xdr:cNvPr id="248347" name="フリーフォーム: 図形 248346">
          <a:extLst>
            <a:ext uri="{FF2B5EF4-FFF2-40B4-BE49-F238E27FC236}">
              <a16:creationId xmlns:a16="http://schemas.microsoft.com/office/drawing/2014/main" id="{2B67C93D-D149-40FE-A280-C29C49C22091}"/>
            </a:ext>
          </a:extLst>
        </xdr:cNvPr>
        <xdr:cNvSpPr>
          <a:spLocks noChangeAspect="1"/>
        </xdr:cNvSpPr>
      </xdr:nvSpPr>
      <xdr:spPr>
        <a:xfrm>
          <a:off x="173591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593999</xdr:colOff>
      <xdr:row>118</xdr:row>
      <xdr:rowOff>51000</xdr:rowOff>
    </xdr:from>
    <xdr:to>
      <xdr:col>25</xdr:col>
      <xdr:colOff>178201</xdr:colOff>
      <xdr:row>123</xdr:row>
      <xdr:rowOff>3751</xdr:rowOff>
    </xdr:to>
    <xdr:sp macro="" textlink="">
      <xdr:nvSpPr>
        <xdr:cNvPr id="248348" name="フリーフォーム: 図形 248347">
          <a:extLst>
            <a:ext uri="{FF2B5EF4-FFF2-40B4-BE49-F238E27FC236}">
              <a16:creationId xmlns:a16="http://schemas.microsoft.com/office/drawing/2014/main" id="{7F12579B-07B4-4247-A452-76F58141F147}"/>
            </a:ext>
          </a:extLst>
        </xdr:cNvPr>
        <xdr:cNvSpPr>
          <a:spLocks noChangeAspect="1"/>
        </xdr:cNvSpPr>
      </xdr:nvSpPr>
      <xdr:spPr>
        <a:xfrm>
          <a:off x="170531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178200</xdr:colOff>
      <xdr:row>117</xdr:row>
      <xdr:rowOff>114450</xdr:rowOff>
    </xdr:from>
    <xdr:to>
      <xdr:col>25</xdr:col>
      <xdr:colOff>430201</xdr:colOff>
      <xdr:row>122</xdr:row>
      <xdr:rowOff>157201</xdr:rowOff>
    </xdr:to>
    <xdr:sp macro="" textlink="">
      <xdr:nvSpPr>
        <xdr:cNvPr id="248349" name="フリーフォーム: 図形 248348">
          <a:extLst>
            <a:ext uri="{FF2B5EF4-FFF2-40B4-BE49-F238E27FC236}">
              <a16:creationId xmlns:a16="http://schemas.microsoft.com/office/drawing/2014/main" id="{E3A6F1CF-EF9C-4DFC-A42A-BB0A2168EE1C}"/>
            </a:ext>
          </a:extLst>
        </xdr:cNvPr>
        <xdr:cNvSpPr>
          <a:spLocks noChangeAspect="1"/>
        </xdr:cNvSpPr>
      </xdr:nvSpPr>
      <xdr:spPr>
        <a:xfrm>
          <a:off x="173232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232200</xdr:colOff>
      <xdr:row>118</xdr:row>
      <xdr:rowOff>69000</xdr:rowOff>
    </xdr:from>
    <xdr:to>
      <xdr:col>26</xdr:col>
      <xdr:colOff>68401</xdr:colOff>
      <xdr:row>123</xdr:row>
      <xdr:rowOff>3751</xdr:rowOff>
    </xdr:to>
    <xdr:sp macro="" textlink="">
      <xdr:nvSpPr>
        <xdr:cNvPr id="248350" name="フリーフォーム: 図形 248349">
          <a:extLst>
            <a:ext uri="{FF2B5EF4-FFF2-40B4-BE49-F238E27FC236}">
              <a16:creationId xmlns:a16="http://schemas.microsoft.com/office/drawing/2014/main" id="{C0145D48-82D8-43DE-A9E7-CF5943EE3B2C}"/>
            </a:ext>
          </a:extLst>
        </xdr:cNvPr>
        <xdr:cNvSpPr>
          <a:spLocks noChangeAspect="1"/>
        </xdr:cNvSpPr>
      </xdr:nvSpPr>
      <xdr:spPr>
        <a:xfrm>
          <a:off x="173772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25</xdr:col>
      <xdr:colOff>196200</xdr:colOff>
      <xdr:row>123</xdr:row>
      <xdr:rowOff>75750</xdr:rowOff>
    </xdr:from>
    <xdr:to>
      <xdr:col>25</xdr:col>
      <xdr:colOff>466200</xdr:colOff>
      <xdr:row>127</xdr:row>
      <xdr:rowOff>163951</xdr:rowOff>
    </xdr:to>
    <xdr:sp macro="" textlink="">
      <xdr:nvSpPr>
        <xdr:cNvPr id="248351" name="フリーフォーム: 図形 248350">
          <a:extLst>
            <a:ext uri="{FF2B5EF4-FFF2-40B4-BE49-F238E27FC236}">
              <a16:creationId xmlns:a16="http://schemas.microsoft.com/office/drawing/2014/main" id="{A2DD40FB-A519-45C8-BF00-29CF4031739E}"/>
            </a:ext>
          </a:extLst>
        </xdr:cNvPr>
        <xdr:cNvSpPr>
          <a:spLocks noChangeAspect="1"/>
        </xdr:cNvSpPr>
      </xdr:nvSpPr>
      <xdr:spPr>
        <a:xfrm>
          <a:off x="173412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648001</xdr:colOff>
      <xdr:row>123</xdr:row>
      <xdr:rowOff>93749</xdr:rowOff>
    </xdr:from>
    <xdr:to>
      <xdr:col>25</xdr:col>
      <xdr:colOff>196201</xdr:colOff>
      <xdr:row>128</xdr:row>
      <xdr:rowOff>118501</xdr:rowOff>
    </xdr:to>
    <xdr:sp macro="" textlink="">
      <xdr:nvSpPr>
        <xdr:cNvPr id="248352" name="フリーフォーム: 図形 248351">
          <a:extLst>
            <a:ext uri="{FF2B5EF4-FFF2-40B4-BE49-F238E27FC236}">
              <a16:creationId xmlns:a16="http://schemas.microsoft.com/office/drawing/2014/main" id="{082FFDE7-2778-4B66-ABB0-CFFDC357DB39}"/>
            </a:ext>
          </a:extLst>
        </xdr:cNvPr>
        <xdr:cNvSpPr>
          <a:spLocks noChangeAspect="1"/>
        </xdr:cNvSpPr>
      </xdr:nvSpPr>
      <xdr:spPr>
        <a:xfrm>
          <a:off x="171072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24</xdr:col>
      <xdr:colOff>324000</xdr:colOff>
      <xdr:row>123</xdr:row>
      <xdr:rowOff>75750</xdr:rowOff>
    </xdr:from>
    <xdr:to>
      <xdr:col>25</xdr:col>
      <xdr:colOff>160201</xdr:colOff>
      <xdr:row>128</xdr:row>
      <xdr:rowOff>10501</xdr:rowOff>
    </xdr:to>
    <xdr:sp macro="" textlink="">
      <xdr:nvSpPr>
        <xdr:cNvPr id="248353" name="フリーフォーム: 図形 248352">
          <a:extLst>
            <a:ext uri="{FF2B5EF4-FFF2-40B4-BE49-F238E27FC236}">
              <a16:creationId xmlns:a16="http://schemas.microsoft.com/office/drawing/2014/main" id="{D3FC65D3-2F6E-4417-B8AB-F91B605B5DA3}"/>
            </a:ext>
          </a:extLst>
        </xdr:cNvPr>
        <xdr:cNvSpPr>
          <a:spLocks noChangeAspect="1"/>
        </xdr:cNvSpPr>
      </xdr:nvSpPr>
      <xdr:spPr>
        <a:xfrm>
          <a:off x="167832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311400</xdr:colOff>
      <xdr:row>117</xdr:row>
      <xdr:rowOff>42450</xdr:rowOff>
    </xdr:from>
    <xdr:to>
      <xdr:col>28</xdr:col>
      <xdr:colOff>93601</xdr:colOff>
      <xdr:row>118</xdr:row>
      <xdr:rowOff>15002</xdr:rowOff>
    </xdr:to>
    <xdr:sp macro="" textlink="">
      <xdr:nvSpPr>
        <xdr:cNvPr id="248354" name="フリーフォーム: 図形 248353">
          <a:extLst>
            <a:ext uri="{FF2B5EF4-FFF2-40B4-BE49-F238E27FC236}">
              <a16:creationId xmlns:a16="http://schemas.microsoft.com/office/drawing/2014/main" id="{98E45D98-555E-4059-BC47-AAF210E7CD59}"/>
            </a:ext>
          </a:extLst>
        </xdr:cNvPr>
        <xdr:cNvSpPr>
          <a:spLocks noChangeAspect="1"/>
        </xdr:cNvSpPr>
      </xdr:nvSpPr>
      <xdr:spPr>
        <a:xfrm>
          <a:off x="188280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165601</xdr:colOff>
      <xdr:row>117</xdr:row>
      <xdr:rowOff>42450</xdr:rowOff>
    </xdr:from>
    <xdr:to>
      <xdr:col>28</xdr:col>
      <xdr:colOff>633601</xdr:colOff>
      <xdr:row>118</xdr:row>
      <xdr:rowOff>15002</xdr:rowOff>
    </xdr:to>
    <xdr:sp macro="" textlink="">
      <xdr:nvSpPr>
        <xdr:cNvPr id="248355" name="フリーフォーム: 図形 248354">
          <a:extLst>
            <a:ext uri="{FF2B5EF4-FFF2-40B4-BE49-F238E27FC236}">
              <a16:creationId xmlns:a16="http://schemas.microsoft.com/office/drawing/2014/main" id="{7A0FDC4E-9008-4CD7-8289-E6DCFB889E5C}"/>
            </a:ext>
          </a:extLst>
        </xdr:cNvPr>
        <xdr:cNvSpPr>
          <a:spLocks noChangeAspect="1"/>
        </xdr:cNvSpPr>
      </xdr:nvSpPr>
      <xdr:spPr>
        <a:xfrm>
          <a:off x="193680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417599</xdr:colOff>
      <xdr:row>117</xdr:row>
      <xdr:rowOff>114450</xdr:rowOff>
    </xdr:from>
    <xdr:to>
      <xdr:col>29</xdr:col>
      <xdr:colOff>19801</xdr:colOff>
      <xdr:row>123</xdr:row>
      <xdr:rowOff>21752</xdr:rowOff>
    </xdr:to>
    <xdr:sp macro="" textlink="">
      <xdr:nvSpPr>
        <xdr:cNvPr id="248356" name="フリーフォーム: 図形 248355">
          <a:extLst>
            <a:ext uri="{FF2B5EF4-FFF2-40B4-BE49-F238E27FC236}">
              <a16:creationId xmlns:a16="http://schemas.microsoft.com/office/drawing/2014/main" id="{0910C036-603C-4617-A301-C6583D1AC799}"/>
            </a:ext>
          </a:extLst>
        </xdr:cNvPr>
        <xdr:cNvSpPr>
          <a:spLocks noChangeAspect="1"/>
        </xdr:cNvSpPr>
      </xdr:nvSpPr>
      <xdr:spPr>
        <a:xfrm>
          <a:off x="196199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237599</xdr:colOff>
      <xdr:row>123</xdr:row>
      <xdr:rowOff>75750</xdr:rowOff>
    </xdr:from>
    <xdr:to>
      <xdr:col>28</xdr:col>
      <xdr:colOff>525601</xdr:colOff>
      <xdr:row>128</xdr:row>
      <xdr:rowOff>136501</xdr:rowOff>
    </xdr:to>
    <xdr:sp macro="" textlink="">
      <xdr:nvSpPr>
        <xdr:cNvPr id="248357" name="フリーフォーム: 図形 248356">
          <a:extLst>
            <a:ext uri="{FF2B5EF4-FFF2-40B4-BE49-F238E27FC236}">
              <a16:creationId xmlns:a16="http://schemas.microsoft.com/office/drawing/2014/main" id="{25458082-43D1-411A-87E4-8A721D09B93F}"/>
            </a:ext>
          </a:extLst>
        </xdr:cNvPr>
        <xdr:cNvSpPr>
          <a:spLocks noChangeAspect="1"/>
        </xdr:cNvSpPr>
      </xdr:nvSpPr>
      <xdr:spPr>
        <a:xfrm>
          <a:off x="194399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655200</xdr:colOff>
      <xdr:row>128</xdr:row>
      <xdr:rowOff>64500</xdr:rowOff>
    </xdr:from>
    <xdr:to>
      <xdr:col>27</xdr:col>
      <xdr:colOff>455401</xdr:colOff>
      <xdr:row>129</xdr:row>
      <xdr:rowOff>37051</xdr:rowOff>
    </xdr:to>
    <xdr:sp macro="" textlink="">
      <xdr:nvSpPr>
        <xdr:cNvPr id="248358" name="フリーフォーム: 図形 248357">
          <a:extLst>
            <a:ext uri="{FF2B5EF4-FFF2-40B4-BE49-F238E27FC236}">
              <a16:creationId xmlns:a16="http://schemas.microsoft.com/office/drawing/2014/main" id="{42B49E2D-1225-4D20-80BC-D55E539CCE29}"/>
            </a:ext>
          </a:extLst>
        </xdr:cNvPr>
        <xdr:cNvSpPr>
          <a:spLocks noChangeAspect="1"/>
        </xdr:cNvSpPr>
      </xdr:nvSpPr>
      <xdr:spPr>
        <a:xfrm>
          <a:off x="184860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491399</xdr:colOff>
      <xdr:row>128</xdr:row>
      <xdr:rowOff>64500</xdr:rowOff>
    </xdr:from>
    <xdr:to>
      <xdr:col>28</xdr:col>
      <xdr:colOff>273601</xdr:colOff>
      <xdr:row>129</xdr:row>
      <xdr:rowOff>37051</xdr:rowOff>
    </xdr:to>
    <xdr:sp macro="" textlink="">
      <xdr:nvSpPr>
        <xdr:cNvPr id="248359" name="フリーフォーム: 図形 248358">
          <a:extLst>
            <a:ext uri="{FF2B5EF4-FFF2-40B4-BE49-F238E27FC236}">
              <a16:creationId xmlns:a16="http://schemas.microsoft.com/office/drawing/2014/main" id="{BF5BA78F-56E1-419F-A8CA-004C0B4F248A}"/>
            </a:ext>
          </a:extLst>
        </xdr:cNvPr>
        <xdr:cNvSpPr>
          <a:spLocks noChangeAspect="1"/>
        </xdr:cNvSpPr>
      </xdr:nvSpPr>
      <xdr:spPr>
        <a:xfrm>
          <a:off x="190079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26</xdr:col>
      <xdr:colOff>601201</xdr:colOff>
      <xdr:row>123</xdr:row>
      <xdr:rowOff>75750</xdr:rowOff>
    </xdr:from>
    <xdr:to>
      <xdr:col>27</xdr:col>
      <xdr:colOff>203401</xdr:colOff>
      <xdr:row>128</xdr:row>
      <xdr:rowOff>136501</xdr:rowOff>
    </xdr:to>
    <xdr:sp macro="" textlink="">
      <xdr:nvSpPr>
        <xdr:cNvPr id="248360" name="フリーフォーム: 図形 248359">
          <a:extLst>
            <a:ext uri="{FF2B5EF4-FFF2-40B4-BE49-F238E27FC236}">
              <a16:creationId xmlns:a16="http://schemas.microsoft.com/office/drawing/2014/main" id="{C5406E43-58C9-40DA-9498-2062A6E6B78B}"/>
            </a:ext>
          </a:extLst>
        </xdr:cNvPr>
        <xdr:cNvSpPr>
          <a:spLocks noChangeAspect="1"/>
        </xdr:cNvSpPr>
      </xdr:nvSpPr>
      <xdr:spPr>
        <a:xfrm>
          <a:off x="18432001" y="214308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117</xdr:row>
      <xdr:rowOff>114450</xdr:rowOff>
    </xdr:from>
    <xdr:to>
      <xdr:col>27</xdr:col>
      <xdr:colOff>347402</xdr:colOff>
      <xdr:row>123</xdr:row>
      <xdr:rowOff>21752</xdr:rowOff>
    </xdr:to>
    <xdr:sp macro="" textlink="">
      <xdr:nvSpPr>
        <xdr:cNvPr id="248361" name="フリーフォーム: 図形 248360">
          <a:extLst>
            <a:ext uri="{FF2B5EF4-FFF2-40B4-BE49-F238E27FC236}">
              <a16:creationId xmlns:a16="http://schemas.microsoft.com/office/drawing/2014/main" id="{A8E1ACE4-F276-4124-B4A5-BC9A31F2BFD7}"/>
            </a:ext>
          </a:extLst>
        </xdr:cNvPr>
        <xdr:cNvSpPr>
          <a:spLocks noChangeAspect="1"/>
        </xdr:cNvSpPr>
      </xdr:nvSpPr>
      <xdr:spPr>
        <a:xfrm>
          <a:off x="186120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167401</xdr:colOff>
      <xdr:row>122</xdr:row>
      <xdr:rowOff>139199</xdr:rowOff>
    </xdr:from>
    <xdr:to>
      <xdr:col>27</xdr:col>
      <xdr:colOff>617401</xdr:colOff>
      <xdr:row>123</xdr:row>
      <xdr:rowOff>111751</xdr:rowOff>
    </xdr:to>
    <xdr:sp macro="" textlink="">
      <xdr:nvSpPr>
        <xdr:cNvPr id="248362" name="フリーフォーム: 図形 248361">
          <a:extLst>
            <a:ext uri="{FF2B5EF4-FFF2-40B4-BE49-F238E27FC236}">
              <a16:creationId xmlns:a16="http://schemas.microsoft.com/office/drawing/2014/main" id="{48830C2B-F5BD-4C72-9539-0CEC752F13B7}"/>
            </a:ext>
          </a:extLst>
        </xdr:cNvPr>
        <xdr:cNvSpPr>
          <a:spLocks noChangeAspect="1"/>
        </xdr:cNvSpPr>
      </xdr:nvSpPr>
      <xdr:spPr>
        <a:xfrm>
          <a:off x="186840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671399</xdr:colOff>
      <xdr:row>122</xdr:row>
      <xdr:rowOff>139199</xdr:rowOff>
    </xdr:from>
    <xdr:to>
      <xdr:col>28</xdr:col>
      <xdr:colOff>435601</xdr:colOff>
      <xdr:row>123</xdr:row>
      <xdr:rowOff>111751</xdr:rowOff>
    </xdr:to>
    <xdr:sp macro="" textlink="">
      <xdr:nvSpPr>
        <xdr:cNvPr id="248363" name="フリーフォーム: 図形 248362">
          <a:extLst>
            <a:ext uri="{FF2B5EF4-FFF2-40B4-BE49-F238E27FC236}">
              <a16:creationId xmlns:a16="http://schemas.microsoft.com/office/drawing/2014/main" id="{6CA97953-BF37-46E4-B721-90346610A37B}"/>
            </a:ext>
          </a:extLst>
        </xdr:cNvPr>
        <xdr:cNvSpPr>
          <a:spLocks noChangeAspect="1"/>
        </xdr:cNvSpPr>
      </xdr:nvSpPr>
      <xdr:spPr>
        <a:xfrm>
          <a:off x="191879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365399</xdr:colOff>
      <xdr:row>118</xdr:row>
      <xdr:rowOff>51000</xdr:rowOff>
    </xdr:from>
    <xdr:to>
      <xdr:col>27</xdr:col>
      <xdr:colOff>635401</xdr:colOff>
      <xdr:row>123</xdr:row>
      <xdr:rowOff>3751</xdr:rowOff>
    </xdr:to>
    <xdr:sp macro="" textlink="">
      <xdr:nvSpPr>
        <xdr:cNvPr id="248364" name="フリーフォーム: 図形 248363">
          <a:extLst>
            <a:ext uri="{FF2B5EF4-FFF2-40B4-BE49-F238E27FC236}">
              <a16:creationId xmlns:a16="http://schemas.microsoft.com/office/drawing/2014/main" id="{66E74414-7724-4313-AE1E-FC1EF59D571F}"/>
            </a:ext>
          </a:extLst>
        </xdr:cNvPr>
        <xdr:cNvSpPr>
          <a:spLocks noChangeAspect="1"/>
        </xdr:cNvSpPr>
      </xdr:nvSpPr>
      <xdr:spPr>
        <a:xfrm>
          <a:off x="188819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635400</xdr:colOff>
      <xdr:row>117</xdr:row>
      <xdr:rowOff>114450</xdr:rowOff>
    </xdr:from>
    <xdr:to>
      <xdr:col>28</xdr:col>
      <xdr:colOff>201601</xdr:colOff>
      <xdr:row>122</xdr:row>
      <xdr:rowOff>157201</xdr:rowOff>
    </xdr:to>
    <xdr:sp macro="" textlink="">
      <xdr:nvSpPr>
        <xdr:cNvPr id="248365" name="フリーフォーム: 図形 248364">
          <a:extLst>
            <a:ext uri="{FF2B5EF4-FFF2-40B4-BE49-F238E27FC236}">
              <a16:creationId xmlns:a16="http://schemas.microsoft.com/office/drawing/2014/main" id="{30566166-757D-4AEB-BA56-A3715697EFCD}"/>
            </a:ext>
          </a:extLst>
        </xdr:cNvPr>
        <xdr:cNvSpPr>
          <a:spLocks noChangeAspect="1"/>
        </xdr:cNvSpPr>
      </xdr:nvSpPr>
      <xdr:spPr>
        <a:xfrm>
          <a:off x="191520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28</xdr:col>
      <xdr:colOff>3600</xdr:colOff>
      <xdr:row>118</xdr:row>
      <xdr:rowOff>69000</xdr:rowOff>
    </xdr:from>
    <xdr:to>
      <xdr:col>28</xdr:col>
      <xdr:colOff>525601</xdr:colOff>
      <xdr:row>123</xdr:row>
      <xdr:rowOff>3751</xdr:rowOff>
    </xdr:to>
    <xdr:sp macro="" textlink="">
      <xdr:nvSpPr>
        <xdr:cNvPr id="248366" name="フリーフォーム: 図形 248365">
          <a:extLst>
            <a:ext uri="{FF2B5EF4-FFF2-40B4-BE49-F238E27FC236}">
              <a16:creationId xmlns:a16="http://schemas.microsoft.com/office/drawing/2014/main" id="{4915B05E-4224-46FD-8462-628E0C2597BF}"/>
            </a:ext>
          </a:extLst>
        </xdr:cNvPr>
        <xdr:cNvSpPr>
          <a:spLocks noChangeAspect="1"/>
        </xdr:cNvSpPr>
      </xdr:nvSpPr>
      <xdr:spPr>
        <a:xfrm>
          <a:off x="192060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653400</xdr:colOff>
      <xdr:row>123</xdr:row>
      <xdr:rowOff>75750</xdr:rowOff>
    </xdr:from>
    <xdr:to>
      <xdr:col>28</xdr:col>
      <xdr:colOff>237600</xdr:colOff>
      <xdr:row>127</xdr:row>
      <xdr:rowOff>163951</xdr:rowOff>
    </xdr:to>
    <xdr:sp macro="" textlink="">
      <xdr:nvSpPr>
        <xdr:cNvPr id="248367" name="フリーフォーム: 図形 248366">
          <a:extLst>
            <a:ext uri="{FF2B5EF4-FFF2-40B4-BE49-F238E27FC236}">
              <a16:creationId xmlns:a16="http://schemas.microsoft.com/office/drawing/2014/main" id="{46B75460-86F9-4CCB-8A9D-00D3207CEF41}"/>
            </a:ext>
          </a:extLst>
        </xdr:cNvPr>
        <xdr:cNvSpPr>
          <a:spLocks noChangeAspect="1"/>
        </xdr:cNvSpPr>
      </xdr:nvSpPr>
      <xdr:spPr>
        <a:xfrm>
          <a:off x="191700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419401</xdr:colOff>
      <xdr:row>123</xdr:row>
      <xdr:rowOff>93749</xdr:rowOff>
    </xdr:from>
    <xdr:to>
      <xdr:col>27</xdr:col>
      <xdr:colOff>653401</xdr:colOff>
      <xdr:row>128</xdr:row>
      <xdr:rowOff>118501</xdr:rowOff>
    </xdr:to>
    <xdr:sp macro="" textlink="">
      <xdr:nvSpPr>
        <xdr:cNvPr id="248368" name="フリーフォーム: 図形 248367">
          <a:extLst>
            <a:ext uri="{FF2B5EF4-FFF2-40B4-BE49-F238E27FC236}">
              <a16:creationId xmlns:a16="http://schemas.microsoft.com/office/drawing/2014/main" id="{9AF103E7-4204-41E7-A7D5-895CD007CAAA}"/>
            </a:ext>
          </a:extLst>
        </xdr:cNvPr>
        <xdr:cNvSpPr>
          <a:spLocks noChangeAspect="1"/>
        </xdr:cNvSpPr>
      </xdr:nvSpPr>
      <xdr:spPr>
        <a:xfrm>
          <a:off x="189360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27</xdr:col>
      <xdr:colOff>95400</xdr:colOff>
      <xdr:row>123</xdr:row>
      <xdr:rowOff>75750</xdr:rowOff>
    </xdr:from>
    <xdr:to>
      <xdr:col>27</xdr:col>
      <xdr:colOff>617401</xdr:colOff>
      <xdr:row>128</xdr:row>
      <xdr:rowOff>10501</xdr:rowOff>
    </xdr:to>
    <xdr:sp macro="" textlink="">
      <xdr:nvSpPr>
        <xdr:cNvPr id="248369" name="フリーフォーム: 図形 248368">
          <a:extLst>
            <a:ext uri="{FF2B5EF4-FFF2-40B4-BE49-F238E27FC236}">
              <a16:creationId xmlns:a16="http://schemas.microsoft.com/office/drawing/2014/main" id="{6FA6D5DE-2B90-4374-B620-2AA2695681F7}"/>
            </a:ext>
          </a:extLst>
        </xdr:cNvPr>
        <xdr:cNvSpPr>
          <a:spLocks noChangeAspect="1"/>
        </xdr:cNvSpPr>
      </xdr:nvSpPr>
      <xdr:spPr>
        <a:xfrm>
          <a:off x="186120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82800</xdr:colOff>
      <xdr:row>117</xdr:row>
      <xdr:rowOff>42450</xdr:rowOff>
    </xdr:from>
    <xdr:to>
      <xdr:col>30</xdr:col>
      <xdr:colOff>550801</xdr:colOff>
      <xdr:row>118</xdr:row>
      <xdr:rowOff>15002</xdr:rowOff>
    </xdr:to>
    <xdr:sp macro="" textlink="">
      <xdr:nvSpPr>
        <xdr:cNvPr id="248370" name="フリーフォーム: 図形 248369">
          <a:extLst>
            <a:ext uri="{FF2B5EF4-FFF2-40B4-BE49-F238E27FC236}">
              <a16:creationId xmlns:a16="http://schemas.microsoft.com/office/drawing/2014/main" id="{AAA80E39-AFF8-455C-81FF-0EC4ADF294A7}"/>
            </a:ext>
          </a:extLst>
        </xdr:cNvPr>
        <xdr:cNvSpPr>
          <a:spLocks noChangeAspect="1"/>
        </xdr:cNvSpPr>
      </xdr:nvSpPr>
      <xdr:spPr>
        <a:xfrm>
          <a:off x="206568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622801</xdr:colOff>
      <xdr:row>117</xdr:row>
      <xdr:rowOff>42450</xdr:rowOff>
    </xdr:from>
    <xdr:to>
      <xdr:col>31</xdr:col>
      <xdr:colOff>405001</xdr:colOff>
      <xdr:row>118</xdr:row>
      <xdr:rowOff>15002</xdr:rowOff>
    </xdr:to>
    <xdr:sp macro="" textlink="">
      <xdr:nvSpPr>
        <xdr:cNvPr id="248371" name="フリーフォーム: 図形 248370">
          <a:extLst>
            <a:ext uri="{FF2B5EF4-FFF2-40B4-BE49-F238E27FC236}">
              <a16:creationId xmlns:a16="http://schemas.microsoft.com/office/drawing/2014/main" id="{D126CBD2-92E2-4AFC-ACF7-B92DF4B6D589}"/>
            </a:ext>
          </a:extLst>
        </xdr:cNvPr>
        <xdr:cNvSpPr>
          <a:spLocks noChangeAspect="1"/>
        </xdr:cNvSpPr>
      </xdr:nvSpPr>
      <xdr:spPr>
        <a:xfrm>
          <a:off x="211968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188999</xdr:colOff>
      <xdr:row>117</xdr:row>
      <xdr:rowOff>114450</xdr:rowOff>
    </xdr:from>
    <xdr:to>
      <xdr:col>31</xdr:col>
      <xdr:colOff>477001</xdr:colOff>
      <xdr:row>123</xdr:row>
      <xdr:rowOff>21752</xdr:rowOff>
    </xdr:to>
    <xdr:sp macro="" textlink="">
      <xdr:nvSpPr>
        <xdr:cNvPr id="248372" name="フリーフォーム: 図形 248371">
          <a:extLst>
            <a:ext uri="{FF2B5EF4-FFF2-40B4-BE49-F238E27FC236}">
              <a16:creationId xmlns:a16="http://schemas.microsoft.com/office/drawing/2014/main" id="{A13A8B8E-CDB5-45A3-A729-7DBE90C96351}"/>
            </a:ext>
          </a:extLst>
        </xdr:cNvPr>
        <xdr:cNvSpPr>
          <a:spLocks noChangeAspect="1"/>
        </xdr:cNvSpPr>
      </xdr:nvSpPr>
      <xdr:spPr>
        <a:xfrm>
          <a:off x="214487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31</xdr:col>
      <xdr:colOff>8999</xdr:colOff>
      <xdr:row>123</xdr:row>
      <xdr:rowOff>75750</xdr:rowOff>
    </xdr:from>
    <xdr:to>
      <xdr:col>31</xdr:col>
      <xdr:colOff>297001</xdr:colOff>
      <xdr:row>128</xdr:row>
      <xdr:rowOff>136501</xdr:rowOff>
    </xdr:to>
    <xdr:sp macro="" textlink="">
      <xdr:nvSpPr>
        <xdr:cNvPr id="248373" name="フリーフォーム: 図形 248372">
          <a:extLst>
            <a:ext uri="{FF2B5EF4-FFF2-40B4-BE49-F238E27FC236}">
              <a16:creationId xmlns:a16="http://schemas.microsoft.com/office/drawing/2014/main" id="{6EFDB4AE-B346-43BB-9BC5-0B910F6616D1}"/>
            </a:ext>
          </a:extLst>
        </xdr:cNvPr>
        <xdr:cNvSpPr>
          <a:spLocks noChangeAspect="1"/>
        </xdr:cNvSpPr>
      </xdr:nvSpPr>
      <xdr:spPr>
        <a:xfrm>
          <a:off x="212687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426600</xdr:colOff>
      <xdr:row>128</xdr:row>
      <xdr:rowOff>64500</xdr:rowOff>
    </xdr:from>
    <xdr:to>
      <xdr:col>30</xdr:col>
      <xdr:colOff>226801</xdr:colOff>
      <xdr:row>129</xdr:row>
      <xdr:rowOff>37051</xdr:rowOff>
    </xdr:to>
    <xdr:sp macro="" textlink="">
      <xdr:nvSpPr>
        <xdr:cNvPr id="248374" name="フリーフォーム: 図形 248373">
          <a:extLst>
            <a:ext uri="{FF2B5EF4-FFF2-40B4-BE49-F238E27FC236}">
              <a16:creationId xmlns:a16="http://schemas.microsoft.com/office/drawing/2014/main" id="{E10B838B-777A-4F59-B04E-FE2DA27DF5F2}"/>
            </a:ext>
          </a:extLst>
        </xdr:cNvPr>
        <xdr:cNvSpPr>
          <a:spLocks noChangeAspect="1"/>
        </xdr:cNvSpPr>
      </xdr:nvSpPr>
      <xdr:spPr>
        <a:xfrm>
          <a:off x="203148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262799</xdr:colOff>
      <xdr:row>128</xdr:row>
      <xdr:rowOff>64500</xdr:rowOff>
    </xdr:from>
    <xdr:to>
      <xdr:col>31</xdr:col>
      <xdr:colOff>45001</xdr:colOff>
      <xdr:row>129</xdr:row>
      <xdr:rowOff>37051</xdr:rowOff>
    </xdr:to>
    <xdr:sp macro="" textlink="">
      <xdr:nvSpPr>
        <xdr:cNvPr id="248375" name="フリーフォーム: 図形 248374">
          <a:extLst>
            <a:ext uri="{FF2B5EF4-FFF2-40B4-BE49-F238E27FC236}">
              <a16:creationId xmlns:a16="http://schemas.microsoft.com/office/drawing/2014/main" id="{7C3BED97-5E50-46AC-B214-7AE8E0BBCB67}"/>
            </a:ext>
          </a:extLst>
        </xdr:cNvPr>
        <xdr:cNvSpPr>
          <a:spLocks noChangeAspect="1"/>
        </xdr:cNvSpPr>
      </xdr:nvSpPr>
      <xdr:spPr>
        <a:xfrm>
          <a:off x="208367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372601</xdr:colOff>
      <xdr:row>123</xdr:row>
      <xdr:rowOff>75750</xdr:rowOff>
    </xdr:from>
    <xdr:to>
      <xdr:col>29</xdr:col>
      <xdr:colOff>660601</xdr:colOff>
      <xdr:row>128</xdr:row>
      <xdr:rowOff>136501</xdr:rowOff>
    </xdr:to>
    <xdr:sp macro="" textlink="">
      <xdr:nvSpPr>
        <xdr:cNvPr id="248376" name="フリーフォーム: 図形 248375">
          <a:extLst>
            <a:ext uri="{FF2B5EF4-FFF2-40B4-BE49-F238E27FC236}">
              <a16:creationId xmlns:a16="http://schemas.microsoft.com/office/drawing/2014/main" id="{75F7FA94-B121-4B02-B96A-01EC19978188}"/>
            </a:ext>
          </a:extLst>
        </xdr:cNvPr>
        <xdr:cNvSpPr>
          <a:spLocks noChangeAspect="1"/>
        </xdr:cNvSpPr>
      </xdr:nvSpPr>
      <xdr:spPr>
        <a:xfrm>
          <a:off x="20260801" y="214308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117</xdr:row>
      <xdr:rowOff>114450</xdr:rowOff>
    </xdr:from>
    <xdr:to>
      <xdr:col>30</xdr:col>
      <xdr:colOff>118802</xdr:colOff>
      <xdr:row>123</xdr:row>
      <xdr:rowOff>21752</xdr:rowOff>
    </xdr:to>
    <xdr:sp macro="" textlink="">
      <xdr:nvSpPr>
        <xdr:cNvPr id="248377" name="フリーフォーム: 図形 248376">
          <a:extLst>
            <a:ext uri="{FF2B5EF4-FFF2-40B4-BE49-F238E27FC236}">
              <a16:creationId xmlns:a16="http://schemas.microsoft.com/office/drawing/2014/main" id="{E3896C53-397A-401D-BE12-0C3D8DCB3E14}"/>
            </a:ext>
          </a:extLst>
        </xdr:cNvPr>
        <xdr:cNvSpPr>
          <a:spLocks noChangeAspect="1"/>
        </xdr:cNvSpPr>
      </xdr:nvSpPr>
      <xdr:spPr>
        <a:xfrm>
          <a:off x="204408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624601</xdr:colOff>
      <xdr:row>122</xdr:row>
      <xdr:rowOff>139199</xdr:rowOff>
    </xdr:from>
    <xdr:to>
      <xdr:col>30</xdr:col>
      <xdr:colOff>388801</xdr:colOff>
      <xdr:row>123</xdr:row>
      <xdr:rowOff>111751</xdr:rowOff>
    </xdr:to>
    <xdr:sp macro="" textlink="">
      <xdr:nvSpPr>
        <xdr:cNvPr id="248378" name="フリーフォーム: 図形 248377">
          <a:extLst>
            <a:ext uri="{FF2B5EF4-FFF2-40B4-BE49-F238E27FC236}">
              <a16:creationId xmlns:a16="http://schemas.microsoft.com/office/drawing/2014/main" id="{0624B511-17C4-4B41-ABF5-AB909A85607E}"/>
            </a:ext>
          </a:extLst>
        </xdr:cNvPr>
        <xdr:cNvSpPr>
          <a:spLocks noChangeAspect="1"/>
        </xdr:cNvSpPr>
      </xdr:nvSpPr>
      <xdr:spPr>
        <a:xfrm>
          <a:off x="205128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442799</xdr:colOff>
      <xdr:row>122</xdr:row>
      <xdr:rowOff>139199</xdr:rowOff>
    </xdr:from>
    <xdr:to>
      <xdr:col>31</xdr:col>
      <xdr:colOff>207001</xdr:colOff>
      <xdr:row>123</xdr:row>
      <xdr:rowOff>111751</xdr:rowOff>
    </xdr:to>
    <xdr:sp macro="" textlink="">
      <xdr:nvSpPr>
        <xdr:cNvPr id="248379" name="フリーフォーム: 図形 248378">
          <a:extLst>
            <a:ext uri="{FF2B5EF4-FFF2-40B4-BE49-F238E27FC236}">
              <a16:creationId xmlns:a16="http://schemas.microsoft.com/office/drawing/2014/main" id="{6E5BC27F-7EE2-4EF9-9AA1-D3F15ADD09FC}"/>
            </a:ext>
          </a:extLst>
        </xdr:cNvPr>
        <xdr:cNvSpPr>
          <a:spLocks noChangeAspect="1"/>
        </xdr:cNvSpPr>
      </xdr:nvSpPr>
      <xdr:spPr>
        <a:xfrm>
          <a:off x="210167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136799</xdr:colOff>
      <xdr:row>118</xdr:row>
      <xdr:rowOff>51000</xdr:rowOff>
    </xdr:from>
    <xdr:to>
      <xdr:col>30</xdr:col>
      <xdr:colOff>406801</xdr:colOff>
      <xdr:row>123</xdr:row>
      <xdr:rowOff>3751</xdr:rowOff>
    </xdr:to>
    <xdr:sp macro="" textlink="">
      <xdr:nvSpPr>
        <xdr:cNvPr id="248380" name="フリーフォーム: 図形 248379">
          <a:extLst>
            <a:ext uri="{FF2B5EF4-FFF2-40B4-BE49-F238E27FC236}">
              <a16:creationId xmlns:a16="http://schemas.microsoft.com/office/drawing/2014/main" id="{7A17B75A-18F4-42B1-A6AB-BCA800260873}"/>
            </a:ext>
          </a:extLst>
        </xdr:cNvPr>
        <xdr:cNvSpPr>
          <a:spLocks noChangeAspect="1"/>
        </xdr:cNvSpPr>
      </xdr:nvSpPr>
      <xdr:spPr>
        <a:xfrm>
          <a:off x="207107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406800</xdr:colOff>
      <xdr:row>117</xdr:row>
      <xdr:rowOff>114450</xdr:rowOff>
    </xdr:from>
    <xdr:to>
      <xdr:col>30</xdr:col>
      <xdr:colOff>658801</xdr:colOff>
      <xdr:row>122</xdr:row>
      <xdr:rowOff>157201</xdr:rowOff>
    </xdr:to>
    <xdr:sp macro="" textlink="">
      <xdr:nvSpPr>
        <xdr:cNvPr id="248381" name="フリーフォーム: 図形 248380">
          <a:extLst>
            <a:ext uri="{FF2B5EF4-FFF2-40B4-BE49-F238E27FC236}">
              <a16:creationId xmlns:a16="http://schemas.microsoft.com/office/drawing/2014/main" id="{AF876CB0-4C21-40F2-AE8E-B2B5B83CDFB3}"/>
            </a:ext>
          </a:extLst>
        </xdr:cNvPr>
        <xdr:cNvSpPr>
          <a:spLocks noChangeAspect="1"/>
        </xdr:cNvSpPr>
      </xdr:nvSpPr>
      <xdr:spPr>
        <a:xfrm>
          <a:off x="209808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460800</xdr:colOff>
      <xdr:row>118</xdr:row>
      <xdr:rowOff>69000</xdr:rowOff>
    </xdr:from>
    <xdr:to>
      <xdr:col>31</xdr:col>
      <xdr:colOff>297001</xdr:colOff>
      <xdr:row>123</xdr:row>
      <xdr:rowOff>3751</xdr:rowOff>
    </xdr:to>
    <xdr:sp macro="" textlink="">
      <xdr:nvSpPr>
        <xdr:cNvPr id="248382" name="フリーフォーム: 図形 248381">
          <a:extLst>
            <a:ext uri="{FF2B5EF4-FFF2-40B4-BE49-F238E27FC236}">
              <a16:creationId xmlns:a16="http://schemas.microsoft.com/office/drawing/2014/main" id="{560D6F72-BF11-4072-8B7C-3D545DA77559}"/>
            </a:ext>
          </a:extLst>
        </xdr:cNvPr>
        <xdr:cNvSpPr>
          <a:spLocks noChangeAspect="1"/>
        </xdr:cNvSpPr>
      </xdr:nvSpPr>
      <xdr:spPr>
        <a:xfrm>
          <a:off x="210348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424800</xdr:colOff>
      <xdr:row>123</xdr:row>
      <xdr:rowOff>75750</xdr:rowOff>
    </xdr:from>
    <xdr:to>
      <xdr:col>31</xdr:col>
      <xdr:colOff>9000</xdr:colOff>
      <xdr:row>127</xdr:row>
      <xdr:rowOff>163951</xdr:rowOff>
    </xdr:to>
    <xdr:sp macro="" textlink="">
      <xdr:nvSpPr>
        <xdr:cNvPr id="248383" name="フリーフォーム: 図形 248382">
          <a:extLst>
            <a:ext uri="{FF2B5EF4-FFF2-40B4-BE49-F238E27FC236}">
              <a16:creationId xmlns:a16="http://schemas.microsoft.com/office/drawing/2014/main" id="{22654095-4579-49F7-9778-81790E289FA3}"/>
            </a:ext>
          </a:extLst>
        </xdr:cNvPr>
        <xdr:cNvSpPr>
          <a:spLocks noChangeAspect="1"/>
        </xdr:cNvSpPr>
      </xdr:nvSpPr>
      <xdr:spPr>
        <a:xfrm>
          <a:off x="209988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30</xdr:col>
      <xdr:colOff>190801</xdr:colOff>
      <xdr:row>123</xdr:row>
      <xdr:rowOff>93749</xdr:rowOff>
    </xdr:from>
    <xdr:to>
      <xdr:col>30</xdr:col>
      <xdr:colOff>424801</xdr:colOff>
      <xdr:row>128</xdr:row>
      <xdr:rowOff>118501</xdr:rowOff>
    </xdr:to>
    <xdr:sp macro="" textlink="">
      <xdr:nvSpPr>
        <xdr:cNvPr id="248384" name="フリーフォーム: 図形 248383">
          <a:extLst>
            <a:ext uri="{FF2B5EF4-FFF2-40B4-BE49-F238E27FC236}">
              <a16:creationId xmlns:a16="http://schemas.microsoft.com/office/drawing/2014/main" id="{79C33791-C891-4769-B8BD-A18830D73545}"/>
            </a:ext>
          </a:extLst>
        </xdr:cNvPr>
        <xdr:cNvSpPr>
          <a:spLocks noChangeAspect="1"/>
        </xdr:cNvSpPr>
      </xdr:nvSpPr>
      <xdr:spPr>
        <a:xfrm>
          <a:off x="207648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29</xdr:col>
      <xdr:colOff>552600</xdr:colOff>
      <xdr:row>123</xdr:row>
      <xdr:rowOff>75750</xdr:rowOff>
    </xdr:from>
    <xdr:to>
      <xdr:col>30</xdr:col>
      <xdr:colOff>388801</xdr:colOff>
      <xdr:row>128</xdr:row>
      <xdr:rowOff>10501</xdr:rowOff>
    </xdr:to>
    <xdr:sp macro="" textlink="">
      <xdr:nvSpPr>
        <xdr:cNvPr id="248385" name="フリーフォーム: 図形 248384">
          <a:extLst>
            <a:ext uri="{FF2B5EF4-FFF2-40B4-BE49-F238E27FC236}">
              <a16:creationId xmlns:a16="http://schemas.microsoft.com/office/drawing/2014/main" id="{DDB15C50-AE8C-4188-B851-236E40BC6EBD}"/>
            </a:ext>
          </a:extLst>
        </xdr:cNvPr>
        <xdr:cNvSpPr>
          <a:spLocks noChangeAspect="1"/>
        </xdr:cNvSpPr>
      </xdr:nvSpPr>
      <xdr:spPr>
        <a:xfrm>
          <a:off x="204408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540000</xdr:colOff>
      <xdr:row>117</xdr:row>
      <xdr:rowOff>42450</xdr:rowOff>
    </xdr:from>
    <xdr:to>
      <xdr:col>33</xdr:col>
      <xdr:colOff>322201</xdr:colOff>
      <xdr:row>118</xdr:row>
      <xdr:rowOff>15002</xdr:rowOff>
    </xdr:to>
    <xdr:sp macro="" textlink="">
      <xdr:nvSpPr>
        <xdr:cNvPr id="248386" name="フリーフォーム: 図形 248385">
          <a:extLst>
            <a:ext uri="{FF2B5EF4-FFF2-40B4-BE49-F238E27FC236}">
              <a16:creationId xmlns:a16="http://schemas.microsoft.com/office/drawing/2014/main" id="{3D3AE0D0-1573-4514-953A-CBFEA4036FEA}"/>
            </a:ext>
          </a:extLst>
        </xdr:cNvPr>
        <xdr:cNvSpPr>
          <a:spLocks noChangeAspect="1"/>
        </xdr:cNvSpPr>
      </xdr:nvSpPr>
      <xdr:spPr>
        <a:xfrm>
          <a:off x="224856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394201</xdr:colOff>
      <xdr:row>117</xdr:row>
      <xdr:rowOff>42450</xdr:rowOff>
    </xdr:from>
    <xdr:to>
      <xdr:col>34</xdr:col>
      <xdr:colOff>176401</xdr:colOff>
      <xdr:row>118</xdr:row>
      <xdr:rowOff>15002</xdr:rowOff>
    </xdr:to>
    <xdr:sp macro="" textlink="">
      <xdr:nvSpPr>
        <xdr:cNvPr id="248387" name="フリーフォーム: 図形 248386">
          <a:extLst>
            <a:ext uri="{FF2B5EF4-FFF2-40B4-BE49-F238E27FC236}">
              <a16:creationId xmlns:a16="http://schemas.microsoft.com/office/drawing/2014/main" id="{ABAB7722-3757-4F99-89B2-B179EFEBAAB3}"/>
            </a:ext>
          </a:extLst>
        </xdr:cNvPr>
        <xdr:cNvSpPr>
          <a:spLocks noChangeAspect="1"/>
        </xdr:cNvSpPr>
      </xdr:nvSpPr>
      <xdr:spPr>
        <a:xfrm>
          <a:off x="230256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646199</xdr:colOff>
      <xdr:row>117</xdr:row>
      <xdr:rowOff>114450</xdr:rowOff>
    </xdr:from>
    <xdr:to>
      <xdr:col>34</xdr:col>
      <xdr:colOff>248401</xdr:colOff>
      <xdr:row>123</xdr:row>
      <xdr:rowOff>21752</xdr:rowOff>
    </xdr:to>
    <xdr:sp macro="" textlink="">
      <xdr:nvSpPr>
        <xdr:cNvPr id="248388" name="フリーフォーム: 図形 248387">
          <a:extLst>
            <a:ext uri="{FF2B5EF4-FFF2-40B4-BE49-F238E27FC236}">
              <a16:creationId xmlns:a16="http://schemas.microsoft.com/office/drawing/2014/main" id="{BF1C29EF-9D64-490E-9F40-48D238778C56}"/>
            </a:ext>
          </a:extLst>
        </xdr:cNvPr>
        <xdr:cNvSpPr>
          <a:spLocks noChangeAspect="1"/>
        </xdr:cNvSpPr>
      </xdr:nvSpPr>
      <xdr:spPr>
        <a:xfrm>
          <a:off x="232775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466199</xdr:colOff>
      <xdr:row>123</xdr:row>
      <xdr:rowOff>75750</xdr:rowOff>
    </xdr:from>
    <xdr:to>
      <xdr:col>34</xdr:col>
      <xdr:colOff>68401</xdr:colOff>
      <xdr:row>128</xdr:row>
      <xdr:rowOff>136501</xdr:rowOff>
    </xdr:to>
    <xdr:sp macro="" textlink="">
      <xdr:nvSpPr>
        <xdr:cNvPr id="248389" name="フリーフォーム: 図形 248388">
          <a:extLst>
            <a:ext uri="{FF2B5EF4-FFF2-40B4-BE49-F238E27FC236}">
              <a16:creationId xmlns:a16="http://schemas.microsoft.com/office/drawing/2014/main" id="{82E78A2B-7D08-4E50-9439-4C4163C93599}"/>
            </a:ext>
          </a:extLst>
        </xdr:cNvPr>
        <xdr:cNvSpPr>
          <a:spLocks noChangeAspect="1"/>
        </xdr:cNvSpPr>
      </xdr:nvSpPr>
      <xdr:spPr>
        <a:xfrm>
          <a:off x="230975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198000</xdr:colOff>
      <xdr:row>128</xdr:row>
      <xdr:rowOff>64500</xdr:rowOff>
    </xdr:from>
    <xdr:to>
      <xdr:col>32</xdr:col>
      <xdr:colOff>684001</xdr:colOff>
      <xdr:row>129</xdr:row>
      <xdr:rowOff>37051</xdr:rowOff>
    </xdr:to>
    <xdr:sp macro="" textlink="">
      <xdr:nvSpPr>
        <xdr:cNvPr id="248390" name="フリーフォーム: 図形 248389">
          <a:extLst>
            <a:ext uri="{FF2B5EF4-FFF2-40B4-BE49-F238E27FC236}">
              <a16:creationId xmlns:a16="http://schemas.microsoft.com/office/drawing/2014/main" id="{6F5259EB-8FE4-46EE-8ADC-667D1C703776}"/>
            </a:ext>
          </a:extLst>
        </xdr:cNvPr>
        <xdr:cNvSpPr>
          <a:spLocks noChangeAspect="1"/>
        </xdr:cNvSpPr>
      </xdr:nvSpPr>
      <xdr:spPr>
        <a:xfrm>
          <a:off x="221436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34199</xdr:colOff>
      <xdr:row>128</xdr:row>
      <xdr:rowOff>64500</xdr:rowOff>
    </xdr:from>
    <xdr:to>
      <xdr:col>33</xdr:col>
      <xdr:colOff>502201</xdr:colOff>
      <xdr:row>129</xdr:row>
      <xdr:rowOff>37051</xdr:rowOff>
    </xdr:to>
    <xdr:sp macro="" textlink="">
      <xdr:nvSpPr>
        <xdr:cNvPr id="248391" name="フリーフォーム: 図形 248390">
          <a:extLst>
            <a:ext uri="{FF2B5EF4-FFF2-40B4-BE49-F238E27FC236}">
              <a16:creationId xmlns:a16="http://schemas.microsoft.com/office/drawing/2014/main" id="{0D5C4CDA-2207-4361-B9E0-5DDCD17D7FDB}"/>
            </a:ext>
          </a:extLst>
        </xdr:cNvPr>
        <xdr:cNvSpPr>
          <a:spLocks noChangeAspect="1"/>
        </xdr:cNvSpPr>
      </xdr:nvSpPr>
      <xdr:spPr>
        <a:xfrm>
          <a:off x="226655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144001</xdr:colOff>
      <xdr:row>123</xdr:row>
      <xdr:rowOff>75750</xdr:rowOff>
    </xdr:from>
    <xdr:to>
      <xdr:col>32</xdr:col>
      <xdr:colOff>432001</xdr:colOff>
      <xdr:row>128</xdr:row>
      <xdr:rowOff>136501</xdr:rowOff>
    </xdr:to>
    <xdr:sp macro="" textlink="">
      <xdr:nvSpPr>
        <xdr:cNvPr id="248392" name="フリーフォーム: 図形 248391">
          <a:extLst>
            <a:ext uri="{FF2B5EF4-FFF2-40B4-BE49-F238E27FC236}">
              <a16:creationId xmlns:a16="http://schemas.microsoft.com/office/drawing/2014/main" id="{658ECA85-F314-4CEA-8BE9-EA050F89AC0D}"/>
            </a:ext>
          </a:extLst>
        </xdr:cNvPr>
        <xdr:cNvSpPr>
          <a:spLocks noChangeAspect="1"/>
        </xdr:cNvSpPr>
      </xdr:nvSpPr>
      <xdr:spPr>
        <a:xfrm>
          <a:off x="22089601" y="214308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117</xdr:row>
      <xdr:rowOff>114450</xdr:rowOff>
    </xdr:from>
    <xdr:to>
      <xdr:col>32</xdr:col>
      <xdr:colOff>576002</xdr:colOff>
      <xdr:row>123</xdr:row>
      <xdr:rowOff>21752</xdr:rowOff>
    </xdr:to>
    <xdr:sp macro="" textlink="">
      <xdr:nvSpPr>
        <xdr:cNvPr id="248393" name="フリーフォーム: 図形 248392">
          <a:extLst>
            <a:ext uri="{FF2B5EF4-FFF2-40B4-BE49-F238E27FC236}">
              <a16:creationId xmlns:a16="http://schemas.microsoft.com/office/drawing/2014/main" id="{00EE63FB-2B72-4C4E-AD7F-0343CD7C3008}"/>
            </a:ext>
          </a:extLst>
        </xdr:cNvPr>
        <xdr:cNvSpPr>
          <a:spLocks noChangeAspect="1"/>
        </xdr:cNvSpPr>
      </xdr:nvSpPr>
      <xdr:spPr>
        <a:xfrm>
          <a:off x="222696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396001</xdr:colOff>
      <xdr:row>122</xdr:row>
      <xdr:rowOff>139199</xdr:rowOff>
    </xdr:from>
    <xdr:to>
      <xdr:col>33</xdr:col>
      <xdr:colOff>160201</xdr:colOff>
      <xdr:row>123</xdr:row>
      <xdr:rowOff>111751</xdr:rowOff>
    </xdr:to>
    <xdr:sp macro="" textlink="">
      <xdr:nvSpPr>
        <xdr:cNvPr id="248394" name="フリーフォーム: 図形 248393">
          <a:extLst>
            <a:ext uri="{FF2B5EF4-FFF2-40B4-BE49-F238E27FC236}">
              <a16:creationId xmlns:a16="http://schemas.microsoft.com/office/drawing/2014/main" id="{27433CD4-045F-4AAF-8E69-6134CAB137E2}"/>
            </a:ext>
          </a:extLst>
        </xdr:cNvPr>
        <xdr:cNvSpPr>
          <a:spLocks noChangeAspect="1"/>
        </xdr:cNvSpPr>
      </xdr:nvSpPr>
      <xdr:spPr>
        <a:xfrm>
          <a:off x="223416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214199</xdr:colOff>
      <xdr:row>122</xdr:row>
      <xdr:rowOff>139199</xdr:rowOff>
    </xdr:from>
    <xdr:to>
      <xdr:col>33</xdr:col>
      <xdr:colOff>664201</xdr:colOff>
      <xdr:row>123</xdr:row>
      <xdr:rowOff>111751</xdr:rowOff>
    </xdr:to>
    <xdr:sp macro="" textlink="">
      <xdr:nvSpPr>
        <xdr:cNvPr id="248395" name="フリーフォーム: 図形 248394">
          <a:extLst>
            <a:ext uri="{FF2B5EF4-FFF2-40B4-BE49-F238E27FC236}">
              <a16:creationId xmlns:a16="http://schemas.microsoft.com/office/drawing/2014/main" id="{6D7576E3-4C3F-450D-84A1-7D6F030C9BAC}"/>
            </a:ext>
          </a:extLst>
        </xdr:cNvPr>
        <xdr:cNvSpPr>
          <a:spLocks noChangeAspect="1"/>
        </xdr:cNvSpPr>
      </xdr:nvSpPr>
      <xdr:spPr>
        <a:xfrm>
          <a:off x="228455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593999</xdr:colOff>
      <xdr:row>118</xdr:row>
      <xdr:rowOff>51000</xdr:rowOff>
    </xdr:from>
    <xdr:to>
      <xdr:col>33</xdr:col>
      <xdr:colOff>178201</xdr:colOff>
      <xdr:row>123</xdr:row>
      <xdr:rowOff>3751</xdr:rowOff>
    </xdr:to>
    <xdr:sp macro="" textlink="">
      <xdr:nvSpPr>
        <xdr:cNvPr id="248396" name="フリーフォーム: 図形 248395">
          <a:extLst>
            <a:ext uri="{FF2B5EF4-FFF2-40B4-BE49-F238E27FC236}">
              <a16:creationId xmlns:a16="http://schemas.microsoft.com/office/drawing/2014/main" id="{3C16292F-873C-4F45-9906-D7F0312F4160}"/>
            </a:ext>
          </a:extLst>
        </xdr:cNvPr>
        <xdr:cNvSpPr>
          <a:spLocks noChangeAspect="1"/>
        </xdr:cNvSpPr>
      </xdr:nvSpPr>
      <xdr:spPr>
        <a:xfrm>
          <a:off x="225395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178200</xdr:colOff>
      <xdr:row>117</xdr:row>
      <xdr:rowOff>114450</xdr:rowOff>
    </xdr:from>
    <xdr:to>
      <xdr:col>33</xdr:col>
      <xdr:colOff>430201</xdr:colOff>
      <xdr:row>122</xdr:row>
      <xdr:rowOff>157201</xdr:rowOff>
    </xdr:to>
    <xdr:sp macro="" textlink="">
      <xdr:nvSpPr>
        <xdr:cNvPr id="248397" name="フリーフォーム: 図形 248396">
          <a:extLst>
            <a:ext uri="{FF2B5EF4-FFF2-40B4-BE49-F238E27FC236}">
              <a16:creationId xmlns:a16="http://schemas.microsoft.com/office/drawing/2014/main" id="{0600D402-76E7-44F0-9DA2-D742C61C8361}"/>
            </a:ext>
          </a:extLst>
        </xdr:cNvPr>
        <xdr:cNvSpPr>
          <a:spLocks noChangeAspect="1"/>
        </xdr:cNvSpPr>
      </xdr:nvSpPr>
      <xdr:spPr>
        <a:xfrm>
          <a:off x="228096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232200</xdr:colOff>
      <xdr:row>118</xdr:row>
      <xdr:rowOff>69000</xdr:rowOff>
    </xdr:from>
    <xdr:to>
      <xdr:col>34</xdr:col>
      <xdr:colOff>68401</xdr:colOff>
      <xdr:row>123</xdr:row>
      <xdr:rowOff>3751</xdr:rowOff>
    </xdr:to>
    <xdr:sp macro="" textlink="">
      <xdr:nvSpPr>
        <xdr:cNvPr id="248398" name="フリーフォーム: 図形 248397">
          <a:extLst>
            <a:ext uri="{FF2B5EF4-FFF2-40B4-BE49-F238E27FC236}">
              <a16:creationId xmlns:a16="http://schemas.microsoft.com/office/drawing/2014/main" id="{2C4B06A5-9EDA-4C9C-8789-5F463F29A051}"/>
            </a:ext>
          </a:extLst>
        </xdr:cNvPr>
        <xdr:cNvSpPr>
          <a:spLocks noChangeAspect="1"/>
        </xdr:cNvSpPr>
      </xdr:nvSpPr>
      <xdr:spPr>
        <a:xfrm>
          <a:off x="228636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33</xdr:col>
      <xdr:colOff>196200</xdr:colOff>
      <xdr:row>123</xdr:row>
      <xdr:rowOff>75750</xdr:rowOff>
    </xdr:from>
    <xdr:to>
      <xdr:col>33</xdr:col>
      <xdr:colOff>466200</xdr:colOff>
      <xdr:row>127</xdr:row>
      <xdr:rowOff>163951</xdr:rowOff>
    </xdr:to>
    <xdr:sp macro="" textlink="">
      <xdr:nvSpPr>
        <xdr:cNvPr id="248399" name="フリーフォーム: 図形 248398">
          <a:extLst>
            <a:ext uri="{FF2B5EF4-FFF2-40B4-BE49-F238E27FC236}">
              <a16:creationId xmlns:a16="http://schemas.microsoft.com/office/drawing/2014/main" id="{3D344382-FEE9-4E8F-AED7-76CC46D3B6BF}"/>
            </a:ext>
          </a:extLst>
        </xdr:cNvPr>
        <xdr:cNvSpPr>
          <a:spLocks noChangeAspect="1"/>
        </xdr:cNvSpPr>
      </xdr:nvSpPr>
      <xdr:spPr>
        <a:xfrm>
          <a:off x="228276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648001</xdr:colOff>
      <xdr:row>123</xdr:row>
      <xdr:rowOff>93749</xdr:rowOff>
    </xdr:from>
    <xdr:to>
      <xdr:col>33</xdr:col>
      <xdr:colOff>196201</xdr:colOff>
      <xdr:row>128</xdr:row>
      <xdr:rowOff>118501</xdr:rowOff>
    </xdr:to>
    <xdr:sp macro="" textlink="">
      <xdr:nvSpPr>
        <xdr:cNvPr id="248400" name="フリーフォーム: 図形 248399">
          <a:extLst>
            <a:ext uri="{FF2B5EF4-FFF2-40B4-BE49-F238E27FC236}">
              <a16:creationId xmlns:a16="http://schemas.microsoft.com/office/drawing/2014/main" id="{BE28C5B5-E422-4D81-A525-EDDD2204FBA8}"/>
            </a:ext>
          </a:extLst>
        </xdr:cNvPr>
        <xdr:cNvSpPr>
          <a:spLocks noChangeAspect="1"/>
        </xdr:cNvSpPr>
      </xdr:nvSpPr>
      <xdr:spPr>
        <a:xfrm>
          <a:off x="225936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32</xdr:col>
      <xdr:colOff>324000</xdr:colOff>
      <xdr:row>123</xdr:row>
      <xdr:rowOff>75750</xdr:rowOff>
    </xdr:from>
    <xdr:to>
      <xdr:col>33</xdr:col>
      <xdr:colOff>160201</xdr:colOff>
      <xdr:row>128</xdr:row>
      <xdr:rowOff>10501</xdr:rowOff>
    </xdr:to>
    <xdr:sp macro="" textlink="">
      <xdr:nvSpPr>
        <xdr:cNvPr id="248401" name="フリーフォーム: 図形 248400">
          <a:extLst>
            <a:ext uri="{FF2B5EF4-FFF2-40B4-BE49-F238E27FC236}">
              <a16:creationId xmlns:a16="http://schemas.microsoft.com/office/drawing/2014/main" id="{796DF36B-41D3-418D-9871-E000E66F1A93}"/>
            </a:ext>
          </a:extLst>
        </xdr:cNvPr>
        <xdr:cNvSpPr>
          <a:spLocks noChangeAspect="1"/>
        </xdr:cNvSpPr>
      </xdr:nvSpPr>
      <xdr:spPr>
        <a:xfrm>
          <a:off x="222696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311400</xdr:colOff>
      <xdr:row>117</xdr:row>
      <xdr:rowOff>42450</xdr:rowOff>
    </xdr:from>
    <xdr:to>
      <xdr:col>36</xdr:col>
      <xdr:colOff>93601</xdr:colOff>
      <xdr:row>118</xdr:row>
      <xdr:rowOff>15002</xdr:rowOff>
    </xdr:to>
    <xdr:sp macro="" textlink="">
      <xdr:nvSpPr>
        <xdr:cNvPr id="248402" name="フリーフォーム: 図形 248401">
          <a:extLst>
            <a:ext uri="{FF2B5EF4-FFF2-40B4-BE49-F238E27FC236}">
              <a16:creationId xmlns:a16="http://schemas.microsoft.com/office/drawing/2014/main" id="{15CBFC72-8235-49FB-9154-58D2C1DAAFAA}"/>
            </a:ext>
          </a:extLst>
        </xdr:cNvPr>
        <xdr:cNvSpPr>
          <a:spLocks noChangeAspect="1"/>
        </xdr:cNvSpPr>
      </xdr:nvSpPr>
      <xdr:spPr>
        <a:xfrm>
          <a:off x="24314400" y="20368800"/>
          <a:ext cx="468001" cy="144002"/>
        </a:xfrm>
        <a:custGeom>
          <a:avLst/>
          <a:gdLst/>
          <a:ahLst/>
          <a:cxnLst/>
          <a:rect l="0" t="0" r="0" b="0"/>
          <a:pathLst>
            <a:path w="468001" h="144002">
              <a:moveTo>
                <a:pt x="72000" y="0"/>
              </a:moveTo>
              <a:lnTo>
                <a:pt x="432000" y="0"/>
              </a:lnTo>
              <a:lnTo>
                <a:pt x="468000" y="35999"/>
              </a:lnTo>
              <a:lnTo>
                <a:pt x="359999" y="144001"/>
              </a:lnTo>
              <a:lnTo>
                <a:pt x="72000"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165601</xdr:colOff>
      <xdr:row>117</xdr:row>
      <xdr:rowOff>42450</xdr:rowOff>
    </xdr:from>
    <xdr:to>
      <xdr:col>36</xdr:col>
      <xdr:colOff>633601</xdr:colOff>
      <xdr:row>118</xdr:row>
      <xdr:rowOff>15002</xdr:rowOff>
    </xdr:to>
    <xdr:sp macro="" textlink="">
      <xdr:nvSpPr>
        <xdr:cNvPr id="248403" name="フリーフォーム: 図形 248402">
          <a:extLst>
            <a:ext uri="{FF2B5EF4-FFF2-40B4-BE49-F238E27FC236}">
              <a16:creationId xmlns:a16="http://schemas.microsoft.com/office/drawing/2014/main" id="{EF7E0307-B9F0-4A8E-B14B-CFD40FFD886B}"/>
            </a:ext>
          </a:extLst>
        </xdr:cNvPr>
        <xdr:cNvSpPr>
          <a:spLocks noChangeAspect="1"/>
        </xdr:cNvSpPr>
      </xdr:nvSpPr>
      <xdr:spPr>
        <a:xfrm>
          <a:off x="24854401" y="20368800"/>
          <a:ext cx="468000" cy="144002"/>
        </a:xfrm>
        <a:custGeom>
          <a:avLst/>
          <a:gdLst/>
          <a:ahLst/>
          <a:cxnLst/>
          <a:rect l="0" t="0" r="0" b="0"/>
          <a:pathLst>
            <a:path w="468000" h="144002">
              <a:moveTo>
                <a:pt x="71998" y="0"/>
              </a:moveTo>
              <a:lnTo>
                <a:pt x="432000" y="0"/>
              </a:lnTo>
              <a:lnTo>
                <a:pt x="467999" y="35999"/>
              </a:lnTo>
              <a:lnTo>
                <a:pt x="359999" y="144001"/>
              </a:lnTo>
              <a:lnTo>
                <a:pt x="89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417599</xdr:colOff>
      <xdr:row>117</xdr:row>
      <xdr:rowOff>114450</xdr:rowOff>
    </xdr:from>
    <xdr:to>
      <xdr:col>37</xdr:col>
      <xdr:colOff>19801</xdr:colOff>
      <xdr:row>123</xdr:row>
      <xdr:rowOff>21752</xdr:rowOff>
    </xdr:to>
    <xdr:sp macro="" textlink="">
      <xdr:nvSpPr>
        <xdr:cNvPr id="248404" name="フリーフォーム: 図形 248403">
          <a:extLst>
            <a:ext uri="{FF2B5EF4-FFF2-40B4-BE49-F238E27FC236}">
              <a16:creationId xmlns:a16="http://schemas.microsoft.com/office/drawing/2014/main" id="{98B6D74F-267D-4CF1-9562-5C32677093C7}"/>
            </a:ext>
          </a:extLst>
        </xdr:cNvPr>
        <xdr:cNvSpPr>
          <a:spLocks noChangeAspect="1"/>
        </xdr:cNvSpPr>
      </xdr:nvSpPr>
      <xdr:spPr>
        <a:xfrm>
          <a:off x="25106399" y="20440800"/>
          <a:ext cx="288002" cy="936002"/>
        </a:xfrm>
        <a:custGeom>
          <a:avLst/>
          <a:gdLst/>
          <a:ahLst/>
          <a:cxnLst/>
          <a:rect l="0" t="0" r="0" b="0"/>
          <a:pathLst>
            <a:path w="288002" h="936002">
              <a:moveTo>
                <a:pt x="144001" y="108000"/>
              </a:moveTo>
              <a:lnTo>
                <a:pt x="252000" y="0"/>
              </a:lnTo>
              <a:lnTo>
                <a:pt x="288001" y="72001"/>
              </a:lnTo>
              <a:lnTo>
                <a:pt x="144001" y="864000"/>
              </a:lnTo>
              <a:lnTo>
                <a:pt x="54002"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237599</xdr:colOff>
      <xdr:row>123</xdr:row>
      <xdr:rowOff>75750</xdr:rowOff>
    </xdr:from>
    <xdr:to>
      <xdr:col>36</xdr:col>
      <xdr:colOff>525601</xdr:colOff>
      <xdr:row>128</xdr:row>
      <xdr:rowOff>136501</xdr:rowOff>
    </xdr:to>
    <xdr:sp macro="" textlink="">
      <xdr:nvSpPr>
        <xdr:cNvPr id="248405" name="フリーフォーム: 図形 248404">
          <a:extLst>
            <a:ext uri="{FF2B5EF4-FFF2-40B4-BE49-F238E27FC236}">
              <a16:creationId xmlns:a16="http://schemas.microsoft.com/office/drawing/2014/main" id="{3744C91D-FCDC-4465-AE43-C95235C4CEA3}"/>
            </a:ext>
          </a:extLst>
        </xdr:cNvPr>
        <xdr:cNvSpPr>
          <a:spLocks noChangeAspect="1"/>
        </xdr:cNvSpPr>
      </xdr:nvSpPr>
      <xdr:spPr>
        <a:xfrm>
          <a:off x="24926399" y="21430800"/>
          <a:ext cx="288002" cy="918001"/>
        </a:xfrm>
        <a:custGeom>
          <a:avLst/>
          <a:gdLst/>
          <a:ahLst/>
          <a:cxnLst/>
          <a:rect l="0" t="0" r="0" b="0"/>
          <a:pathLst>
            <a:path w="288002" h="918001">
              <a:moveTo>
                <a:pt x="144001" y="72001"/>
              </a:moveTo>
              <a:lnTo>
                <a:pt x="216001" y="0"/>
              </a:lnTo>
              <a:lnTo>
                <a:pt x="288001" y="54000"/>
              </a:lnTo>
              <a:lnTo>
                <a:pt x="144001" y="846000"/>
              </a:lnTo>
              <a:lnTo>
                <a:pt x="72001"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655200</xdr:colOff>
      <xdr:row>128</xdr:row>
      <xdr:rowOff>64500</xdr:rowOff>
    </xdr:from>
    <xdr:to>
      <xdr:col>35</xdr:col>
      <xdr:colOff>455401</xdr:colOff>
      <xdr:row>129</xdr:row>
      <xdr:rowOff>37051</xdr:rowOff>
    </xdr:to>
    <xdr:sp macro="" textlink="">
      <xdr:nvSpPr>
        <xdr:cNvPr id="248406" name="フリーフォーム: 図形 248405">
          <a:extLst>
            <a:ext uri="{FF2B5EF4-FFF2-40B4-BE49-F238E27FC236}">
              <a16:creationId xmlns:a16="http://schemas.microsoft.com/office/drawing/2014/main" id="{F665435C-EAE7-4F90-80DA-52D3705FDA39}"/>
            </a:ext>
          </a:extLst>
        </xdr:cNvPr>
        <xdr:cNvSpPr>
          <a:spLocks noChangeAspect="1"/>
        </xdr:cNvSpPr>
      </xdr:nvSpPr>
      <xdr:spPr>
        <a:xfrm>
          <a:off x="23972400" y="22276800"/>
          <a:ext cx="486001" cy="144001"/>
        </a:xfrm>
        <a:custGeom>
          <a:avLst/>
          <a:gdLst/>
          <a:ahLst/>
          <a:cxnLst/>
          <a:rect l="0" t="0" r="0" b="0"/>
          <a:pathLst>
            <a:path w="486001" h="144001">
              <a:moveTo>
                <a:pt x="126000" y="0"/>
              </a:moveTo>
              <a:lnTo>
                <a:pt x="395999" y="0"/>
              </a:lnTo>
              <a:lnTo>
                <a:pt x="486000"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491399</xdr:colOff>
      <xdr:row>128</xdr:row>
      <xdr:rowOff>64500</xdr:rowOff>
    </xdr:from>
    <xdr:to>
      <xdr:col>36</xdr:col>
      <xdr:colOff>273601</xdr:colOff>
      <xdr:row>129</xdr:row>
      <xdr:rowOff>37051</xdr:rowOff>
    </xdr:to>
    <xdr:sp macro="" textlink="">
      <xdr:nvSpPr>
        <xdr:cNvPr id="248407" name="フリーフォーム: 図形 248406">
          <a:extLst>
            <a:ext uri="{FF2B5EF4-FFF2-40B4-BE49-F238E27FC236}">
              <a16:creationId xmlns:a16="http://schemas.microsoft.com/office/drawing/2014/main" id="{FF2D2DC9-9BCE-4259-A480-98691EAF833C}"/>
            </a:ext>
          </a:extLst>
        </xdr:cNvPr>
        <xdr:cNvSpPr>
          <a:spLocks noChangeAspect="1"/>
        </xdr:cNvSpPr>
      </xdr:nvSpPr>
      <xdr:spPr>
        <a:xfrm>
          <a:off x="24494399" y="22276800"/>
          <a:ext cx="468002" cy="144001"/>
        </a:xfrm>
        <a:custGeom>
          <a:avLst/>
          <a:gdLst/>
          <a:ahLst/>
          <a:cxnLst/>
          <a:rect l="0" t="0" r="0" b="0"/>
          <a:pathLst>
            <a:path w="468002" h="144001">
              <a:moveTo>
                <a:pt x="144001" y="0"/>
              </a:moveTo>
              <a:lnTo>
                <a:pt x="396001" y="0"/>
              </a:lnTo>
              <a:lnTo>
                <a:pt x="468001" y="108000"/>
              </a:lnTo>
              <a:lnTo>
                <a:pt x="432000"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34</xdr:col>
      <xdr:colOff>601201</xdr:colOff>
      <xdr:row>123</xdr:row>
      <xdr:rowOff>75750</xdr:rowOff>
    </xdr:from>
    <xdr:to>
      <xdr:col>35</xdr:col>
      <xdr:colOff>203401</xdr:colOff>
      <xdr:row>128</xdr:row>
      <xdr:rowOff>136501</xdr:rowOff>
    </xdr:to>
    <xdr:sp macro="" textlink="">
      <xdr:nvSpPr>
        <xdr:cNvPr id="248408" name="フリーフォーム: 図形 248407">
          <a:extLst>
            <a:ext uri="{FF2B5EF4-FFF2-40B4-BE49-F238E27FC236}">
              <a16:creationId xmlns:a16="http://schemas.microsoft.com/office/drawing/2014/main" id="{6CAD20E3-4CA9-41E2-A036-4AF02687C264}"/>
            </a:ext>
          </a:extLst>
        </xdr:cNvPr>
        <xdr:cNvSpPr>
          <a:spLocks noChangeAspect="1"/>
        </xdr:cNvSpPr>
      </xdr:nvSpPr>
      <xdr:spPr>
        <a:xfrm>
          <a:off x="23918401" y="21430800"/>
          <a:ext cx="288000" cy="918001"/>
        </a:xfrm>
        <a:custGeom>
          <a:avLst/>
          <a:gdLst/>
          <a:ahLst/>
          <a:cxnLst/>
          <a:rect l="0" t="0" r="0" b="0"/>
          <a:pathLst>
            <a:path w="288000" h="918001">
              <a:moveTo>
                <a:pt x="143998" y="54000"/>
              </a:moveTo>
              <a:lnTo>
                <a:pt x="215999" y="0"/>
              </a:lnTo>
              <a:lnTo>
                <a:pt x="287999"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117</xdr:row>
      <xdr:rowOff>114450</xdr:rowOff>
    </xdr:from>
    <xdr:to>
      <xdr:col>35</xdr:col>
      <xdr:colOff>347402</xdr:colOff>
      <xdr:row>123</xdr:row>
      <xdr:rowOff>21752</xdr:rowOff>
    </xdr:to>
    <xdr:sp macro="" textlink="">
      <xdr:nvSpPr>
        <xdr:cNvPr id="248409" name="フリーフォーム: 図形 248408">
          <a:extLst>
            <a:ext uri="{FF2B5EF4-FFF2-40B4-BE49-F238E27FC236}">
              <a16:creationId xmlns:a16="http://schemas.microsoft.com/office/drawing/2014/main" id="{9FA56A55-4BD5-444D-9515-88C0B0C6507F}"/>
            </a:ext>
          </a:extLst>
        </xdr:cNvPr>
        <xdr:cNvSpPr>
          <a:spLocks noChangeAspect="1"/>
        </xdr:cNvSpPr>
      </xdr:nvSpPr>
      <xdr:spPr>
        <a:xfrm>
          <a:off x="24098400" y="20440800"/>
          <a:ext cx="252002" cy="936002"/>
        </a:xfrm>
        <a:custGeom>
          <a:avLst/>
          <a:gdLst/>
          <a:ahLst/>
          <a:cxnLst/>
          <a:rect l="0" t="0" r="0" b="0"/>
          <a:pathLst>
            <a:path w="252002" h="936002">
              <a:moveTo>
                <a:pt x="126000" y="72001"/>
              </a:moveTo>
              <a:lnTo>
                <a:pt x="180000" y="0"/>
              </a:lnTo>
              <a:lnTo>
                <a:pt x="252001"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167401</xdr:colOff>
      <xdr:row>122</xdr:row>
      <xdr:rowOff>139199</xdr:rowOff>
    </xdr:from>
    <xdr:to>
      <xdr:col>35</xdr:col>
      <xdr:colOff>617401</xdr:colOff>
      <xdr:row>123</xdr:row>
      <xdr:rowOff>111751</xdr:rowOff>
    </xdr:to>
    <xdr:sp macro="" textlink="">
      <xdr:nvSpPr>
        <xdr:cNvPr id="248410" name="フリーフォーム: 図形 248409">
          <a:extLst>
            <a:ext uri="{FF2B5EF4-FFF2-40B4-BE49-F238E27FC236}">
              <a16:creationId xmlns:a16="http://schemas.microsoft.com/office/drawing/2014/main" id="{B78FDF24-D806-42DA-BCCA-7E4BE3C32A5E}"/>
            </a:ext>
          </a:extLst>
        </xdr:cNvPr>
        <xdr:cNvSpPr>
          <a:spLocks noChangeAspect="1"/>
        </xdr:cNvSpPr>
      </xdr:nvSpPr>
      <xdr:spPr>
        <a:xfrm>
          <a:off x="24170401" y="21322799"/>
          <a:ext cx="450000" cy="144002"/>
        </a:xfrm>
        <a:custGeom>
          <a:avLst/>
          <a:gdLst/>
          <a:ahLst/>
          <a:cxnLst/>
          <a:rect l="0" t="0" r="0" b="0"/>
          <a:pathLst>
            <a:path w="450000" h="144002">
              <a:moveTo>
                <a:pt x="89999" y="0"/>
              </a:moveTo>
              <a:lnTo>
                <a:pt x="359999" y="0"/>
              </a:lnTo>
              <a:lnTo>
                <a:pt x="449999"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671399</xdr:colOff>
      <xdr:row>122</xdr:row>
      <xdr:rowOff>139199</xdr:rowOff>
    </xdr:from>
    <xdr:to>
      <xdr:col>36</xdr:col>
      <xdr:colOff>435601</xdr:colOff>
      <xdr:row>123</xdr:row>
      <xdr:rowOff>111751</xdr:rowOff>
    </xdr:to>
    <xdr:sp macro="" textlink="">
      <xdr:nvSpPr>
        <xdr:cNvPr id="248411" name="フリーフォーム: 図形 248410">
          <a:extLst>
            <a:ext uri="{FF2B5EF4-FFF2-40B4-BE49-F238E27FC236}">
              <a16:creationId xmlns:a16="http://schemas.microsoft.com/office/drawing/2014/main" id="{76651975-CE41-4B01-8D3F-519DAD1A62BC}"/>
            </a:ext>
          </a:extLst>
        </xdr:cNvPr>
        <xdr:cNvSpPr>
          <a:spLocks noChangeAspect="1"/>
        </xdr:cNvSpPr>
      </xdr:nvSpPr>
      <xdr:spPr>
        <a:xfrm>
          <a:off x="24674399" y="21322799"/>
          <a:ext cx="450002" cy="144002"/>
        </a:xfrm>
        <a:custGeom>
          <a:avLst/>
          <a:gdLst/>
          <a:ahLst/>
          <a:cxnLst/>
          <a:rect l="0" t="0" r="0" b="0"/>
          <a:pathLst>
            <a:path w="450002" h="144002">
              <a:moveTo>
                <a:pt x="144001" y="0"/>
              </a:moveTo>
              <a:lnTo>
                <a:pt x="396001" y="0"/>
              </a:lnTo>
              <a:lnTo>
                <a:pt x="450001" y="72001"/>
              </a:lnTo>
              <a:lnTo>
                <a:pt x="360002" y="144001"/>
              </a:lnTo>
              <a:lnTo>
                <a:pt x="90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365399</xdr:colOff>
      <xdr:row>118</xdr:row>
      <xdr:rowOff>51000</xdr:rowOff>
    </xdr:from>
    <xdr:to>
      <xdr:col>35</xdr:col>
      <xdr:colOff>635401</xdr:colOff>
      <xdr:row>123</xdr:row>
      <xdr:rowOff>3751</xdr:rowOff>
    </xdr:to>
    <xdr:sp macro="" textlink="">
      <xdr:nvSpPr>
        <xdr:cNvPr id="248412" name="フリーフォーム: 図形 248411">
          <a:extLst>
            <a:ext uri="{FF2B5EF4-FFF2-40B4-BE49-F238E27FC236}">
              <a16:creationId xmlns:a16="http://schemas.microsoft.com/office/drawing/2014/main" id="{6D0A7B7C-79E6-42D7-85ED-69594767FB7A}"/>
            </a:ext>
          </a:extLst>
        </xdr:cNvPr>
        <xdr:cNvSpPr>
          <a:spLocks noChangeAspect="1"/>
        </xdr:cNvSpPr>
      </xdr:nvSpPr>
      <xdr:spPr>
        <a:xfrm>
          <a:off x="24368399" y="20548800"/>
          <a:ext cx="270002" cy="810001"/>
        </a:xfrm>
        <a:custGeom>
          <a:avLst/>
          <a:gdLst/>
          <a:ahLst/>
          <a:cxnLst/>
          <a:rect l="0" t="0" r="0" b="0"/>
          <a:pathLst>
            <a:path w="270002" h="810001">
              <a:moveTo>
                <a:pt x="0" y="180000"/>
              </a:moveTo>
              <a:lnTo>
                <a:pt x="18001" y="0"/>
              </a:lnTo>
              <a:lnTo>
                <a:pt x="108002" y="108000"/>
              </a:lnTo>
              <a:lnTo>
                <a:pt x="216001" y="467999"/>
              </a:lnTo>
              <a:lnTo>
                <a:pt x="270001" y="810000"/>
              </a:lnTo>
              <a:lnTo>
                <a:pt x="180000"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635400</xdr:colOff>
      <xdr:row>117</xdr:row>
      <xdr:rowOff>114450</xdr:rowOff>
    </xdr:from>
    <xdr:to>
      <xdr:col>36</xdr:col>
      <xdr:colOff>201601</xdr:colOff>
      <xdr:row>122</xdr:row>
      <xdr:rowOff>157201</xdr:rowOff>
    </xdr:to>
    <xdr:sp macro="" textlink="">
      <xdr:nvSpPr>
        <xdr:cNvPr id="248413" name="フリーフォーム: 図形 248412">
          <a:extLst>
            <a:ext uri="{FF2B5EF4-FFF2-40B4-BE49-F238E27FC236}">
              <a16:creationId xmlns:a16="http://schemas.microsoft.com/office/drawing/2014/main" id="{67084489-0AAD-4496-9DE5-527D3CB71F5F}"/>
            </a:ext>
          </a:extLst>
        </xdr:cNvPr>
        <xdr:cNvSpPr>
          <a:spLocks noChangeAspect="1"/>
        </xdr:cNvSpPr>
      </xdr:nvSpPr>
      <xdr:spPr>
        <a:xfrm>
          <a:off x="24638400" y="20440800"/>
          <a:ext cx="252001" cy="900001"/>
        </a:xfrm>
        <a:custGeom>
          <a:avLst/>
          <a:gdLst/>
          <a:ahLst/>
          <a:cxnLst/>
          <a:rect l="0" t="0" r="0" b="0"/>
          <a:pathLst>
            <a:path w="252001" h="900001">
              <a:moveTo>
                <a:pt x="108000" y="72001"/>
              </a:moveTo>
              <a:lnTo>
                <a:pt x="180000" y="0"/>
              </a:lnTo>
              <a:lnTo>
                <a:pt x="252000" y="90000"/>
              </a:lnTo>
              <a:lnTo>
                <a:pt x="126000" y="684000"/>
              </a:lnTo>
              <a:lnTo>
                <a:pt x="18000"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36</xdr:col>
      <xdr:colOff>3600</xdr:colOff>
      <xdr:row>118</xdr:row>
      <xdr:rowOff>69000</xdr:rowOff>
    </xdr:from>
    <xdr:to>
      <xdr:col>36</xdr:col>
      <xdr:colOff>525601</xdr:colOff>
      <xdr:row>123</xdr:row>
      <xdr:rowOff>3751</xdr:rowOff>
    </xdr:to>
    <xdr:sp macro="" textlink="">
      <xdr:nvSpPr>
        <xdr:cNvPr id="248414" name="フリーフォーム: 図形 248413">
          <a:extLst>
            <a:ext uri="{FF2B5EF4-FFF2-40B4-BE49-F238E27FC236}">
              <a16:creationId xmlns:a16="http://schemas.microsoft.com/office/drawing/2014/main" id="{B86ECFD9-7E52-4012-AD33-D025429B171F}"/>
            </a:ext>
          </a:extLst>
        </xdr:cNvPr>
        <xdr:cNvSpPr>
          <a:spLocks noChangeAspect="1"/>
        </xdr:cNvSpPr>
      </xdr:nvSpPr>
      <xdr:spPr>
        <a:xfrm>
          <a:off x="24692400" y="20566800"/>
          <a:ext cx="522001" cy="792001"/>
        </a:xfrm>
        <a:custGeom>
          <a:avLst/>
          <a:gdLst/>
          <a:ahLst/>
          <a:cxnLst/>
          <a:rect l="0" t="0" r="0" b="0"/>
          <a:pathLst>
            <a:path w="522001" h="792001">
              <a:moveTo>
                <a:pt x="378000" y="126001"/>
              </a:moveTo>
              <a:lnTo>
                <a:pt x="522000" y="0"/>
              </a:lnTo>
              <a:lnTo>
                <a:pt x="486000"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653400</xdr:colOff>
      <xdr:row>123</xdr:row>
      <xdr:rowOff>75750</xdr:rowOff>
    </xdr:from>
    <xdr:to>
      <xdr:col>36</xdr:col>
      <xdr:colOff>237600</xdr:colOff>
      <xdr:row>127</xdr:row>
      <xdr:rowOff>163951</xdr:rowOff>
    </xdr:to>
    <xdr:sp macro="" textlink="">
      <xdr:nvSpPr>
        <xdr:cNvPr id="248415" name="フリーフォーム: 図形 248414">
          <a:extLst>
            <a:ext uri="{FF2B5EF4-FFF2-40B4-BE49-F238E27FC236}">
              <a16:creationId xmlns:a16="http://schemas.microsoft.com/office/drawing/2014/main" id="{7A248E43-48A9-4377-B2EB-08F79AD054A1}"/>
            </a:ext>
          </a:extLst>
        </xdr:cNvPr>
        <xdr:cNvSpPr>
          <a:spLocks noChangeAspect="1"/>
        </xdr:cNvSpPr>
      </xdr:nvSpPr>
      <xdr:spPr>
        <a:xfrm>
          <a:off x="24656400" y="21430800"/>
          <a:ext cx="270000" cy="774001"/>
        </a:xfrm>
        <a:custGeom>
          <a:avLst/>
          <a:gdLst/>
          <a:ahLst/>
          <a:cxnLst/>
          <a:rect l="0" t="0" r="0" b="0"/>
          <a:pathLst>
            <a:path w="270000" h="774001">
              <a:moveTo>
                <a:pt x="54000" y="342000"/>
              </a:moveTo>
              <a:lnTo>
                <a:pt x="0" y="0"/>
              </a:lnTo>
              <a:lnTo>
                <a:pt x="90000" y="72001"/>
              </a:lnTo>
              <a:lnTo>
                <a:pt x="269999" y="630001"/>
              </a:lnTo>
              <a:lnTo>
                <a:pt x="234000" y="774000"/>
              </a:lnTo>
              <a:lnTo>
                <a:pt x="143999"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419401</xdr:colOff>
      <xdr:row>123</xdr:row>
      <xdr:rowOff>93749</xdr:rowOff>
    </xdr:from>
    <xdr:to>
      <xdr:col>35</xdr:col>
      <xdr:colOff>653401</xdr:colOff>
      <xdr:row>128</xdr:row>
      <xdr:rowOff>118501</xdr:rowOff>
    </xdr:to>
    <xdr:sp macro="" textlink="">
      <xdr:nvSpPr>
        <xdr:cNvPr id="248416" name="フリーフォーム: 図形 248415">
          <a:extLst>
            <a:ext uri="{FF2B5EF4-FFF2-40B4-BE49-F238E27FC236}">
              <a16:creationId xmlns:a16="http://schemas.microsoft.com/office/drawing/2014/main" id="{83568172-85EA-4E8A-ACE7-5B319E268C2E}"/>
            </a:ext>
          </a:extLst>
        </xdr:cNvPr>
        <xdr:cNvSpPr>
          <a:spLocks noChangeAspect="1"/>
        </xdr:cNvSpPr>
      </xdr:nvSpPr>
      <xdr:spPr>
        <a:xfrm>
          <a:off x="24422401" y="21448799"/>
          <a:ext cx="234000" cy="882002"/>
        </a:xfrm>
        <a:custGeom>
          <a:avLst/>
          <a:gdLst/>
          <a:ahLst/>
          <a:cxnLst/>
          <a:rect l="0" t="0" r="0" b="0"/>
          <a:pathLst>
            <a:path w="234000" h="882002">
              <a:moveTo>
                <a:pt x="107999" y="216001"/>
              </a:moveTo>
              <a:lnTo>
                <a:pt x="215999" y="0"/>
              </a:lnTo>
              <a:lnTo>
                <a:pt x="233999" y="216001"/>
              </a:lnTo>
              <a:lnTo>
                <a:pt x="143999"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35</xdr:col>
      <xdr:colOff>95400</xdr:colOff>
      <xdr:row>123</xdr:row>
      <xdr:rowOff>75750</xdr:rowOff>
    </xdr:from>
    <xdr:to>
      <xdr:col>35</xdr:col>
      <xdr:colOff>617401</xdr:colOff>
      <xdr:row>128</xdr:row>
      <xdr:rowOff>10501</xdr:rowOff>
    </xdr:to>
    <xdr:sp macro="" textlink="">
      <xdr:nvSpPr>
        <xdr:cNvPr id="248417" name="フリーフォーム: 図形 248416">
          <a:extLst>
            <a:ext uri="{FF2B5EF4-FFF2-40B4-BE49-F238E27FC236}">
              <a16:creationId xmlns:a16="http://schemas.microsoft.com/office/drawing/2014/main" id="{F0151BC3-A366-4EEC-806D-1D802C5A0A1D}"/>
            </a:ext>
          </a:extLst>
        </xdr:cNvPr>
        <xdr:cNvSpPr>
          <a:spLocks noChangeAspect="1"/>
        </xdr:cNvSpPr>
      </xdr:nvSpPr>
      <xdr:spPr>
        <a:xfrm>
          <a:off x="24098400" y="21430800"/>
          <a:ext cx="522001" cy="792001"/>
        </a:xfrm>
        <a:custGeom>
          <a:avLst/>
          <a:gdLst/>
          <a:ahLst/>
          <a:cxnLst/>
          <a:rect l="0" t="0" r="0" b="0"/>
          <a:pathLst>
            <a:path w="522001" h="792001">
              <a:moveTo>
                <a:pt x="395999" y="72001"/>
              </a:moveTo>
              <a:lnTo>
                <a:pt x="522000" y="0"/>
              </a:lnTo>
              <a:lnTo>
                <a:pt x="324001" y="378001"/>
              </a:lnTo>
              <a:lnTo>
                <a:pt x="162000"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82801</xdr:colOff>
      <xdr:row>117</xdr:row>
      <xdr:rowOff>42450</xdr:rowOff>
    </xdr:from>
    <xdr:to>
      <xdr:col>38</xdr:col>
      <xdr:colOff>550801</xdr:colOff>
      <xdr:row>118</xdr:row>
      <xdr:rowOff>15002</xdr:rowOff>
    </xdr:to>
    <xdr:sp macro="" textlink="">
      <xdr:nvSpPr>
        <xdr:cNvPr id="248418" name="フリーフォーム: 図形 248417">
          <a:extLst>
            <a:ext uri="{FF2B5EF4-FFF2-40B4-BE49-F238E27FC236}">
              <a16:creationId xmlns:a16="http://schemas.microsoft.com/office/drawing/2014/main" id="{19746AF6-9066-42EC-B788-56D9252A6BC5}"/>
            </a:ext>
          </a:extLst>
        </xdr:cNvPr>
        <xdr:cNvSpPr>
          <a:spLocks noChangeAspect="1"/>
        </xdr:cNvSpPr>
      </xdr:nvSpPr>
      <xdr:spPr>
        <a:xfrm>
          <a:off x="261432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622799</xdr:colOff>
      <xdr:row>117</xdr:row>
      <xdr:rowOff>42450</xdr:rowOff>
    </xdr:from>
    <xdr:to>
      <xdr:col>39</xdr:col>
      <xdr:colOff>405000</xdr:colOff>
      <xdr:row>118</xdr:row>
      <xdr:rowOff>15002</xdr:rowOff>
    </xdr:to>
    <xdr:sp macro="" textlink="">
      <xdr:nvSpPr>
        <xdr:cNvPr id="248419" name="フリーフォーム: 図形 248418">
          <a:extLst>
            <a:ext uri="{FF2B5EF4-FFF2-40B4-BE49-F238E27FC236}">
              <a16:creationId xmlns:a16="http://schemas.microsoft.com/office/drawing/2014/main" id="{7A2B7951-EAA3-4D08-B4E3-625062B77398}"/>
            </a:ext>
          </a:extLst>
        </xdr:cNvPr>
        <xdr:cNvSpPr>
          <a:spLocks noChangeAspect="1"/>
        </xdr:cNvSpPr>
      </xdr:nvSpPr>
      <xdr:spPr>
        <a:xfrm>
          <a:off x="266831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188999</xdr:colOff>
      <xdr:row>117</xdr:row>
      <xdr:rowOff>114450</xdr:rowOff>
    </xdr:from>
    <xdr:to>
      <xdr:col>39</xdr:col>
      <xdr:colOff>477001</xdr:colOff>
      <xdr:row>123</xdr:row>
      <xdr:rowOff>21752</xdr:rowOff>
    </xdr:to>
    <xdr:sp macro="" textlink="">
      <xdr:nvSpPr>
        <xdr:cNvPr id="248420" name="フリーフォーム: 図形 248419">
          <a:extLst>
            <a:ext uri="{FF2B5EF4-FFF2-40B4-BE49-F238E27FC236}">
              <a16:creationId xmlns:a16="http://schemas.microsoft.com/office/drawing/2014/main" id="{641D6EC5-8AC9-4C9D-8C6C-D53E4DD80D95}"/>
            </a:ext>
          </a:extLst>
        </xdr:cNvPr>
        <xdr:cNvSpPr>
          <a:spLocks noChangeAspect="1"/>
        </xdr:cNvSpPr>
      </xdr:nvSpPr>
      <xdr:spPr>
        <a:xfrm>
          <a:off x="269351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39</xdr:col>
      <xdr:colOff>9001</xdr:colOff>
      <xdr:row>123</xdr:row>
      <xdr:rowOff>75750</xdr:rowOff>
    </xdr:from>
    <xdr:to>
      <xdr:col>39</xdr:col>
      <xdr:colOff>297000</xdr:colOff>
      <xdr:row>128</xdr:row>
      <xdr:rowOff>136501</xdr:rowOff>
    </xdr:to>
    <xdr:sp macro="" textlink="">
      <xdr:nvSpPr>
        <xdr:cNvPr id="248421" name="フリーフォーム: 図形 248420">
          <a:extLst>
            <a:ext uri="{FF2B5EF4-FFF2-40B4-BE49-F238E27FC236}">
              <a16:creationId xmlns:a16="http://schemas.microsoft.com/office/drawing/2014/main" id="{94B7640D-567B-4316-8FF5-C4E545013372}"/>
            </a:ext>
          </a:extLst>
        </xdr:cNvPr>
        <xdr:cNvSpPr>
          <a:spLocks noChangeAspect="1"/>
        </xdr:cNvSpPr>
      </xdr:nvSpPr>
      <xdr:spPr>
        <a:xfrm>
          <a:off x="267552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426600</xdr:colOff>
      <xdr:row>128</xdr:row>
      <xdr:rowOff>64500</xdr:rowOff>
    </xdr:from>
    <xdr:to>
      <xdr:col>38</xdr:col>
      <xdr:colOff>226800</xdr:colOff>
      <xdr:row>129</xdr:row>
      <xdr:rowOff>37051</xdr:rowOff>
    </xdr:to>
    <xdr:sp macro="" textlink="">
      <xdr:nvSpPr>
        <xdr:cNvPr id="248422" name="フリーフォーム: 図形 248421">
          <a:extLst>
            <a:ext uri="{FF2B5EF4-FFF2-40B4-BE49-F238E27FC236}">
              <a16:creationId xmlns:a16="http://schemas.microsoft.com/office/drawing/2014/main" id="{AE3B27FA-D1E5-47F9-8D60-AD65B22F8423}"/>
            </a:ext>
          </a:extLst>
        </xdr:cNvPr>
        <xdr:cNvSpPr>
          <a:spLocks noChangeAspect="1"/>
        </xdr:cNvSpPr>
      </xdr:nvSpPr>
      <xdr:spPr>
        <a:xfrm>
          <a:off x="25801200" y="22276800"/>
          <a:ext cx="486000" cy="144001"/>
        </a:xfrm>
        <a:custGeom>
          <a:avLst/>
          <a:gdLst/>
          <a:ahLst/>
          <a:cxnLst/>
          <a:rect l="0" t="0" r="0" b="0"/>
          <a:pathLst>
            <a:path w="486000" h="144001">
              <a:moveTo>
                <a:pt x="126000"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262799</xdr:colOff>
      <xdr:row>128</xdr:row>
      <xdr:rowOff>64500</xdr:rowOff>
    </xdr:from>
    <xdr:to>
      <xdr:col>39</xdr:col>
      <xdr:colOff>45000</xdr:colOff>
      <xdr:row>129</xdr:row>
      <xdr:rowOff>37051</xdr:rowOff>
    </xdr:to>
    <xdr:sp macro="" textlink="">
      <xdr:nvSpPr>
        <xdr:cNvPr id="248423" name="フリーフォーム: 図形 248422">
          <a:extLst>
            <a:ext uri="{FF2B5EF4-FFF2-40B4-BE49-F238E27FC236}">
              <a16:creationId xmlns:a16="http://schemas.microsoft.com/office/drawing/2014/main" id="{72876FC3-23F0-42F5-AB69-160187C5A387}"/>
            </a:ext>
          </a:extLst>
        </xdr:cNvPr>
        <xdr:cNvSpPr>
          <a:spLocks noChangeAspect="1"/>
        </xdr:cNvSpPr>
      </xdr:nvSpPr>
      <xdr:spPr>
        <a:xfrm>
          <a:off x="263231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372601</xdr:colOff>
      <xdr:row>123</xdr:row>
      <xdr:rowOff>75750</xdr:rowOff>
    </xdr:from>
    <xdr:to>
      <xdr:col>37</xdr:col>
      <xdr:colOff>660603</xdr:colOff>
      <xdr:row>128</xdr:row>
      <xdr:rowOff>136501</xdr:rowOff>
    </xdr:to>
    <xdr:sp macro="" textlink="">
      <xdr:nvSpPr>
        <xdr:cNvPr id="248424" name="フリーフォーム: 図形 248423">
          <a:extLst>
            <a:ext uri="{FF2B5EF4-FFF2-40B4-BE49-F238E27FC236}">
              <a16:creationId xmlns:a16="http://schemas.microsoft.com/office/drawing/2014/main" id="{CC03C63A-F8A7-4879-9ED5-3AB031E7F35D}"/>
            </a:ext>
          </a:extLst>
        </xdr:cNvPr>
        <xdr:cNvSpPr>
          <a:spLocks noChangeAspect="1"/>
        </xdr:cNvSpPr>
      </xdr:nvSpPr>
      <xdr:spPr>
        <a:xfrm>
          <a:off x="25747201" y="21430800"/>
          <a:ext cx="288002" cy="918001"/>
        </a:xfrm>
        <a:custGeom>
          <a:avLst/>
          <a:gdLst/>
          <a:ahLst/>
          <a:cxnLst/>
          <a:rect l="0" t="0" r="0" b="0"/>
          <a:pathLst>
            <a:path w="288002" h="918001">
              <a:moveTo>
                <a:pt x="143998" y="54000"/>
              </a:moveTo>
              <a:lnTo>
                <a:pt x="215999" y="0"/>
              </a:lnTo>
              <a:lnTo>
                <a:pt x="288001" y="72001"/>
              </a:lnTo>
              <a:lnTo>
                <a:pt x="143998" y="810001"/>
              </a:lnTo>
              <a:lnTo>
                <a:pt x="35999"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117</xdr:row>
      <xdr:rowOff>114450</xdr:rowOff>
    </xdr:from>
    <xdr:to>
      <xdr:col>38</xdr:col>
      <xdr:colOff>118800</xdr:colOff>
      <xdr:row>123</xdr:row>
      <xdr:rowOff>21752</xdr:rowOff>
    </xdr:to>
    <xdr:sp macro="" textlink="">
      <xdr:nvSpPr>
        <xdr:cNvPr id="248425" name="フリーフォーム: 図形 248424">
          <a:extLst>
            <a:ext uri="{FF2B5EF4-FFF2-40B4-BE49-F238E27FC236}">
              <a16:creationId xmlns:a16="http://schemas.microsoft.com/office/drawing/2014/main" id="{EB067E94-3DCB-4230-A03D-1F76A76145BC}"/>
            </a:ext>
          </a:extLst>
        </xdr:cNvPr>
        <xdr:cNvSpPr>
          <a:spLocks noChangeAspect="1"/>
        </xdr:cNvSpPr>
      </xdr:nvSpPr>
      <xdr:spPr>
        <a:xfrm>
          <a:off x="25927200" y="20440800"/>
          <a:ext cx="252000" cy="936002"/>
        </a:xfrm>
        <a:custGeom>
          <a:avLst/>
          <a:gdLst/>
          <a:ahLst/>
          <a:cxnLst/>
          <a:rect l="0" t="0" r="0" b="0"/>
          <a:pathLst>
            <a:path w="252000" h="936002">
              <a:moveTo>
                <a:pt x="126000" y="72001"/>
              </a:moveTo>
              <a:lnTo>
                <a:pt x="180000" y="0"/>
              </a:lnTo>
              <a:lnTo>
                <a:pt x="251999" y="108000"/>
              </a:lnTo>
              <a:lnTo>
                <a:pt x="143999" y="846000"/>
              </a:lnTo>
              <a:lnTo>
                <a:pt x="36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624601</xdr:colOff>
      <xdr:row>122</xdr:row>
      <xdr:rowOff>139199</xdr:rowOff>
    </xdr:from>
    <xdr:to>
      <xdr:col>38</xdr:col>
      <xdr:colOff>388802</xdr:colOff>
      <xdr:row>123</xdr:row>
      <xdr:rowOff>111751</xdr:rowOff>
    </xdr:to>
    <xdr:sp macro="" textlink="">
      <xdr:nvSpPr>
        <xdr:cNvPr id="248426" name="フリーフォーム: 図形 248425">
          <a:extLst>
            <a:ext uri="{FF2B5EF4-FFF2-40B4-BE49-F238E27FC236}">
              <a16:creationId xmlns:a16="http://schemas.microsoft.com/office/drawing/2014/main" id="{67A06BAC-3B32-44BF-A646-B3242618F2FB}"/>
            </a:ext>
          </a:extLst>
        </xdr:cNvPr>
        <xdr:cNvSpPr>
          <a:spLocks noChangeAspect="1"/>
        </xdr:cNvSpPr>
      </xdr:nvSpPr>
      <xdr:spPr>
        <a:xfrm>
          <a:off x="259992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442801</xdr:colOff>
      <xdr:row>122</xdr:row>
      <xdr:rowOff>139199</xdr:rowOff>
    </xdr:from>
    <xdr:to>
      <xdr:col>39</xdr:col>
      <xdr:colOff>207002</xdr:colOff>
      <xdr:row>123</xdr:row>
      <xdr:rowOff>111751</xdr:rowOff>
    </xdr:to>
    <xdr:sp macro="" textlink="">
      <xdr:nvSpPr>
        <xdr:cNvPr id="248427" name="フリーフォーム: 図形 248426">
          <a:extLst>
            <a:ext uri="{FF2B5EF4-FFF2-40B4-BE49-F238E27FC236}">
              <a16:creationId xmlns:a16="http://schemas.microsoft.com/office/drawing/2014/main" id="{118327DF-CB75-45B4-B4E0-38F6E99FC77F}"/>
            </a:ext>
          </a:extLst>
        </xdr:cNvPr>
        <xdr:cNvSpPr>
          <a:spLocks noChangeAspect="1"/>
        </xdr:cNvSpPr>
      </xdr:nvSpPr>
      <xdr:spPr>
        <a:xfrm>
          <a:off x="265032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136801</xdr:colOff>
      <xdr:row>118</xdr:row>
      <xdr:rowOff>51000</xdr:rowOff>
    </xdr:from>
    <xdr:to>
      <xdr:col>38</xdr:col>
      <xdr:colOff>406801</xdr:colOff>
      <xdr:row>123</xdr:row>
      <xdr:rowOff>3751</xdr:rowOff>
    </xdr:to>
    <xdr:sp macro="" textlink="">
      <xdr:nvSpPr>
        <xdr:cNvPr id="248428" name="フリーフォーム: 図形 248427">
          <a:extLst>
            <a:ext uri="{FF2B5EF4-FFF2-40B4-BE49-F238E27FC236}">
              <a16:creationId xmlns:a16="http://schemas.microsoft.com/office/drawing/2014/main" id="{72C0B179-E8CB-49F1-875C-3DA7455F6066}"/>
            </a:ext>
          </a:extLst>
        </xdr:cNvPr>
        <xdr:cNvSpPr>
          <a:spLocks noChangeAspect="1"/>
        </xdr:cNvSpPr>
      </xdr:nvSpPr>
      <xdr:spPr>
        <a:xfrm>
          <a:off x="261972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406800</xdr:colOff>
      <xdr:row>117</xdr:row>
      <xdr:rowOff>114450</xdr:rowOff>
    </xdr:from>
    <xdr:to>
      <xdr:col>38</xdr:col>
      <xdr:colOff>658801</xdr:colOff>
      <xdr:row>122</xdr:row>
      <xdr:rowOff>157201</xdr:rowOff>
    </xdr:to>
    <xdr:sp macro="" textlink="">
      <xdr:nvSpPr>
        <xdr:cNvPr id="248429" name="フリーフォーム: 図形 248428">
          <a:extLst>
            <a:ext uri="{FF2B5EF4-FFF2-40B4-BE49-F238E27FC236}">
              <a16:creationId xmlns:a16="http://schemas.microsoft.com/office/drawing/2014/main" id="{E8E470C4-92B1-467A-8388-266BC80D5CAD}"/>
            </a:ext>
          </a:extLst>
        </xdr:cNvPr>
        <xdr:cNvSpPr>
          <a:spLocks noChangeAspect="1"/>
        </xdr:cNvSpPr>
      </xdr:nvSpPr>
      <xdr:spPr>
        <a:xfrm>
          <a:off x="264672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460800</xdr:colOff>
      <xdr:row>118</xdr:row>
      <xdr:rowOff>69000</xdr:rowOff>
    </xdr:from>
    <xdr:to>
      <xdr:col>39</xdr:col>
      <xdr:colOff>297000</xdr:colOff>
      <xdr:row>123</xdr:row>
      <xdr:rowOff>3751</xdr:rowOff>
    </xdr:to>
    <xdr:sp macro="" textlink="">
      <xdr:nvSpPr>
        <xdr:cNvPr id="248430" name="フリーフォーム: 図形 248429">
          <a:extLst>
            <a:ext uri="{FF2B5EF4-FFF2-40B4-BE49-F238E27FC236}">
              <a16:creationId xmlns:a16="http://schemas.microsoft.com/office/drawing/2014/main" id="{CD84FFBF-D8EC-4B9D-9579-7F922F7C6970}"/>
            </a:ext>
          </a:extLst>
        </xdr:cNvPr>
        <xdr:cNvSpPr>
          <a:spLocks noChangeAspect="1"/>
        </xdr:cNvSpPr>
      </xdr:nvSpPr>
      <xdr:spPr>
        <a:xfrm>
          <a:off x="265212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424799</xdr:colOff>
      <xdr:row>123</xdr:row>
      <xdr:rowOff>75750</xdr:rowOff>
    </xdr:from>
    <xdr:to>
      <xdr:col>39</xdr:col>
      <xdr:colOff>9002</xdr:colOff>
      <xdr:row>127</xdr:row>
      <xdr:rowOff>163951</xdr:rowOff>
    </xdr:to>
    <xdr:sp macro="" textlink="">
      <xdr:nvSpPr>
        <xdr:cNvPr id="248431" name="フリーフォーム: 図形 248430">
          <a:extLst>
            <a:ext uri="{FF2B5EF4-FFF2-40B4-BE49-F238E27FC236}">
              <a16:creationId xmlns:a16="http://schemas.microsoft.com/office/drawing/2014/main" id="{A5389347-2A46-4584-9E46-FDBC9D53C951}"/>
            </a:ext>
          </a:extLst>
        </xdr:cNvPr>
        <xdr:cNvSpPr>
          <a:spLocks noChangeAspect="1"/>
        </xdr:cNvSpPr>
      </xdr:nvSpPr>
      <xdr:spPr>
        <a:xfrm>
          <a:off x="264851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38</xdr:col>
      <xdr:colOff>190801</xdr:colOff>
      <xdr:row>123</xdr:row>
      <xdr:rowOff>93749</xdr:rowOff>
    </xdr:from>
    <xdr:to>
      <xdr:col>38</xdr:col>
      <xdr:colOff>424800</xdr:colOff>
      <xdr:row>128</xdr:row>
      <xdr:rowOff>118501</xdr:rowOff>
    </xdr:to>
    <xdr:sp macro="" textlink="">
      <xdr:nvSpPr>
        <xdr:cNvPr id="248432" name="フリーフォーム: 図形 248431">
          <a:extLst>
            <a:ext uri="{FF2B5EF4-FFF2-40B4-BE49-F238E27FC236}">
              <a16:creationId xmlns:a16="http://schemas.microsoft.com/office/drawing/2014/main" id="{4CA4869E-2B2A-4EF8-9F91-0D8BD6AD5966}"/>
            </a:ext>
          </a:extLst>
        </xdr:cNvPr>
        <xdr:cNvSpPr>
          <a:spLocks noChangeAspect="1"/>
        </xdr:cNvSpPr>
      </xdr:nvSpPr>
      <xdr:spPr>
        <a:xfrm>
          <a:off x="262512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37</xdr:col>
      <xdr:colOff>552600</xdr:colOff>
      <xdr:row>123</xdr:row>
      <xdr:rowOff>75750</xdr:rowOff>
    </xdr:from>
    <xdr:to>
      <xdr:col>38</xdr:col>
      <xdr:colOff>388802</xdr:colOff>
      <xdr:row>128</xdr:row>
      <xdr:rowOff>10501</xdr:rowOff>
    </xdr:to>
    <xdr:sp macro="" textlink="">
      <xdr:nvSpPr>
        <xdr:cNvPr id="248433" name="フリーフォーム: 図形 248432">
          <a:extLst>
            <a:ext uri="{FF2B5EF4-FFF2-40B4-BE49-F238E27FC236}">
              <a16:creationId xmlns:a16="http://schemas.microsoft.com/office/drawing/2014/main" id="{89517649-718A-45FE-88E6-0BD5B0818CFA}"/>
            </a:ext>
          </a:extLst>
        </xdr:cNvPr>
        <xdr:cNvSpPr>
          <a:spLocks noChangeAspect="1"/>
        </xdr:cNvSpPr>
      </xdr:nvSpPr>
      <xdr:spPr>
        <a:xfrm>
          <a:off x="25927200" y="21430800"/>
          <a:ext cx="522002" cy="792001"/>
        </a:xfrm>
        <a:custGeom>
          <a:avLst/>
          <a:gdLst/>
          <a:ahLst/>
          <a:cxnLst/>
          <a:rect l="0" t="0" r="0" b="0"/>
          <a:pathLst>
            <a:path w="522002" h="792001">
              <a:moveTo>
                <a:pt x="395999" y="72001"/>
              </a:moveTo>
              <a:lnTo>
                <a:pt x="522001" y="0"/>
              </a:lnTo>
              <a:lnTo>
                <a:pt x="324001" y="378001"/>
              </a:lnTo>
              <a:lnTo>
                <a:pt x="162001" y="666000"/>
              </a:lnTo>
              <a:lnTo>
                <a:pt x="0" y="792000"/>
              </a:lnTo>
              <a:lnTo>
                <a:pt x="36000"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540001</xdr:colOff>
      <xdr:row>117</xdr:row>
      <xdr:rowOff>42450</xdr:rowOff>
    </xdr:from>
    <xdr:to>
      <xdr:col>41</xdr:col>
      <xdr:colOff>322201</xdr:colOff>
      <xdr:row>118</xdr:row>
      <xdr:rowOff>15002</xdr:rowOff>
    </xdr:to>
    <xdr:sp macro="" textlink="">
      <xdr:nvSpPr>
        <xdr:cNvPr id="248434" name="フリーフォーム: 図形 248433">
          <a:extLst>
            <a:ext uri="{FF2B5EF4-FFF2-40B4-BE49-F238E27FC236}">
              <a16:creationId xmlns:a16="http://schemas.microsoft.com/office/drawing/2014/main" id="{8CAA641A-1D35-4DFB-82A9-4F4796A74ABA}"/>
            </a:ext>
          </a:extLst>
        </xdr:cNvPr>
        <xdr:cNvSpPr>
          <a:spLocks noChangeAspect="1"/>
        </xdr:cNvSpPr>
      </xdr:nvSpPr>
      <xdr:spPr>
        <a:xfrm>
          <a:off x="279720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394199</xdr:colOff>
      <xdr:row>117</xdr:row>
      <xdr:rowOff>42450</xdr:rowOff>
    </xdr:from>
    <xdr:to>
      <xdr:col>42</xdr:col>
      <xdr:colOff>176400</xdr:colOff>
      <xdr:row>118</xdr:row>
      <xdr:rowOff>15002</xdr:rowOff>
    </xdr:to>
    <xdr:sp macro="" textlink="">
      <xdr:nvSpPr>
        <xdr:cNvPr id="248435" name="フリーフォーム: 図形 248434">
          <a:extLst>
            <a:ext uri="{FF2B5EF4-FFF2-40B4-BE49-F238E27FC236}">
              <a16:creationId xmlns:a16="http://schemas.microsoft.com/office/drawing/2014/main" id="{6E62BB67-704C-488E-8A20-BDFEEC5E2520}"/>
            </a:ext>
          </a:extLst>
        </xdr:cNvPr>
        <xdr:cNvSpPr>
          <a:spLocks noChangeAspect="1"/>
        </xdr:cNvSpPr>
      </xdr:nvSpPr>
      <xdr:spPr>
        <a:xfrm>
          <a:off x="285119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646199</xdr:colOff>
      <xdr:row>117</xdr:row>
      <xdr:rowOff>114450</xdr:rowOff>
    </xdr:from>
    <xdr:to>
      <xdr:col>42</xdr:col>
      <xdr:colOff>248401</xdr:colOff>
      <xdr:row>123</xdr:row>
      <xdr:rowOff>21752</xdr:rowOff>
    </xdr:to>
    <xdr:sp macro="" textlink="">
      <xdr:nvSpPr>
        <xdr:cNvPr id="248436" name="フリーフォーム: 図形 248435">
          <a:extLst>
            <a:ext uri="{FF2B5EF4-FFF2-40B4-BE49-F238E27FC236}">
              <a16:creationId xmlns:a16="http://schemas.microsoft.com/office/drawing/2014/main" id="{5323EE07-51E7-4D13-83B8-5CF69D26C4C3}"/>
            </a:ext>
          </a:extLst>
        </xdr:cNvPr>
        <xdr:cNvSpPr>
          <a:spLocks noChangeAspect="1"/>
        </xdr:cNvSpPr>
      </xdr:nvSpPr>
      <xdr:spPr>
        <a:xfrm>
          <a:off x="287639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466201</xdr:colOff>
      <xdr:row>123</xdr:row>
      <xdr:rowOff>75750</xdr:rowOff>
    </xdr:from>
    <xdr:to>
      <xdr:col>42</xdr:col>
      <xdr:colOff>68400</xdr:colOff>
      <xdr:row>128</xdr:row>
      <xdr:rowOff>136501</xdr:rowOff>
    </xdr:to>
    <xdr:sp macro="" textlink="">
      <xdr:nvSpPr>
        <xdr:cNvPr id="248437" name="フリーフォーム: 図形 248436">
          <a:extLst>
            <a:ext uri="{FF2B5EF4-FFF2-40B4-BE49-F238E27FC236}">
              <a16:creationId xmlns:a16="http://schemas.microsoft.com/office/drawing/2014/main" id="{7365AC25-808A-4FFA-B634-DD130638C366}"/>
            </a:ext>
          </a:extLst>
        </xdr:cNvPr>
        <xdr:cNvSpPr>
          <a:spLocks noChangeAspect="1"/>
        </xdr:cNvSpPr>
      </xdr:nvSpPr>
      <xdr:spPr>
        <a:xfrm>
          <a:off x="285840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198000</xdr:colOff>
      <xdr:row>128</xdr:row>
      <xdr:rowOff>64500</xdr:rowOff>
    </xdr:from>
    <xdr:to>
      <xdr:col>40</xdr:col>
      <xdr:colOff>684000</xdr:colOff>
      <xdr:row>129</xdr:row>
      <xdr:rowOff>37051</xdr:rowOff>
    </xdr:to>
    <xdr:sp macro="" textlink="">
      <xdr:nvSpPr>
        <xdr:cNvPr id="248438" name="フリーフォーム: 図形 248437">
          <a:extLst>
            <a:ext uri="{FF2B5EF4-FFF2-40B4-BE49-F238E27FC236}">
              <a16:creationId xmlns:a16="http://schemas.microsoft.com/office/drawing/2014/main" id="{DC7802C9-4CD4-43E5-AF19-9C28C3084C31}"/>
            </a:ext>
          </a:extLst>
        </xdr:cNvPr>
        <xdr:cNvSpPr>
          <a:spLocks noChangeAspect="1"/>
        </xdr:cNvSpPr>
      </xdr:nvSpPr>
      <xdr:spPr>
        <a:xfrm>
          <a:off x="276300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34199</xdr:colOff>
      <xdr:row>128</xdr:row>
      <xdr:rowOff>64500</xdr:rowOff>
    </xdr:from>
    <xdr:to>
      <xdr:col>41</xdr:col>
      <xdr:colOff>502200</xdr:colOff>
      <xdr:row>129</xdr:row>
      <xdr:rowOff>37051</xdr:rowOff>
    </xdr:to>
    <xdr:sp macro="" textlink="">
      <xdr:nvSpPr>
        <xdr:cNvPr id="248439" name="フリーフォーム: 図形 248438">
          <a:extLst>
            <a:ext uri="{FF2B5EF4-FFF2-40B4-BE49-F238E27FC236}">
              <a16:creationId xmlns:a16="http://schemas.microsoft.com/office/drawing/2014/main" id="{B981436D-3A66-4ED0-81A6-9B64F9D14295}"/>
            </a:ext>
          </a:extLst>
        </xdr:cNvPr>
        <xdr:cNvSpPr>
          <a:spLocks noChangeAspect="1"/>
        </xdr:cNvSpPr>
      </xdr:nvSpPr>
      <xdr:spPr>
        <a:xfrm>
          <a:off x="281519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144001</xdr:colOff>
      <xdr:row>123</xdr:row>
      <xdr:rowOff>75750</xdr:rowOff>
    </xdr:from>
    <xdr:to>
      <xdr:col>40</xdr:col>
      <xdr:colOff>432003</xdr:colOff>
      <xdr:row>128</xdr:row>
      <xdr:rowOff>136501</xdr:rowOff>
    </xdr:to>
    <xdr:sp macro="" textlink="">
      <xdr:nvSpPr>
        <xdr:cNvPr id="248440" name="フリーフォーム: 図形 248439">
          <a:extLst>
            <a:ext uri="{FF2B5EF4-FFF2-40B4-BE49-F238E27FC236}">
              <a16:creationId xmlns:a16="http://schemas.microsoft.com/office/drawing/2014/main" id="{2DFEAC7E-2D5D-4900-BB83-8EA66DE92A03}"/>
            </a:ext>
          </a:extLst>
        </xdr:cNvPr>
        <xdr:cNvSpPr>
          <a:spLocks noChangeAspect="1"/>
        </xdr:cNvSpPr>
      </xdr:nvSpPr>
      <xdr:spPr>
        <a:xfrm>
          <a:off x="275760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117</xdr:row>
      <xdr:rowOff>114450</xdr:rowOff>
    </xdr:from>
    <xdr:to>
      <xdr:col>40</xdr:col>
      <xdr:colOff>576000</xdr:colOff>
      <xdr:row>123</xdr:row>
      <xdr:rowOff>21752</xdr:rowOff>
    </xdr:to>
    <xdr:sp macro="" textlink="">
      <xdr:nvSpPr>
        <xdr:cNvPr id="248441" name="フリーフォーム: 図形 248440">
          <a:extLst>
            <a:ext uri="{FF2B5EF4-FFF2-40B4-BE49-F238E27FC236}">
              <a16:creationId xmlns:a16="http://schemas.microsoft.com/office/drawing/2014/main" id="{A178A52F-4CFD-4FB0-B6C5-8BF8A8FB22B8}"/>
            </a:ext>
          </a:extLst>
        </xdr:cNvPr>
        <xdr:cNvSpPr>
          <a:spLocks noChangeAspect="1"/>
        </xdr:cNvSpPr>
      </xdr:nvSpPr>
      <xdr:spPr>
        <a:xfrm>
          <a:off x="277559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396001</xdr:colOff>
      <xdr:row>122</xdr:row>
      <xdr:rowOff>139199</xdr:rowOff>
    </xdr:from>
    <xdr:to>
      <xdr:col>41</xdr:col>
      <xdr:colOff>160202</xdr:colOff>
      <xdr:row>123</xdr:row>
      <xdr:rowOff>111751</xdr:rowOff>
    </xdr:to>
    <xdr:sp macro="" textlink="">
      <xdr:nvSpPr>
        <xdr:cNvPr id="248442" name="フリーフォーム: 図形 248441">
          <a:extLst>
            <a:ext uri="{FF2B5EF4-FFF2-40B4-BE49-F238E27FC236}">
              <a16:creationId xmlns:a16="http://schemas.microsoft.com/office/drawing/2014/main" id="{98096DD5-4948-4EAA-A8D0-70E0D6E8C4AA}"/>
            </a:ext>
          </a:extLst>
        </xdr:cNvPr>
        <xdr:cNvSpPr>
          <a:spLocks noChangeAspect="1"/>
        </xdr:cNvSpPr>
      </xdr:nvSpPr>
      <xdr:spPr>
        <a:xfrm>
          <a:off x="278280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214201</xdr:colOff>
      <xdr:row>122</xdr:row>
      <xdr:rowOff>139199</xdr:rowOff>
    </xdr:from>
    <xdr:to>
      <xdr:col>41</xdr:col>
      <xdr:colOff>664202</xdr:colOff>
      <xdr:row>123</xdr:row>
      <xdr:rowOff>111751</xdr:rowOff>
    </xdr:to>
    <xdr:sp macro="" textlink="">
      <xdr:nvSpPr>
        <xdr:cNvPr id="248443" name="フリーフォーム: 図形 248442">
          <a:extLst>
            <a:ext uri="{FF2B5EF4-FFF2-40B4-BE49-F238E27FC236}">
              <a16:creationId xmlns:a16="http://schemas.microsoft.com/office/drawing/2014/main" id="{514EBDB5-5FDE-4F52-8C12-CB4DA9A9EC44}"/>
            </a:ext>
          </a:extLst>
        </xdr:cNvPr>
        <xdr:cNvSpPr>
          <a:spLocks noChangeAspect="1"/>
        </xdr:cNvSpPr>
      </xdr:nvSpPr>
      <xdr:spPr>
        <a:xfrm>
          <a:off x="283320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594001</xdr:colOff>
      <xdr:row>118</xdr:row>
      <xdr:rowOff>51000</xdr:rowOff>
    </xdr:from>
    <xdr:to>
      <xdr:col>41</xdr:col>
      <xdr:colOff>178201</xdr:colOff>
      <xdr:row>123</xdr:row>
      <xdr:rowOff>3751</xdr:rowOff>
    </xdr:to>
    <xdr:sp macro="" textlink="">
      <xdr:nvSpPr>
        <xdr:cNvPr id="248444" name="フリーフォーム: 図形 248443">
          <a:extLst>
            <a:ext uri="{FF2B5EF4-FFF2-40B4-BE49-F238E27FC236}">
              <a16:creationId xmlns:a16="http://schemas.microsoft.com/office/drawing/2014/main" id="{010A1F61-BE0C-4B76-92EA-471078817D4B}"/>
            </a:ext>
          </a:extLst>
        </xdr:cNvPr>
        <xdr:cNvSpPr>
          <a:spLocks noChangeAspect="1"/>
        </xdr:cNvSpPr>
      </xdr:nvSpPr>
      <xdr:spPr>
        <a:xfrm>
          <a:off x="280260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178200</xdr:colOff>
      <xdr:row>117</xdr:row>
      <xdr:rowOff>114450</xdr:rowOff>
    </xdr:from>
    <xdr:to>
      <xdr:col>41</xdr:col>
      <xdr:colOff>430201</xdr:colOff>
      <xdr:row>122</xdr:row>
      <xdr:rowOff>157201</xdr:rowOff>
    </xdr:to>
    <xdr:sp macro="" textlink="">
      <xdr:nvSpPr>
        <xdr:cNvPr id="248445" name="フリーフォーム: 図形 248444">
          <a:extLst>
            <a:ext uri="{FF2B5EF4-FFF2-40B4-BE49-F238E27FC236}">
              <a16:creationId xmlns:a16="http://schemas.microsoft.com/office/drawing/2014/main" id="{444B65D3-C9AF-4FCF-AD68-E0C3C085C337}"/>
            </a:ext>
          </a:extLst>
        </xdr:cNvPr>
        <xdr:cNvSpPr>
          <a:spLocks noChangeAspect="1"/>
        </xdr:cNvSpPr>
      </xdr:nvSpPr>
      <xdr:spPr>
        <a:xfrm>
          <a:off x="282960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232200</xdr:colOff>
      <xdr:row>118</xdr:row>
      <xdr:rowOff>69000</xdr:rowOff>
    </xdr:from>
    <xdr:to>
      <xdr:col>42</xdr:col>
      <xdr:colOff>68400</xdr:colOff>
      <xdr:row>123</xdr:row>
      <xdr:rowOff>3751</xdr:rowOff>
    </xdr:to>
    <xdr:sp macro="" textlink="">
      <xdr:nvSpPr>
        <xdr:cNvPr id="248446" name="フリーフォーム: 図形 248445">
          <a:extLst>
            <a:ext uri="{FF2B5EF4-FFF2-40B4-BE49-F238E27FC236}">
              <a16:creationId xmlns:a16="http://schemas.microsoft.com/office/drawing/2014/main" id="{EC483F76-C01C-4DB7-9B0C-A9F2C363892B}"/>
            </a:ext>
          </a:extLst>
        </xdr:cNvPr>
        <xdr:cNvSpPr>
          <a:spLocks noChangeAspect="1"/>
        </xdr:cNvSpPr>
      </xdr:nvSpPr>
      <xdr:spPr>
        <a:xfrm>
          <a:off x="283500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41</xdr:col>
      <xdr:colOff>196199</xdr:colOff>
      <xdr:row>123</xdr:row>
      <xdr:rowOff>75750</xdr:rowOff>
    </xdr:from>
    <xdr:to>
      <xdr:col>41</xdr:col>
      <xdr:colOff>466202</xdr:colOff>
      <xdr:row>127</xdr:row>
      <xdr:rowOff>163951</xdr:rowOff>
    </xdr:to>
    <xdr:sp macro="" textlink="">
      <xdr:nvSpPr>
        <xdr:cNvPr id="248447" name="フリーフォーム: 図形 248446">
          <a:extLst>
            <a:ext uri="{FF2B5EF4-FFF2-40B4-BE49-F238E27FC236}">
              <a16:creationId xmlns:a16="http://schemas.microsoft.com/office/drawing/2014/main" id="{1D33A3D5-C2CC-4C69-936F-B1EC64251711}"/>
            </a:ext>
          </a:extLst>
        </xdr:cNvPr>
        <xdr:cNvSpPr>
          <a:spLocks noChangeAspect="1"/>
        </xdr:cNvSpPr>
      </xdr:nvSpPr>
      <xdr:spPr>
        <a:xfrm>
          <a:off x="283139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648001</xdr:colOff>
      <xdr:row>123</xdr:row>
      <xdr:rowOff>93749</xdr:rowOff>
    </xdr:from>
    <xdr:to>
      <xdr:col>41</xdr:col>
      <xdr:colOff>196200</xdr:colOff>
      <xdr:row>128</xdr:row>
      <xdr:rowOff>118501</xdr:rowOff>
    </xdr:to>
    <xdr:sp macro="" textlink="">
      <xdr:nvSpPr>
        <xdr:cNvPr id="248448" name="フリーフォーム: 図形 248447">
          <a:extLst>
            <a:ext uri="{FF2B5EF4-FFF2-40B4-BE49-F238E27FC236}">
              <a16:creationId xmlns:a16="http://schemas.microsoft.com/office/drawing/2014/main" id="{A996E769-32C8-4D17-B671-4ED58696A64A}"/>
            </a:ext>
          </a:extLst>
        </xdr:cNvPr>
        <xdr:cNvSpPr>
          <a:spLocks noChangeAspect="1"/>
        </xdr:cNvSpPr>
      </xdr:nvSpPr>
      <xdr:spPr>
        <a:xfrm>
          <a:off x="280800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40</xdr:col>
      <xdr:colOff>323999</xdr:colOff>
      <xdr:row>123</xdr:row>
      <xdr:rowOff>75750</xdr:rowOff>
    </xdr:from>
    <xdr:to>
      <xdr:col>41</xdr:col>
      <xdr:colOff>160202</xdr:colOff>
      <xdr:row>128</xdr:row>
      <xdr:rowOff>10501</xdr:rowOff>
    </xdr:to>
    <xdr:sp macro="" textlink="">
      <xdr:nvSpPr>
        <xdr:cNvPr id="248449" name="フリーフォーム: 図形 248448">
          <a:extLst>
            <a:ext uri="{FF2B5EF4-FFF2-40B4-BE49-F238E27FC236}">
              <a16:creationId xmlns:a16="http://schemas.microsoft.com/office/drawing/2014/main" id="{DDE8B0D6-8867-416F-81D2-7D53F15FDA2F}"/>
            </a:ext>
          </a:extLst>
        </xdr:cNvPr>
        <xdr:cNvSpPr>
          <a:spLocks noChangeAspect="1"/>
        </xdr:cNvSpPr>
      </xdr:nvSpPr>
      <xdr:spPr>
        <a:xfrm>
          <a:off x="277559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311401</xdr:colOff>
      <xdr:row>117</xdr:row>
      <xdr:rowOff>42450</xdr:rowOff>
    </xdr:from>
    <xdr:to>
      <xdr:col>44</xdr:col>
      <xdr:colOff>93601</xdr:colOff>
      <xdr:row>118</xdr:row>
      <xdr:rowOff>15002</xdr:rowOff>
    </xdr:to>
    <xdr:sp macro="" textlink="">
      <xdr:nvSpPr>
        <xdr:cNvPr id="248450" name="フリーフォーム: 図形 248449">
          <a:extLst>
            <a:ext uri="{FF2B5EF4-FFF2-40B4-BE49-F238E27FC236}">
              <a16:creationId xmlns:a16="http://schemas.microsoft.com/office/drawing/2014/main" id="{C8D37827-36CF-43B9-B7E7-D5E189A5C944}"/>
            </a:ext>
          </a:extLst>
        </xdr:cNvPr>
        <xdr:cNvSpPr>
          <a:spLocks noChangeAspect="1"/>
        </xdr:cNvSpPr>
      </xdr:nvSpPr>
      <xdr:spPr>
        <a:xfrm>
          <a:off x="298008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165599</xdr:colOff>
      <xdr:row>117</xdr:row>
      <xdr:rowOff>42450</xdr:rowOff>
    </xdr:from>
    <xdr:to>
      <xdr:col>44</xdr:col>
      <xdr:colOff>633600</xdr:colOff>
      <xdr:row>118</xdr:row>
      <xdr:rowOff>15002</xdr:rowOff>
    </xdr:to>
    <xdr:sp macro="" textlink="">
      <xdr:nvSpPr>
        <xdr:cNvPr id="248451" name="フリーフォーム: 図形 248450">
          <a:extLst>
            <a:ext uri="{FF2B5EF4-FFF2-40B4-BE49-F238E27FC236}">
              <a16:creationId xmlns:a16="http://schemas.microsoft.com/office/drawing/2014/main" id="{6AFDE32D-6366-41F8-B2BA-F8CF1C2B179E}"/>
            </a:ext>
          </a:extLst>
        </xdr:cNvPr>
        <xdr:cNvSpPr>
          <a:spLocks noChangeAspect="1"/>
        </xdr:cNvSpPr>
      </xdr:nvSpPr>
      <xdr:spPr>
        <a:xfrm>
          <a:off x="303407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417599</xdr:colOff>
      <xdr:row>117</xdr:row>
      <xdr:rowOff>114450</xdr:rowOff>
    </xdr:from>
    <xdr:to>
      <xdr:col>45</xdr:col>
      <xdr:colOff>19801</xdr:colOff>
      <xdr:row>123</xdr:row>
      <xdr:rowOff>21752</xdr:rowOff>
    </xdr:to>
    <xdr:sp macro="" textlink="">
      <xdr:nvSpPr>
        <xdr:cNvPr id="248452" name="フリーフォーム: 図形 248451">
          <a:extLst>
            <a:ext uri="{FF2B5EF4-FFF2-40B4-BE49-F238E27FC236}">
              <a16:creationId xmlns:a16="http://schemas.microsoft.com/office/drawing/2014/main" id="{6D4C8F7C-CB7C-450D-9A86-D02B13EBD894}"/>
            </a:ext>
          </a:extLst>
        </xdr:cNvPr>
        <xdr:cNvSpPr>
          <a:spLocks noChangeAspect="1"/>
        </xdr:cNvSpPr>
      </xdr:nvSpPr>
      <xdr:spPr>
        <a:xfrm>
          <a:off x="305927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237601</xdr:colOff>
      <xdr:row>123</xdr:row>
      <xdr:rowOff>75750</xdr:rowOff>
    </xdr:from>
    <xdr:to>
      <xdr:col>44</xdr:col>
      <xdr:colOff>525600</xdr:colOff>
      <xdr:row>128</xdr:row>
      <xdr:rowOff>136501</xdr:rowOff>
    </xdr:to>
    <xdr:sp macro="" textlink="">
      <xdr:nvSpPr>
        <xdr:cNvPr id="248453" name="フリーフォーム: 図形 248452">
          <a:extLst>
            <a:ext uri="{FF2B5EF4-FFF2-40B4-BE49-F238E27FC236}">
              <a16:creationId xmlns:a16="http://schemas.microsoft.com/office/drawing/2014/main" id="{E21D844F-7813-4E9B-9E14-37FE56B0B711}"/>
            </a:ext>
          </a:extLst>
        </xdr:cNvPr>
        <xdr:cNvSpPr>
          <a:spLocks noChangeAspect="1"/>
        </xdr:cNvSpPr>
      </xdr:nvSpPr>
      <xdr:spPr>
        <a:xfrm>
          <a:off x="304128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655200</xdr:colOff>
      <xdr:row>128</xdr:row>
      <xdr:rowOff>64500</xdr:rowOff>
    </xdr:from>
    <xdr:to>
      <xdr:col>43</xdr:col>
      <xdr:colOff>455400</xdr:colOff>
      <xdr:row>129</xdr:row>
      <xdr:rowOff>37051</xdr:rowOff>
    </xdr:to>
    <xdr:sp macro="" textlink="">
      <xdr:nvSpPr>
        <xdr:cNvPr id="248454" name="フリーフォーム: 図形 248453">
          <a:extLst>
            <a:ext uri="{FF2B5EF4-FFF2-40B4-BE49-F238E27FC236}">
              <a16:creationId xmlns:a16="http://schemas.microsoft.com/office/drawing/2014/main" id="{766BA4E2-E03E-42BE-9EAC-7B65C2C09873}"/>
            </a:ext>
          </a:extLst>
        </xdr:cNvPr>
        <xdr:cNvSpPr>
          <a:spLocks noChangeAspect="1"/>
        </xdr:cNvSpPr>
      </xdr:nvSpPr>
      <xdr:spPr>
        <a:xfrm>
          <a:off x="294588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491399</xdr:colOff>
      <xdr:row>128</xdr:row>
      <xdr:rowOff>64500</xdr:rowOff>
    </xdr:from>
    <xdr:to>
      <xdr:col>44</xdr:col>
      <xdr:colOff>273600</xdr:colOff>
      <xdr:row>129</xdr:row>
      <xdr:rowOff>37051</xdr:rowOff>
    </xdr:to>
    <xdr:sp macro="" textlink="">
      <xdr:nvSpPr>
        <xdr:cNvPr id="248455" name="フリーフォーム: 図形 248454">
          <a:extLst>
            <a:ext uri="{FF2B5EF4-FFF2-40B4-BE49-F238E27FC236}">
              <a16:creationId xmlns:a16="http://schemas.microsoft.com/office/drawing/2014/main" id="{C52DA720-4F18-40CD-B7E0-ECA39AA0372D}"/>
            </a:ext>
          </a:extLst>
        </xdr:cNvPr>
        <xdr:cNvSpPr>
          <a:spLocks noChangeAspect="1"/>
        </xdr:cNvSpPr>
      </xdr:nvSpPr>
      <xdr:spPr>
        <a:xfrm>
          <a:off x="299807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42</xdr:col>
      <xdr:colOff>601201</xdr:colOff>
      <xdr:row>123</xdr:row>
      <xdr:rowOff>75750</xdr:rowOff>
    </xdr:from>
    <xdr:to>
      <xdr:col>43</xdr:col>
      <xdr:colOff>203403</xdr:colOff>
      <xdr:row>128</xdr:row>
      <xdr:rowOff>136501</xdr:rowOff>
    </xdr:to>
    <xdr:sp macro="" textlink="">
      <xdr:nvSpPr>
        <xdr:cNvPr id="248456" name="フリーフォーム: 図形 248455">
          <a:extLst>
            <a:ext uri="{FF2B5EF4-FFF2-40B4-BE49-F238E27FC236}">
              <a16:creationId xmlns:a16="http://schemas.microsoft.com/office/drawing/2014/main" id="{4593CEAF-A17D-40C9-A385-61E5BCA5EBF3}"/>
            </a:ext>
          </a:extLst>
        </xdr:cNvPr>
        <xdr:cNvSpPr>
          <a:spLocks noChangeAspect="1"/>
        </xdr:cNvSpPr>
      </xdr:nvSpPr>
      <xdr:spPr>
        <a:xfrm>
          <a:off x="294048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117</xdr:row>
      <xdr:rowOff>114450</xdr:rowOff>
    </xdr:from>
    <xdr:to>
      <xdr:col>43</xdr:col>
      <xdr:colOff>347400</xdr:colOff>
      <xdr:row>123</xdr:row>
      <xdr:rowOff>21752</xdr:rowOff>
    </xdr:to>
    <xdr:sp macro="" textlink="">
      <xdr:nvSpPr>
        <xdr:cNvPr id="248457" name="フリーフォーム: 図形 248456">
          <a:extLst>
            <a:ext uri="{FF2B5EF4-FFF2-40B4-BE49-F238E27FC236}">
              <a16:creationId xmlns:a16="http://schemas.microsoft.com/office/drawing/2014/main" id="{6840DC91-E812-453C-B47C-9F2B771CE3BA}"/>
            </a:ext>
          </a:extLst>
        </xdr:cNvPr>
        <xdr:cNvSpPr>
          <a:spLocks noChangeAspect="1"/>
        </xdr:cNvSpPr>
      </xdr:nvSpPr>
      <xdr:spPr>
        <a:xfrm>
          <a:off x="295847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167401</xdr:colOff>
      <xdr:row>122</xdr:row>
      <xdr:rowOff>139199</xdr:rowOff>
    </xdr:from>
    <xdr:to>
      <xdr:col>43</xdr:col>
      <xdr:colOff>617402</xdr:colOff>
      <xdr:row>123</xdr:row>
      <xdr:rowOff>111751</xdr:rowOff>
    </xdr:to>
    <xdr:sp macro="" textlink="">
      <xdr:nvSpPr>
        <xdr:cNvPr id="248458" name="フリーフォーム: 図形 248457">
          <a:extLst>
            <a:ext uri="{FF2B5EF4-FFF2-40B4-BE49-F238E27FC236}">
              <a16:creationId xmlns:a16="http://schemas.microsoft.com/office/drawing/2014/main" id="{481EF1A2-4925-4E31-8308-B107A6AA2C12}"/>
            </a:ext>
          </a:extLst>
        </xdr:cNvPr>
        <xdr:cNvSpPr>
          <a:spLocks noChangeAspect="1"/>
        </xdr:cNvSpPr>
      </xdr:nvSpPr>
      <xdr:spPr>
        <a:xfrm>
          <a:off x="296568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671401</xdr:colOff>
      <xdr:row>122</xdr:row>
      <xdr:rowOff>139199</xdr:rowOff>
    </xdr:from>
    <xdr:to>
      <xdr:col>44</xdr:col>
      <xdr:colOff>435602</xdr:colOff>
      <xdr:row>123</xdr:row>
      <xdr:rowOff>111751</xdr:rowOff>
    </xdr:to>
    <xdr:sp macro="" textlink="">
      <xdr:nvSpPr>
        <xdr:cNvPr id="248459" name="フリーフォーム: 図形 248458">
          <a:extLst>
            <a:ext uri="{FF2B5EF4-FFF2-40B4-BE49-F238E27FC236}">
              <a16:creationId xmlns:a16="http://schemas.microsoft.com/office/drawing/2014/main" id="{BE63F149-15E8-4796-B841-E60B018B0CBA}"/>
            </a:ext>
          </a:extLst>
        </xdr:cNvPr>
        <xdr:cNvSpPr>
          <a:spLocks noChangeAspect="1"/>
        </xdr:cNvSpPr>
      </xdr:nvSpPr>
      <xdr:spPr>
        <a:xfrm>
          <a:off x="301608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365401</xdr:colOff>
      <xdr:row>118</xdr:row>
      <xdr:rowOff>51000</xdr:rowOff>
    </xdr:from>
    <xdr:to>
      <xdr:col>43</xdr:col>
      <xdr:colOff>635401</xdr:colOff>
      <xdr:row>123</xdr:row>
      <xdr:rowOff>3751</xdr:rowOff>
    </xdr:to>
    <xdr:sp macro="" textlink="">
      <xdr:nvSpPr>
        <xdr:cNvPr id="248460" name="フリーフォーム: 図形 248459">
          <a:extLst>
            <a:ext uri="{FF2B5EF4-FFF2-40B4-BE49-F238E27FC236}">
              <a16:creationId xmlns:a16="http://schemas.microsoft.com/office/drawing/2014/main" id="{000590D1-D8CE-47CD-B640-DC7A3013A195}"/>
            </a:ext>
          </a:extLst>
        </xdr:cNvPr>
        <xdr:cNvSpPr>
          <a:spLocks noChangeAspect="1"/>
        </xdr:cNvSpPr>
      </xdr:nvSpPr>
      <xdr:spPr>
        <a:xfrm>
          <a:off x="298548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635400</xdr:colOff>
      <xdr:row>117</xdr:row>
      <xdr:rowOff>114450</xdr:rowOff>
    </xdr:from>
    <xdr:to>
      <xdr:col>44</xdr:col>
      <xdr:colOff>201601</xdr:colOff>
      <xdr:row>122</xdr:row>
      <xdr:rowOff>157201</xdr:rowOff>
    </xdr:to>
    <xdr:sp macro="" textlink="">
      <xdr:nvSpPr>
        <xdr:cNvPr id="248461" name="フリーフォーム: 図形 248460">
          <a:extLst>
            <a:ext uri="{FF2B5EF4-FFF2-40B4-BE49-F238E27FC236}">
              <a16:creationId xmlns:a16="http://schemas.microsoft.com/office/drawing/2014/main" id="{3FF7A536-11BF-4C4C-AA13-7709AE154C93}"/>
            </a:ext>
          </a:extLst>
        </xdr:cNvPr>
        <xdr:cNvSpPr>
          <a:spLocks noChangeAspect="1"/>
        </xdr:cNvSpPr>
      </xdr:nvSpPr>
      <xdr:spPr>
        <a:xfrm>
          <a:off x="301248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44</xdr:col>
      <xdr:colOff>3600</xdr:colOff>
      <xdr:row>118</xdr:row>
      <xdr:rowOff>69000</xdr:rowOff>
    </xdr:from>
    <xdr:to>
      <xdr:col>44</xdr:col>
      <xdr:colOff>525600</xdr:colOff>
      <xdr:row>123</xdr:row>
      <xdr:rowOff>3751</xdr:rowOff>
    </xdr:to>
    <xdr:sp macro="" textlink="">
      <xdr:nvSpPr>
        <xdr:cNvPr id="248462" name="フリーフォーム: 図形 248461">
          <a:extLst>
            <a:ext uri="{FF2B5EF4-FFF2-40B4-BE49-F238E27FC236}">
              <a16:creationId xmlns:a16="http://schemas.microsoft.com/office/drawing/2014/main" id="{08677242-9DC0-43B4-B9F5-BFB9B6E99441}"/>
            </a:ext>
          </a:extLst>
        </xdr:cNvPr>
        <xdr:cNvSpPr>
          <a:spLocks noChangeAspect="1"/>
        </xdr:cNvSpPr>
      </xdr:nvSpPr>
      <xdr:spPr>
        <a:xfrm>
          <a:off x="301788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653399</xdr:colOff>
      <xdr:row>123</xdr:row>
      <xdr:rowOff>75750</xdr:rowOff>
    </xdr:from>
    <xdr:to>
      <xdr:col>44</xdr:col>
      <xdr:colOff>237602</xdr:colOff>
      <xdr:row>127</xdr:row>
      <xdr:rowOff>163951</xdr:rowOff>
    </xdr:to>
    <xdr:sp macro="" textlink="">
      <xdr:nvSpPr>
        <xdr:cNvPr id="248463" name="フリーフォーム: 図形 248462">
          <a:extLst>
            <a:ext uri="{FF2B5EF4-FFF2-40B4-BE49-F238E27FC236}">
              <a16:creationId xmlns:a16="http://schemas.microsoft.com/office/drawing/2014/main" id="{0A252D03-B0CD-4CE7-892A-A78F00EDB72E}"/>
            </a:ext>
          </a:extLst>
        </xdr:cNvPr>
        <xdr:cNvSpPr>
          <a:spLocks noChangeAspect="1"/>
        </xdr:cNvSpPr>
      </xdr:nvSpPr>
      <xdr:spPr>
        <a:xfrm>
          <a:off x="301427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419401</xdr:colOff>
      <xdr:row>123</xdr:row>
      <xdr:rowOff>93749</xdr:rowOff>
    </xdr:from>
    <xdr:to>
      <xdr:col>43</xdr:col>
      <xdr:colOff>653400</xdr:colOff>
      <xdr:row>128</xdr:row>
      <xdr:rowOff>118501</xdr:rowOff>
    </xdr:to>
    <xdr:sp macro="" textlink="">
      <xdr:nvSpPr>
        <xdr:cNvPr id="248464" name="フリーフォーム: 図形 248463">
          <a:extLst>
            <a:ext uri="{FF2B5EF4-FFF2-40B4-BE49-F238E27FC236}">
              <a16:creationId xmlns:a16="http://schemas.microsoft.com/office/drawing/2014/main" id="{FEB7B702-B907-41EA-ACDB-18944FC035AD}"/>
            </a:ext>
          </a:extLst>
        </xdr:cNvPr>
        <xdr:cNvSpPr>
          <a:spLocks noChangeAspect="1"/>
        </xdr:cNvSpPr>
      </xdr:nvSpPr>
      <xdr:spPr>
        <a:xfrm>
          <a:off x="299088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43</xdr:col>
      <xdr:colOff>95399</xdr:colOff>
      <xdr:row>123</xdr:row>
      <xdr:rowOff>75750</xdr:rowOff>
    </xdr:from>
    <xdr:to>
      <xdr:col>43</xdr:col>
      <xdr:colOff>617402</xdr:colOff>
      <xdr:row>128</xdr:row>
      <xdr:rowOff>10501</xdr:rowOff>
    </xdr:to>
    <xdr:sp macro="" textlink="">
      <xdr:nvSpPr>
        <xdr:cNvPr id="248465" name="フリーフォーム: 図形 248464">
          <a:extLst>
            <a:ext uri="{FF2B5EF4-FFF2-40B4-BE49-F238E27FC236}">
              <a16:creationId xmlns:a16="http://schemas.microsoft.com/office/drawing/2014/main" id="{C4283841-B1D4-404F-A828-495DBE419E62}"/>
            </a:ext>
          </a:extLst>
        </xdr:cNvPr>
        <xdr:cNvSpPr>
          <a:spLocks noChangeAspect="1"/>
        </xdr:cNvSpPr>
      </xdr:nvSpPr>
      <xdr:spPr>
        <a:xfrm>
          <a:off x="295847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82801</xdr:colOff>
      <xdr:row>117</xdr:row>
      <xdr:rowOff>42450</xdr:rowOff>
    </xdr:from>
    <xdr:to>
      <xdr:col>46</xdr:col>
      <xdr:colOff>550801</xdr:colOff>
      <xdr:row>118</xdr:row>
      <xdr:rowOff>15002</xdr:rowOff>
    </xdr:to>
    <xdr:sp macro="" textlink="">
      <xdr:nvSpPr>
        <xdr:cNvPr id="248466" name="フリーフォーム: 図形 248465">
          <a:extLst>
            <a:ext uri="{FF2B5EF4-FFF2-40B4-BE49-F238E27FC236}">
              <a16:creationId xmlns:a16="http://schemas.microsoft.com/office/drawing/2014/main" id="{38164020-8BC3-4337-AD0F-6A271058ADF2}"/>
            </a:ext>
          </a:extLst>
        </xdr:cNvPr>
        <xdr:cNvSpPr>
          <a:spLocks noChangeAspect="1"/>
        </xdr:cNvSpPr>
      </xdr:nvSpPr>
      <xdr:spPr>
        <a:xfrm>
          <a:off x="316296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622799</xdr:colOff>
      <xdr:row>117</xdr:row>
      <xdr:rowOff>42450</xdr:rowOff>
    </xdr:from>
    <xdr:to>
      <xdr:col>47</xdr:col>
      <xdr:colOff>405000</xdr:colOff>
      <xdr:row>118</xdr:row>
      <xdr:rowOff>15002</xdr:rowOff>
    </xdr:to>
    <xdr:sp macro="" textlink="">
      <xdr:nvSpPr>
        <xdr:cNvPr id="248467" name="フリーフォーム: 図形 248466">
          <a:extLst>
            <a:ext uri="{FF2B5EF4-FFF2-40B4-BE49-F238E27FC236}">
              <a16:creationId xmlns:a16="http://schemas.microsoft.com/office/drawing/2014/main" id="{66C34AB5-8F39-46C1-B024-4F6D42F4006A}"/>
            </a:ext>
          </a:extLst>
        </xdr:cNvPr>
        <xdr:cNvSpPr>
          <a:spLocks noChangeAspect="1"/>
        </xdr:cNvSpPr>
      </xdr:nvSpPr>
      <xdr:spPr>
        <a:xfrm>
          <a:off x="321695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188999</xdr:colOff>
      <xdr:row>117</xdr:row>
      <xdr:rowOff>114450</xdr:rowOff>
    </xdr:from>
    <xdr:to>
      <xdr:col>47</xdr:col>
      <xdr:colOff>477001</xdr:colOff>
      <xdr:row>123</xdr:row>
      <xdr:rowOff>21752</xdr:rowOff>
    </xdr:to>
    <xdr:sp macro="" textlink="">
      <xdr:nvSpPr>
        <xdr:cNvPr id="248468" name="フリーフォーム: 図形 248467">
          <a:extLst>
            <a:ext uri="{FF2B5EF4-FFF2-40B4-BE49-F238E27FC236}">
              <a16:creationId xmlns:a16="http://schemas.microsoft.com/office/drawing/2014/main" id="{5C25A3B0-9031-4895-AFE0-D91DA21D1AA5}"/>
            </a:ext>
          </a:extLst>
        </xdr:cNvPr>
        <xdr:cNvSpPr>
          <a:spLocks noChangeAspect="1"/>
        </xdr:cNvSpPr>
      </xdr:nvSpPr>
      <xdr:spPr>
        <a:xfrm>
          <a:off x="324215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47</xdr:col>
      <xdr:colOff>9001</xdr:colOff>
      <xdr:row>123</xdr:row>
      <xdr:rowOff>75750</xdr:rowOff>
    </xdr:from>
    <xdr:to>
      <xdr:col>47</xdr:col>
      <xdr:colOff>297000</xdr:colOff>
      <xdr:row>128</xdr:row>
      <xdr:rowOff>136501</xdr:rowOff>
    </xdr:to>
    <xdr:sp macro="" textlink="">
      <xdr:nvSpPr>
        <xdr:cNvPr id="248469" name="フリーフォーム: 図形 248468">
          <a:extLst>
            <a:ext uri="{FF2B5EF4-FFF2-40B4-BE49-F238E27FC236}">
              <a16:creationId xmlns:a16="http://schemas.microsoft.com/office/drawing/2014/main" id="{986F370A-B14D-4225-9A99-0AB8C8B9E971}"/>
            </a:ext>
          </a:extLst>
        </xdr:cNvPr>
        <xdr:cNvSpPr>
          <a:spLocks noChangeAspect="1"/>
        </xdr:cNvSpPr>
      </xdr:nvSpPr>
      <xdr:spPr>
        <a:xfrm>
          <a:off x="322416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426600</xdr:colOff>
      <xdr:row>128</xdr:row>
      <xdr:rowOff>64500</xdr:rowOff>
    </xdr:from>
    <xdr:to>
      <xdr:col>46</xdr:col>
      <xdr:colOff>226800</xdr:colOff>
      <xdr:row>129</xdr:row>
      <xdr:rowOff>37051</xdr:rowOff>
    </xdr:to>
    <xdr:sp macro="" textlink="">
      <xdr:nvSpPr>
        <xdr:cNvPr id="248470" name="フリーフォーム: 図形 248469">
          <a:extLst>
            <a:ext uri="{FF2B5EF4-FFF2-40B4-BE49-F238E27FC236}">
              <a16:creationId xmlns:a16="http://schemas.microsoft.com/office/drawing/2014/main" id="{4C844397-777C-44B0-B33A-D49D0C441B6C}"/>
            </a:ext>
          </a:extLst>
        </xdr:cNvPr>
        <xdr:cNvSpPr>
          <a:spLocks noChangeAspect="1"/>
        </xdr:cNvSpPr>
      </xdr:nvSpPr>
      <xdr:spPr>
        <a:xfrm>
          <a:off x="312876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262799</xdr:colOff>
      <xdr:row>128</xdr:row>
      <xdr:rowOff>64500</xdr:rowOff>
    </xdr:from>
    <xdr:to>
      <xdr:col>47</xdr:col>
      <xdr:colOff>45000</xdr:colOff>
      <xdr:row>129</xdr:row>
      <xdr:rowOff>37051</xdr:rowOff>
    </xdr:to>
    <xdr:sp macro="" textlink="">
      <xdr:nvSpPr>
        <xdr:cNvPr id="248471" name="フリーフォーム: 図形 248470">
          <a:extLst>
            <a:ext uri="{FF2B5EF4-FFF2-40B4-BE49-F238E27FC236}">
              <a16:creationId xmlns:a16="http://schemas.microsoft.com/office/drawing/2014/main" id="{3395F3AA-10E1-45CF-AE21-B4567DABAAEC}"/>
            </a:ext>
          </a:extLst>
        </xdr:cNvPr>
        <xdr:cNvSpPr>
          <a:spLocks noChangeAspect="1"/>
        </xdr:cNvSpPr>
      </xdr:nvSpPr>
      <xdr:spPr>
        <a:xfrm>
          <a:off x="318095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372601</xdr:colOff>
      <xdr:row>123</xdr:row>
      <xdr:rowOff>75750</xdr:rowOff>
    </xdr:from>
    <xdr:to>
      <xdr:col>45</xdr:col>
      <xdr:colOff>660603</xdr:colOff>
      <xdr:row>128</xdr:row>
      <xdr:rowOff>136501</xdr:rowOff>
    </xdr:to>
    <xdr:sp macro="" textlink="">
      <xdr:nvSpPr>
        <xdr:cNvPr id="248472" name="フリーフォーム: 図形 248471">
          <a:extLst>
            <a:ext uri="{FF2B5EF4-FFF2-40B4-BE49-F238E27FC236}">
              <a16:creationId xmlns:a16="http://schemas.microsoft.com/office/drawing/2014/main" id="{44115A07-0270-4E3C-A0B1-67BDA91FBB28}"/>
            </a:ext>
          </a:extLst>
        </xdr:cNvPr>
        <xdr:cNvSpPr>
          <a:spLocks noChangeAspect="1"/>
        </xdr:cNvSpPr>
      </xdr:nvSpPr>
      <xdr:spPr>
        <a:xfrm>
          <a:off x="312336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117</xdr:row>
      <xdr:rowOff>114450</xdr:rowOff>
    </xdr:from>
    <xdr:to>
      <xdr:col>46</xdr:col>
      <xdr:colOff>118800</xdr:colOff>
      <xdr:row>123</xdr:row>
      <xdr:rowOff>21752</xdr:rowOff>
    </xdr:to>
    <xdr:sp macro="" textlink="">
      <xdr:nvSpPr>
        <xdr:cNvPr id="248473" name="フリーフォーム: 図形 248472">
          <a:extLst>
            <a:ext uri="{FF2B5EF4-FFF2-40B4-BE49-F238E27FC236}">
              <a16:creationId xmlns:a16="http://schemas.microsoft.com/office/drawing/2014/main" id="{1B5CFCF0-28B0-4BAE-954E-6C04B33D95FF}"/>
            </a:ext>
          </a:extLst>
        </xdr:cNvPr>
        <xdr:cNvSpPr>
          <a:spLocks noChangeAspect="1"/>
        </xdr:cNvSpPr>
      </xdr:nvSpPr>
      <xdr:spPr>
        <a:xfrm>
          <a:off x="314135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624601</xdr:colOff>
      <xdr:row>122</xdr:row>
      <xdr:rowOff>139199</xdr:rowOff>
    </xdr:from>
    <xdr:to>
      <xdr:col>46</xdr:col>
      <xdr:colOff>388802</xdr:colOff>
      <xdr:row>123</xdr:row>
      <xdr:rowOff>111751</xdr:rowOff>
    </xdr:to>
    <xdr:sp macro="" textlink="">
      <xdr:nvSpPr>
        <xdr:cNvPr id="248474" name="フリーフォーム: 図形 248473">
          <a:extLst>
            <a:ext uri="{FF2B5EF4-FFF2-40B4-BE49-F238E27FC236}">
              <a16:creationId xmlns:a16="http://schemas.microsoft.com/office/drawing/2014/main" id="{1EB1BA4E-86B0-4E14-8F5E-C7F3E6C1C68C}"/>
            </a:ext>
          </a:extLst>
        </xdr:cNvPr>
        <xdr:cNvSpPr>
          <a:spLocks noChangeAspect="1"/>
        </xdr:cNvSpPr>
      </xdr:nvSpPr>
      <xdr:spPr>
        <a:xfrm>
          <a:off x="314856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442801</xdr:colOff>
      <xdr:row>122</xdr:row>
      <xdr:rowOff>139199</xdr:rowOff>
    </xdr:from>
    <xdr:to>
      <xdr:col>47</xdr:col>
      <xdr:colOff>207002</xdr:colOff>
      <xdr:row>123</xdr:row>
      <xdr:rowOff>111751</xdr:rowOff>
    </xdr:to>
    <xdr:sp macro="" textlink="">
      <xdr:nvSpPr>
        <xdr:cNvPr id="248475" name="フリーフォーム: 図形 248474">
          <a:extLst>
            <a:ext uri="{FF2B5EF4-FFF2-40B4-BE49-F238E27FC236}">
              <a16:creationId xmlns:a16="http://schemas.microsoft.com/office/drawing/2014/main" id="{D3B13E89-41BB-4D64-88E8-6B66BAB217A5}"/>
            </a:ext>
          </a:extLst>
        </xdr:cNvPr>
        <xdr:cNvSpPr>
          <a:spLocks noChangeAspect="1"/>
        </xdr:cNvSpPr>
      </xdr:nvSpPr>
      <xdr:spPr>
        <a:xfrm>
          <a:off x="319896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136801</xdr:colOff>
      <xdr:row>118</xdr:row>
      <xdr:rowOff>51000</xdr:rowOff>
    </xdr:from>
    <xdr:to>
      <xdr:col>46</xdr:col>
      <xdr:colOff>406801</xdr:colOff>
      <xdr:row>123</xdr:row>
      <xdr:rowOff>3751</xdr:rowOff>
    </xdr:to>
    <xdr:sp macro="" textlink="">
      <xdr:nvSpPr>
        <xdr:cNvPr id="248476" name="フリーフォーム: 図形 248475">
          <a:extLst>
            <a:ext uri="{FF2B5EF4-FFF2-40B4-BE49-F238E27FC236}">
              <a16:creationId xmlns:a16="http://schemas.microsoft.com/office/drawing/2014/main" id="{C9AF579E-3BF4-4B7D-8026-4A0D57ED2F11}"/>
            </a:ext>
          </a:extLst>
        </xdr:cNvPr>
        <xdr:cNvSpPr>
          <a:spLocks noChangeAspect="1"/>
        </xdr:cNvSpPr>
      </xdr:nvSpPr>
      <xdr:spPr>
        <a:xfrm>
          <a:off x="316836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406800</xdr:colOff>
      <xdr:row>117</xdr:row>
      <xdr:rowOff>114450</xdr:rowOff>
    </xdr:from>
    <xdr:to>
      <xdr:col>46</xdr:col>
      <xdr:colOff>658801</xdr:colOff>
      <xdr:row>122</xdr:row>
      <xdr:rowOff>157201</xdr:rowOff>
    </xdr:to>
    <xdr:sp macro="" textlink="">
      <xdr:nvSpPr>
        <xdr:cNvPr id="248477" name="フリーフォーム: 図形 248476">
          <a:extLst>
            <a:ext uri="{FF2B5EF4-FFF2-40B4-BE49-F238E27FC236}">
              <a16:creationId xmlns:a16="http://schemas.microsoft.com/office/drawing/2014/main" id="{0F9844B4-DADC-4DEB-92EA-2BA068D4F802}"/>
            </a:ext>
          </a:extLst>
        </xdr:cNvPr>
        <xdr:cNvSpPr>
          <a:spLocks noChangeAspect="1"/>
        </xdr:cNvSpPr>
      </xdr:nvSpPr>
      <xdr:spPr>
        <a:xfrm>
          <a:off x="319536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460800</xdr:colOff>
      <xdr:row>118</xdr:row>
      <xdr:rowOff>69000</xdr:rowOff>
    </xdr:from>
    <xdr:to>
      <xdr:col>47</xdr:col>
      <xdr:colOff>297000</xdr:colOff>
      <xdr:row>123</xdr:row>
      <xdr:rowOff>3751</xdr:rowOff>
    </xdr:to>
    <xdr:sp macro="" textlink="">
      <xdr:nvSpPr>
        <xdr:cNvPr id="248478" name="フリーフォーム: 図形 248477">
          <a:extLst>
            <a:ext uri="{FF2B5EF4-FFF2-40B4-BE49-F238E27FC236}">
              <a16:creationId xmlns:a16="http://schemas.microsoft.com/office/drawing/2014/main" id="{BF405652-6415-4129-A47A-B63497D71F00}"/>
            </a:ext>
          </a:extLst>
        </xdr:cNvPr>
        <xdr:cNvSpPr>
          <a:spLocks noChangeAspect="1"/>
        </xdr:cNvSpPr>
      </xdr:nvSpPr>
      <xdr:spPr>
        <a:xfrm>
          <a:off x="320076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424799</xdr:colOff>
      <xdr:row>123</xdr:row>
      <xdr:rowOff>75750</xdr:rowOff>
    </xdr:from>
    <xdr:to>
      <xdr:col>47</xdr:col>
      <xdr:colOff>9002</xdr:colOff>
      <xdr:row>127</xdr:row>
      <xdr:rowOff>163951</xdr:rowOff>
    </xdr:to>
    <xdr:sp macro="" textlink="">
      <xdr:nvSpPr>
        <xdr:cNvPr id="248479" name="フリーフォーム: 図形 248478">
          <a:extLst>
            <a:ext uri="{FF2B5EF4-FFF2-40B4-BE49-F238E27FC236}">
              <a16:creationId xmlns:a16="http://schemas.microsoft.com/office/drawing/2014/main" id="{46FC3877-3491-429A-A151-CED0AF6B6E39}"/>
            </a:ext>
          </a:extLst>
        </xdr:cNvPr>
        <xdr:cNvSpPr>
          <a:spLocks noChangeAspect="1"/>
        </xdr:cNvSpPr>
      </xdr:nvSpPr>
      <xdr:spPr>
        <a:xfrm>
          <a:off x="319715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46</xdr:col>
      <xdr:colOff>190801</xdr:colOff>
      <xdr:row>123</xdr:row>
      <xdr:rowOff>93749</xdr:rowOff>
    </xdr:from>
    <xdr:to>
      <xdr:col>46</xdr:col>
      <xdr:colOff>424800</xdr:colOff>
      <xdr:row>128</xdr:row>
      <xdr:rowOff>118501</xdr:rowOff>
    </xdr:to>
    <xdr:sp macro="" textlink="">
      <xdr:nvSpPr>
        <xdr:cNvPr id="248480" name="フリーフォーム: 図形 248479">
          <a:extLst>
            <a:ext uri="{FF2B5EF4-FFF2-40B4-BE49-F238E27FC236}">
              <a16:creationId xmlns:a16="http://schemas.microsoft.com/office/drawing/2014/main" id="{E26CE72F-745D-4574-8F14-CE551823DB2C}"/>
            </a:ext>
          </a:extLst>
        </xdr:cNvPr>
        <xdr:cNvSpPr>
          <a:spLocks noChangeAspect="1"/>
        </xdr:cNvSpPr>
      </xdr:nvSpPr>
      <xdr:spPr>
        <a:xfrm>
          <a:off x="317376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45</xdr:col>
      <xdr:colOff>552599</xdr:colOff>
      <xdr:row>123</xdr:row>
      <xdr:rowOff>75750</xdr:rowOff>
    </xdr:from>
    <xdr:to>
      <xdr:col>46</xdr:col>
      <xdr:colOff>388802</xdr:colOff>
      <xdr:row>128</xdr:row>
      <xdr:rowOff>10501</xdr:rowOff>
    </xdr:to>
    <xdr:sp macro="" textlink="">
      <xdr:nvSpPr>
        <xdr:cNvPr id="248481" name="フリーフォーム: 図形 248480">
          <a:extLst>
            <a:ext uri="{FF2B5EF4-FFF2-40B4-BE49-F238E27FC236}">
              <a16:creationId xmlns:a16="http://schemas.microsoft.com/office/drawing/2014/main" id="{41FFE96B-937E-4CBB-B7E9-E65E7BA00843}"/>
            </a:ext>
          </a:extLst>
        </xdr:cNvPr>
        <xdr:cNvSpPr>
          <a:spLocks noChangeAspect="1"/>
        </xdr:cNvSpPr>
      </xdr:nvSpPr>
      <xdr:spPr>
        <a:xfrm>
          <a:off x="314135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540001</xdr:colOff>
      <xdr:row>117</xdr:row>
      <xdr:rowOff>42450</xdr:rowOff>
    </xdr:from>
    <xdr:to>
      <xdr:col>49</xdr:col>
      <xdr:colOff>322201</xdr:colOff>
      <xdr:row>118</xdr:row>
      <xdr:rowOff>15002</xdr:rowOff>
    </xdr:to>
    <xdr:sp macro="" textlink="">
      <xdr:nvSpPr>
        <xdr:cNvPr id="248482" name="フリーフォーム: 図形 248481">
          <a:extLst>
            <a:ext uri="{FF2B5EF4-FFF2-40B4-BE49-F238E27FC236}">
              <a16:creationId xmlns:a16="http://schemas.microsoft.com/office/drawing/2014/main" id="{144A3CF5-6AFB-4D4E-88CE-D87D7767D47E}"/>
            </a:ext>
          </a:extLst>
        </xdr:cNvPr>
        <xdr:cNvSpPr>
          <a:spLocks noChangeAspect="1"/>
        </xdr:cNvSpPr>
      </xdr:nvSpPr>
      <xdr:spPr>
        <a:xfrm>
          <a:off x="334584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394199</xdr:colOff>
      <xdr:row>117</xdr:row>
      <xdr:rowOff>42450</xdr:rowOff>
    </xdr:from>
    <xdr:to>
      <xdr:col>50</xdr:col>
      <xdr:colOff>176400</xdr:colOff>
      <xdr:row>118</xdr:row>
      <xdr:rowOff>15002</xdr:rowOff>
    </xdr:to>
    <xdr:sp macro="" textlink="">
      <xdr:nvSpPr>
        <xdr:cNvPr id="248483" name="フリーフォーム: 図形 248482">
          <a:extLst>
            <a:ext uri="{FF2B5EF4-FFF2-40B4-BE49-F238E27FC236}">
              <a16:creationId xmlns:a16="http://schemas.microsoft.com/office/drawing/2014/main" id="{4AE9EB4E-CDD8-4B74-9007-A33ED69272C5}"/>
            </a:ext>
          </a:extLst>
        </xdr:cNvPr>
        <xdr:cNvSpPr>
          <a:spLocks noChangeAspect="1"/>
        </xdr:cNvSpPr>
      </xdr:nvSpPr>
      <xdr:spPr>
        <a:xfrm>
          <a:off x="339983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646199</xdr:colOff>
      <xdr:row>117</xdr:row>
      <xdr:rowOff>114450</xdr:rowOff>
    </xdr:from>
    <xdr:to>
      <xdr:col>50</xdr:col>
      <xdr:colOff>248401</xdr:colOff>
      <xdr:row>123</xdr:row>
      <xdr:rowOff>21752</xdr:rowOff>
    </xdr:to>
    <xdr:sp macro="" textlink="">
      <xdr:nvSpPr>
        <xdr:cNvPr id="248484" name="フリーフォーム: 図形 248483">
          <a:extLst>
            <a:ext uri="{FF2B5EF4-FFF2-40B4-BE49-F238E27FC236}">
              <a16:creationId xmlns:a16="http://schemas.microsoft.com/office/drawing/2014/main" id="{4095D329-A3F4-4E09-9AA3-CD8B10E0095A}"/>
            </a:ext>
          </a:extLst>
        </xdr:cNvPr>
        <xdr:cNvSpPr>
          <a:spLocks noChangeAspect="1"/>
        </xdr:cNvSpPr>
      </xdr:nvSpPr>
      <xdr:spPr>
        <a:xfrm>
          <a:off x="342503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466201</xdr:colOff>
      <xdr:row>123</xdr:row>
      <xdr:rowOff>75750</xdr:rowOff>
    </xdr:from>
    <xdr:to>
      <xdr:col>50</xdr:col>
      <xdr:colOff>68400</xdr:colOff>
      <xdr:row>128</xdr:row>
      <xdr:rowOff>136501</xdr:rowOff>
    </xdr:to>
    <xdr:sp macro="" textlink="">
      <xdr:nvSpPr>
        <xdr:cNvPr id="248485" name="フリーフォーム: 図形 248484">
          <a:extLst>
            <a:ext uri="{FF2B5EF4-FFF2-40B4-BE49-F238E27FC236}">
              <a16:creationId xmlns:a16="http://schemas.microsoft.com/office/drawing/2014/main" id="{67CF8A66-8AA7-4314-A6A9-15E4B6C0032E}"/>
            </a:ext>
          </a:extLst>
        </xdr:cNvPr>
        <xdr:cNvSpPr>
          <a:spLocks noChangeAspect="1"/>
        </xdr:cNvSpPr>
      </xdr:nvSpPr>
      <xdr:spPr>
        <a:xfrm>
          <a:off x="340704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198000</xdr:colOff>
      <xdr:row>128</xdr:row>
      <xdr:rowOff>64500</xdr:rowOff>
    </xdr:from>
    <xdr:to>
      <xdr:col>48</xdr:col>
      <xdr:colOff>684000</xdr:colOff>
      <xdr:row>129</xdr:row>
      <xdr:rowOff>37051</xdr:rowOff>
    </xdr:to>
    <xdr:sp macro="" textlink="">
      <xdr:nvSpPr>
        <xdr:cNvPr id="248486" name="フリーフォーム: 図形 248485">
          <a:extLst>
            <a:ext uri="{FF2B5EF4-FFF2-40B4-BE49-F238E27FC236}">
              <a16:creationId xmlns:a16="http://schemas.microsoft.com/office/drawing/2014/main" id="{70D94A4D-9086-4EB9-840C-48A6C34029C0}"/>
            </a:ext>
          </a:extLst>
        </xdr:cNvPr>
        <xdr:cNvSpPr>
          <a:spLocks noChangeAspect="1"/>
        </xdr:cNvSpPr>
      </xdr:nvSpPr>
      <xdr:spPr>
        <a:xfrm>
          <a:off x="331164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34199</xdr:colOff>
      <xdr:row>128</xdr:row>
      <xdr:rowOff>64500</xdr:rowOff>
    </xdr:from>
    <xdr:to>
      <xdr:col>49</xdr:col>
      <xdr:colOff>502200</xdr:colOff>
      <xdr:row>129</xdr:row>
      <xdr:rowOff>37051</xdr:rowOff>
    </xdr:to>
    <xdr:sp macro="" textlink="">
      <xdr:nvSpPr>
        <xdr:cNvPr id="248487" name="フリーフォーム: 図形 248486">
          <a:extLst>
            <a:ext uri="{FF2B5EF4-FFF2-40B4-BE49-F238E27FC236}">
              <a16:creationId xmlns:a16="http://schemas.microsoft.com/office/drawing/2014/main" id="{58E248A4-E11A-4421-841E-9AF7D2D8C41C}"/>
            </a:ext>
          </a:extLst>
        </xdr:cNvPr>
        <xdr:cNvSpPr>
          <a:spLocks noChangeAspect="1"/>
        </xdr:cNvSpPr>
      </xdr:nvSpPr>
      <xdr:spPr>
        <a:xfrm>
          <a:off x="336383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144001</xdr:colOff>
      <xdr:row>123</xdr:row>
      <xdr:rowOff>75750</xdr:rowOff>
    </xdr:from>
    <xdr:to>
      <xdr:col>48</xdr:col>
      <xdr:colOff>432003</xdr:colOff>
      <xdr:row>128</xdr:row>
      <xdr:rowOff>136501</xdr:rowOff>
    </xdr:to>
    <xdr:sp macro="" textlink="">
      <xdr:nvSpPr>
        <xdr:cNvPr id="248488" name="フリーフォーム: 図形 248487">
          <a:extLst>
            <a:ext uri="{FF2B5EF4-FFF2-40B4-BE49-F238E27FC236}">
              <a16:creationId xmlns:a16="http://schemas.microsoft.com/office/drawing/2014/main" id="{81E134B7-4D1C-446F-8F35-4F5EDAAEF077}"/>
            </a:ext>
          </a:extLst>
        </xdr:cNvPr>
        <xdr:cNvSpPr>
          <a:spLocks noChangeAspect="1"/>
        </xdr:cNvSpPr>
      </xdr:nvSpPr>
      <xdr:spPr>
        <a:xfrm>
          <a:off x="330624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117</xdr:row>
      <xdr:rowOff>114450</xdr:rowOff>
    </xdr:from>
    <xdr:to>
      <xdr:col>48</xdr:col>
      <xdr:colOff>576000</xdr:colOff>
      <xdr:row>123</xdr:row>
      <xdr:rowOff>21752</xdr:rowOff>
    </xdr:to>
    <xdr:sp macro="" textlink="">
      <xdr:nvSpPr>
        <xdr:cNvPr id="248489" name="フリーフォーム: 図形 248488">
          <a:extLst>
            <a:ext uri="{FF2B5EF4-FFF2-40B4-BE49-F238E27FC236}">
              <a16:creationId xmlns:a16="http://schemas.microsoft.com/office/drawing/2014/main" id="{96F9A4F7-4C5C-4666-ABCC-8126042A0ABF}"/>
            </a:ext>
          </a:extLst>
        </xdr:cNvPr>
        <xdr:cNvSpPr>
          <a:spLocks noChangeAspect="1"/>
        </xdr:cNvSpPr>
      </xdr:nvSpPr>
      <xdr:spPr>
        <a:xfrm>
          <a:off x="332423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396001</xdr:colOff>
      <xdr:row>122</xdr:row>
      <xdr:rowOff>139199</xdr:rowOff>
    </xdr:from>
    <xdr:to>
      <xdr:col>49</xdr:col>
      <xdr:colOff>160202</xdr:colOff>
      <xdr:row>123</xdr:row>
      <xdr:rowOff>111751</xdr:rowOff>
    </xdr:to>
    <xdr:sp macro="" textlink="">
      <xdr:nvSpPr>
        <xdr:cNvPr id="248490" name="フリーフォーム: 図形 248489">
          <a:extLst>
            <a:ext uri="{FF2B5EF4-FFF2-40B4-BE49-F238E27FC236}">
              <a16:creationId xmlns:a16="http://schemas.microsoft.com/office/drawing/2014/main" id="{5EAFF63E-974A-49F3-B419-65FAC374DD4C}"/>
            </a:ext>
          </a:extLst>
        </xdr:cNvPr>
        <xdr:cNvSpPr>
          <a:spLocks noChangeAspect="1"/>
        </xdr:cNvSpPr>
      </xdr:nvSpPr>
      <xdr:spPr>
        <a:xfrm>
          <a:off x="333144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214201</xdr:colOff>
      <xdr:row>122</xdr:row>
      <xdr:rowOff>139199</xdr:rowOff>
    </xdr:from>
    <xdr:to>
      <xdr:col>49</xdr:col>
      <xdr:colOff>664202</xdr:colOff>
      <xdr:row>123</xdr:row>
      <xdr:rowOff>111751</xdr:rowOff>
    </xdr:to>
    <xdr:sp macro="" textlink="">
      <xdr:nvSpPr>
        <xdr:cNvPr id="248491" name="フリーフォーム: 図形 248490">
          <a:extLst>
            <a:ext uri="{FF2B5EF4-FFF2-40B4-BE49-F238E27FC236}">
              <a16:creationId xmlns:a16="http://schemas.microsoft.com/office/drawing/2014/main" id="{B016DDD6-8977-4D0A-8337-6D6983B3F9C9}"/>
            </a:ext>
          </a:extLst>
        </xdr:cNvPr>
        <xdr:cNvSpPr>
          <a:spLocks noChangeAspect="1"/>
        </xdr:cNvSpPr>
      </xdr:nvSpPr>
      <xdr:spPr>
        <a:xfrm>
          <a:off x="338184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594001</xdr:colOff>
      <xdr:row>118</xdr:row>
      <xdr:rowOff>51000</xdr:rowOff>
    </xdr:from>
    <xdr:to>
      <xdr:col>49</xdr:col>
      <xdr:colOff>178201</xdr:colOff>
      <xdr:row>123</xdr:row>
      <xdr:rowOff>3751</xdr:rowOff>
    </xdr:to>
    <xdr:sp macro="" textlink="">
      <xdr:nvSpPr>
        <xdr:cNvPr id="248492" name="フリーフォーム: 図形 248491">
          <a:extLst>
            <a:ext uri="{FF2B5EF4-FFF2-40B4-BE49-F238E27FC236}">
              <a16:creationId xmlns:a16="http://schemas.microsoft.com/office/drawing/2014/main" id="{0CA4E5A5-1A5D-4BB1-BD46-473CB74C1378}"/>
            </a:ext>
          </a:extLst>
        </xdr:cNvPr>
        <xdr:cNvSpPr>
          <a:spLocks noChangeAspect="1"/>
        </xdr:cNvSpPr>
      </xdr:nvSpPr>
      <xdr:spPr>
        <a:xfrm>
          <a:off x="335124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178200</xdr:colOff>
      <xdr:row>117</xdr:row>
      <xdr:rowOff>114450</xdr:rowOff>
    </xdr:from>
    <xdr:to>
      <xdr:col>49</xdr:col>
      <xdr:colOff>430201</xdr:colOff>
      <xdr:row>122</xdr:row>
      <xdr:rowOff>157201</xdr:rowOff>
    </xdr:to>
    <xdr:sp macro="" textlink="">
      <xdr:nvSpPr>
        <xdr:cNvPr id="248493" name="フリーフォーム: 図形 248492">
          <a:extLst>
            <a:ext uri="{FF2B5EF4-FFF2-40B4-BE49-F238E27FC236}">
              <a16:creationId xmlns:a16="http://schemas.microsoft.com/office/drawing/2014/main" id="{D34C7509-51C0-4F6A-A0EF-53E4BDC1E529}"/>
            </a:ext>
          </a:extLst>
        </xdr:cNvPr>
        <xdr:cNvSpPr>
          <a:spLocks noChangeAspect="1"/>
        </xdr:cNvSpPr>
      </xdr:nvSpPr>
      <xdr:spPr>
        <a:xfrm>
          <a:off x="337824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232200</xdr:colOff>
      <xdr:row>118</xdr:row>
      <xdr:rowOff>69000</xdr:rowOff>
    </xdr:from>
    <xdr:to>
      <xdr:col>50</xdr:col>
      <xdr:colOff>68400</xdr:colOff>
      <xdr:row>123</xdr:row>
      <xdr:rowOff>3751</xdr:rowOff>
    </xdr:to>
    <xdr:sp macro="" textlink="">
      <xdr:nvSpPr>
        <xdr:cNvPr id="248494" name="フリーフォーム: 図形 248493">
          <a:extLst>
            <a:ext uri="{FF2B5EF4-FFF2-40B4-BE49-F238E27FC236}">
              <a16:creationId xmlns:a16="http://schemas.microsoft.com/office/drawing/2014/main" id="{C3B8F16C-C2B8-429A-826E-C9401C7AF82D}"/>
            </a:ext>
          </a:extLst>
        </xdr:cNvPr>
        <xdr:cNvSpPr>
          <a:spLocks noChangeAspect="1"/>
        </xdr:cNvSpPr>
      </xdr:nvSpPr>
      <xdr:spPr>
        <a:xfrm>
          <a:off x="338364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49</xdr:col>
      <xdr:colOff>196199</xdr:colOff>
      <xdr:row>123</xdr:row>
      <xdr:rowOff>75750</xdr:rowOff>
    </xdr:from>
    <xdr:to>
      <xdr:col>49</xdr:col>
      <xdr:colOff>466202</xdr:colOff>
      <xdr:row>127</xdr:row>
      <xdr:rowOff>163951</xdr:rowOff>
    </xdr:to>
    <xdr:sp macro="" textlink="">
      <xdr:nvSpPr>
        <xdr:cNvPr id="248495" name="フリーフォーム: 図形 248494">
          <a:extLst>
            <a:ext uri="{FF2B5EF4-FFF2-40B4-BE49-F238E27FC236}">
              <a16:creationId xmlns:a16="http://schemas.microsoft.com/office/drawing/2014/main" id="{858AEBBE-6F9D-493B-8857-88933969D81E}"/>
            </a:ext>
          </a:extLst>
        </xdr:cNvPr>
        <xdr:cNvSpPr>
          <a:spLocks noChangeAspect="1"/>
        </xdr:cNvSpPr>
      </xdr:nvSpPr>
      <xdr:spPr>
        <a:xfrm>
          <a:off x="338003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648001</xdr:colOff>
      <xdr:row>123</xdr:row>
      <xdr:rowOff>93749</xdr:rowOff>
    </xdr:from>
    <xdr:to>
      <xdr:col>49</xdr:col>
      <xdr:colOff>196200</xdr:colOff>
      <xdr:row>128</xdr:row>
      <xdr:rowOff>118501</xdr:rowOff>
    </xdr:to>
    <xdr:sp macro="" textlink="">
      <xdr:nvSpPr>
        <xdr:cNvPr id="248496" name="フリーフォーム: 図形 248495">
          <a:extLst>
            <a:ext uri="{FF2B5EF4-FFF2-40B4-BE49-F238E27FC236}">
              <a16:creationId xmlns:a16="http://schemas.microsoft.com/office/drawing/2014/main" id="{06E2AC27-AFC6-4315-810A-F261C5CB05A6}"/>
            </a:ext>
          </a:extLst>
        </xdr:cNvPr>
        <xdr:cNvSpPr>
          <a:spLocks noChangeAspect="1"/>
        </xdr:cNvSpPr>
      </xdr:nvSpPr>
      <xdr:spPr>
        <a:xfrm>
          <a:off x="335664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48</xdr:col>
      <xdr:colOff>323999</xdr:colOff>
      <xdr:row>123</xdr:row>
      <xdr:rowOff>75750</xdr:rowOff>
    </xdr:from>
    <xdr:to>
      <xdr:col>49</xdr:col>
      <xdr:colOff>160202</xdr:colOff>
      <xdr:row>128</xdr:row>
      <xdr:rowOff>10501</xdr:rowOff>
    </xdr:to>
    <xdr:sp macro="" textlink="">
      <xdr:nvSpPr>
        <xdr:cNvPr id="248497" name="フリーフォーム: 図形 248496">
          <a:extLst>
            <a:ext uri="{FF2B5EF4-FFF2-40B4-BE49-F238E27FC236}">
              <a16:creationId xmlns:a16="http://schemas.microsoft.com/office/drawing/2014/main" id="{017FF906-8501-4549-B786-61F420AED348}"/>
            </a:ext>
          </a:extLst>
        </xdr:cNvPr>
        <xdr:cNvSpPr>
          <a:spLocks noChangeAspect="1"/>
        </xdr:cNvSpPr>
      </xdr:nvSpPr>
      <xdr:spPr>
        <a:xfrm>
          <a:off x="332423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311401</xdr:colOff>
      <xdr:row>117</xdr:row>
      <xdr:rowOff>42450</xdr:rowOff>
    </xdr:from>
    <xdr:to>
      <xdr:col>52</xdr:col>
      <xdr:colOff>93601</xdr:colOff>
      <xdr:row>118</xdr:row>
      <xdr:rowOff>15002</xdr:rowOff>
    </xdr:to>
    <xdr:sp macro="" textlink="">
      <xdr:nvSpPr>
        <xdr:cNvPr id="248498" name="フリーフォーム: 図形 248497">
          <a:extLst>
            <a:ext uri="{FF2B5EF4-FFF2-40B4-BE49-F238E27FC236}">
              <a16:creationId xmlns:a16="http://schemas.microsoft.com/office/drawing/2014/main" id="{F4A96DB3-361A-48D5-9D20-E8A7A0C9DC80}"/>
            </a:ext>
          </a:extLst>
        </xdr:cNvPr>
        <xdr:cNvSpPr>
          <a:spLocks noChangeAspect="1"/>
        </xdr:cNvSpPr>
      </xdr:nvSpPr>
      <xdr:spPr>
        <a:xfrm>
          <a:off x="352872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165599</xdr:colOff>
      <xdr:row>117</xdr:row>
      <xdr:rowOff>42450</xdr:rowOff>
    </xdr:from>
    <xdr:to>
      <xdr:col>52</xdr:col>
      <xdr:colOff>633600</xdr:colOff>
      <xdr:row>118</xdr:row>
      <xdr:rowOff>15002</xdr:rowOff>
    </xdr:to>
    <xdr:sp macro="" textlink="">
      <xdr:nvSpPr>
        <xdr:cNvPr id="248499" name="フリーフォーム: 図形 248498">
          <a:extLst>
            <a:ext uri="{FF2B5EF4-FFF2-40B4-BE49-F238E27FC236}">
              <a16:creationId xmlns:a16="http://schemas.microsoft.com/office/drawing/2014/main" id="{73F23B77-DB09-4B33-BF53-682474C7D05E}"/>
            </a:ext>
          </a:extLst>
        </xdr:cNvPr>
        <xdr:cNvSpPr>
          <a:spLocks noChangeAspect="1"/>
        </xdr:cNvSpPr>
      </xdr:nvSpPr>
      <xdr:spPr>
        <a:xfrm>
          <a:off x="358271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417599</xdr:colOff>
      <xdr:row>117</xdr:row>
      <xdr:rowOff>114450</xdr:rowOff>
    </xdr:from>
    <xdr:to>
      <xdr:col>53</xdr:col>
      <xdr:colOff>19801</xdr:colOff>
      <xdr:row>123</xdr:row>
      <xdr:rowOff>21752</xdr:rowOff>
    </xdr:to>
    <xdr:sp macro="" textlink="">
      <xdr:nvSpPr>
        <xdr:cNvPr id="248500" name="フリーフォーム: 図形 248499">
          <a:extLst>
            <a:ext uri="{FF2B5EF4-FFF2-40B4-BE49-F238E27FC236}">
              <a16:creationId xmlns:a16="http://schemas.microsoft.com/office/drawing/2014/main" id="{404A703C-042F-4259-97D6-8BD20E95D67E}"/>
            </a:ext>
          </a:extLst>
        </xdr:cNvPr>
        <xdr:cNvSpPr>
          <a:spLocks noChangeAspect="1"/>
        </xdr:cNvSpPr>
      </xdr:nvSpPr>
      <xdr:spPr>
        <a:xfrm>
          <a:off x="360791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237601</xdr:colOff>
      <xdr:row>123</xdr:row>
      <xdr:rowOff>75750</xdr:rowOff>
    </xdr:from>
    <xdr:to>
      <xdr:col>52</xdr:col>
      <xdr:colOff>525600</xdr:colOff>
      <xdr:row>128</xdr:row>
      <xdr:rowOff>136501</xdr:rowOff>
    </xdr:to>
    <xdr:sp macro="" textlink="">
      <xdr:nvSpPr>
        <xdr:cNvPr id="248501" name="フリーフォーム: 図形 248500">
          <a:extLst>
            <a:ext uri="{FF2B5EF4-FFF2-40B4-BE49-F238E27FC236}">
              <a16:creationId xmlns:a16="http://schemas.microsoft.com/office/drawing/2014/main" id="{18B56B5D-79A7-4F88-8484-089DBF558F91}"/>
            </a:ext>
          </a:extLst>
        </xdr:cNvPr>
        <xdr:cNvSpPr>
          <a:spLocks noChangeAspect="1"/>
        </xdr:cNvSpPr>
      </xdr:nvSpPr>
      <xdr:spPr>
        <a:xfrm>
          <a:off x="358992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655200</xdr:colOff>
      <xdr:row>128</xdr:row>
      <xdr:rowOff>64500</xdr:rowOff>
    </xdr:from>
    <xdr:to>
      <xdr:col>51</xdr:col>
      <xdr:colOff>455400</xdr:colOff>
      <xdr:row>129</xdr:row>
      <xdr:rowOff>37051</xdr:rowOff>
    </xdr:to>
    <xdr:sp macro="" textlink="">
      <xdr:nvSpPr>
        <xdr:cNvPr id="248502" name="フリーフォーム: 図形 248501">
          <a:extLst>
            <a:ext uri="{FF2B5EF4-FFF2-40B4-BE49-F238E27FC236}">
              <a16:creationId xmlns:a16="http://schemas.microsoft.com/office/drawing/2014/main" id="{8F606D3F-5C53-4F30-A9B1-88CECCCE3146}"/>
            </a:ext>
          </a:extLst>
        </xdr:cNvPr>
        <xdr:cNvSpPr>
          <a:spLocks noChangeAspect="1"/>
        </xdr:cNvSpPr>
      </xdr:nvSpPr>
      <xdr:spPr>
        <a:xfrm>
          <a:off x="349452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491399</xdr:colOff>
      <xdr:row>128</xdr:row>
      <xdr:rowOff>64500</xdr:rowOff>
    </xdr:from>
    <xdr:to>
      <xdr:col>52</xdr:col>
      <xdr:colOff>273600</xdr:colOff>
      <xdr:row>129</xdr:row>
      <xdr:rowOff>37051</xdr:rowOff>
    </xdr:to>
    <xdr:sp macro="" textlink="">
      <xdr:nvSpPr>
        <xdr:cNvPr id="248503" name="フリーフォーム: 図形 248502">
          <a:extLst>
            <a:ext uri="{FF2B5EF4-FFF2-40B4-BE49-F238E27FC236}">
              <a16:creationId xmlns:a16="http://schemas.microsoft.com/office/drawing/2014/main" id="{3A1036EA-B7D4-46F8-8190-A531E45D945F}"/>
            </a:ext>
          </a:extLst>
        </xdr:cNvPr>
        <xdr:cNvSpPr>
          <a:spLocks noChangeAspect="1"/>
        </xdr:cNvSpPr>
      </xdr:nvSpPr>
      <xdr:spPr>
        <a:xfrm>
          <a:off x="354671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50</xdr:col>
      <xdr:colOff>601201</xdr:colOff>
      <xdr:row>123</xdr:row>
      <xdr:rowOff>75750</xdr:rowOff>
    </xdr:from>
    <xdr:to>
      <xdr:col>51</xdr:col>
      <xdr:colOff>203403</xdr:colOff>
      <xdr:row>128</xdr:row>
      <xdr:rowOff>136501</xdr:rowOff>
    </xdr:to>
    <xdr:sp macro="" textlink="">
      <xdr:nvSpPr>
        <xdr:cNvPr id="248504" name="フリーフォーム: 図形 248503">
          <a:extLst>
            <a:ext uri="{FF2B5EF4-FFF2-40B4-BE49-F238E27FC236}">
              <a16:creationId xmlns:a16="http://schemas.microsoft.com/office/drawing/2014/main" id="{88B2FE55-184E-4D88-B44C-FCF70C0F1704}"/>
            </a:ext>
          </a:extLst>
        </xdr:cNvPr>
        <xdr:cNvSpPr>
          <a:spLocks noChangeAspect="1"/>
        </xdr:cNvSpPr>
      </xdr:nvSpPr>
      <xdr:spPr>
        <a:xfrm>
          <a:off x="348912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117</xdr:row>
      <xdr:rowOff>114450</xdr:rowOff>
    </xdr:from>
    <xdr:to>
      <xdr:col>51</xdr:col>
      <xdr:colOff>347400</xdr:colOff>
      <xdr:row>123</xdr:row>
      <xdr:rowOff>21752</xdr:rowOff>
    </xdr:to>
    <xdr:sp macro="" textlink="">
      <xdr:nvSpPr>
        <xdr:cNvPr id="248505" name="フリーフォーム: 図形 248504">
          <a:extLst>
            <a:ext uri="{FF2B5EF4-FFF2-40B4-BE49-F238E27FC236}">
              <a16:creationId xmlns:a16="http://schemas.microsoft.com/office/drawing/2014/main" id="{C143A4C8-62D6-455F-AAD1-7DD3FE03AE30}"/>
            </a:ext>
          </a:extLst>
        </xdr:cNvPr>
        <xdr:cNvSpPr>
          <a:spLocks noChangeAspect="1"/>
        </xdr:cNvSpPr>
      </xdr:nvSpPr>
      <xdr:spPr>
        <a:xfrm>
          <a:off x="350711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167401</xdr:colOff>
      <xdr:row>122</xdr:row>
      <xdr:rowOff>139199</xdr:rowOff>
    </xdr:from>
    <xdr:to>
      <xdr:col>51</xdr:col>
      <xdr:colOff>617402</xdr:colOff>
      <xdr:row>123</xdr:row>
      <xdr:rowOff>111751</xdr:rowOff>
    </xdr:to>
    <xdr:sp macro="" textlink="">
      <xdr:nvSpPr>
        <xdr:cNvPr id="248506" name="フリーフォーム: 図形 248505">
          <a:extLst>
            <a:ext uri="{FF2B5EF4-FFF2-40B4-BE49-F238E27FC236}">
              <a16:creationId xmlns:a16="http://schemas.microsoft.com/office/drawing/2014/main" id="{BB2FF049-6828-49D6-A89A-2BDC9D7DB189}"/>
            </a:ext>
          </a:extLst>
        </xdr:cNvPr>
        <xdr:cNvSpPr>
          <a:spLocks noChangeAspect="1"/>
        </xdr:cNvSpPr>
      </xdr:nvSpPr>
      <xdr:spPr>
        <a:xfrm>
          <a:off x="351432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671401</xdr:colOff>
      <xdr:row>122</xdr:row>
      <xdr:rowOff>139199</xdr:rowOff>
    </xdr:from>
    <xdr:to>
      <xdr:col>52</xdr:col>
      <xdr:colOff>435602</xdr:colOff>
      <xdr:row>123</xdr:row>
      <xdr:rowOff>111751</xdr:rowOff>
    </xdr:to>
    <xdr:sp macro="" textlink="">
      <xdr:nvSpPr>
        <xdr:cNvPr id="248507" name="フリーフォーム: 図形 248506">
          <a:extLst>
            <a:ext uri="{FF2B5EF4-FFF2-40B4-BE49-F238E27FC236}">
              <a16:creationId xmlns:a16="http://schemas.microsoft.com/office/drawing/2014/main" id="{A93048B6-FE39-4784-A320-91568962A60A}"/>
            </a:ext>
          </a:extLst>
        </xdr:cNvPr>
        <xdr:cNvSpPr>
          <a:spLocks noChangeAspect="1"/>
        </xdr:cNvSpPr>
      </xdr:nvSpPr>
      <xdr:spPr>
        <a:xfrm>
          <a:off x="356472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365401</xdr:colOff>
      <xdr:row>118</xdr:row>
      <xdr:rowOff>51000</xdr:rowOff>
    </xdr:from>
    <xdr:to>
      <xdr:col>51</xdr:col>
      <xdr:colOff>635401</xdr:colOff>
      <xdr:row>123</xdr:row>
      <xdr:rowOff>3751</xdr:rowOff>
    </xdr:to>
    <xdr:sp macro="" textlink="">
      <xdr:nvSpPr>
        <xdr:cNvPr id="248508" name="フリーフォーム: 図形 248507">
          <a:extLst>
            <a:ext uri="{FF2B5EF4-FFF2-40B4-BE49-F238E27FC236}">
              <a16:creationId xmlns:a16="http://schemas.microsoft.com/office/drawing/2014/main" id="{0FB5A746-55E2-49FB-A593-922B4776DB28}"/>
            </a:ext>
          </a:extLst>
        </xdr:cNvPr>
        <xdr:cNvSpPr>
          <a:spLocks noChangeAspect="1"/>
        </xdr:cNvSpPr>
      </xdr:nvSpPr>
      <xdr:spPr>
        <a:xfrm>
          <a:off x="353412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635400</xdr:colOff>
      <xdr:row>117</xdr:row>
      <xdr:rowOff>114450</xdr:rowOff>
    </xdr:from>
    <xdr:to>
      <xdr:col>52</xdr:col>
      <xdr:colOff>201601</xdr:colOff>
      <xdr:row>122</xdr:row>
      <xdr:rowOff>157201</xdr:rowOff>
    </xdr:to>
    <xdr:sp macro="" textlink="">
      <xdr:nvSpPr>
        <xdr:cNvPr id="248509" name="フリーフォーム: 図形 248508">
          <a:extLst>
            <a:ext uri="{FF2B5EF4-FFF2-40B4-BE49-F238E27FC236}">
              <a16:creationId xmlns:a16="http://schemas.microsoft.com/office/drawing/2014/main" id="{9CDBEEF7-32C6-4A37-833B-CF2C18E929C4}"/>
            </a:ext>
          </a:extLst>
        </xdr:cNvPr>
        <xdr:cNvSpPr>
          <a:spLocks noChangeAspect="1"/>
        </xdr:cNvSpPr>
      </xdr:nvSpPr>
      <xdr:spPr>
        <a:xfrm>
          <a:off x="356112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52</xdr:col>
      <xdr:colOff>3600</xdr:colOff>
      <xdr:row>118</xdr:row>
      <xdr:rowOff>69000</xdr:rowOff>
    </xdr:from>
    <xdr:to>
      <xdr:col>52</xdr:col>
      <xdr:colOff>525600</xdr:colOff>
      <xdr:row>123</xdr:row>
      <xdr:rowOff>3751</xdr:rowOff>
    </xdr:to>
    <xdr:sp macro="" textlink="">
      <xdr:nvSpPr>
        <xdr:cNvPr id="248510" name="フリーフォーム: 図形 248509">
          <a:extLst>
            <a:ext uri="{FF2B5EF4-FFF2-40B4-BE49-F238E27FC236}">
              <a16:creationId xmlns:a16="http://schemas.microsoft.com/office/drawing/2014/main" id="{27759695-F70A-41BD-AF5B-2BEC35DD566F}"/>
            </a:ext>
          </a:extLst>
        </xdr:cNvPr>
        <xdr:cNvSpPr>
          <a:spLocks noChangeAspect="1"/>
        </xdr:cNvSpPr>
      </xdr:nvSpPr>
      <xdr:spPr>
        <a:xfrm>
          <a:off x="356652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653399</xdr:colOff>
      <xdr:row>123</xdr:row>
      <xdr:rowOff>75750</xdr:rowOff>
    </xdr:from>
    <xdr:to>
      <xdr:col>52</xdr:col>
      <xdr:colOff>237602</xdr:colOff>
      <xdr:row>127</xdr:row>
      <xdr:rowOff>163951</xdr:rowOff>
    </xdr:to>
    <xdr:sp macro="" textlink="">
      <xdr:nvSpPr>
        <xdr:cNvPr id="248511" name="フリーフォーム: 図形 248510">
          <a:extLst>
            <a:ext uri="{FF2B5EF4-FFF2-40B4-BE49-F238E27FC236}">
              <a16:creationId xmlns:a16="http://schemas.microsoft.com/office/drawing/2014/main" id="{E0F9894C-6A1B-41D6-83BC-A074595E651F}"/>
            </a:ext>
          </a:extLst>
        </xdr:cNvPr>
        <xdr:cNvSpPr>
          <a:spLocks noChangeAspect="1"/>
        </xdr:cNvSpPr>
      </xdr:nvSpPr>
      <xdr:spPr>
        <a:xfrm>
          <a:off x="356291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419401</xdr:colOff>
      <xdr:row>123</xdr:row>
      <xdr:rowOff>93749</xdr:rowOff>
    </xdr:from>
    <xdr:to>
      <xdr:col>51</xdr:col>
      <xdr:colOff>653400</xdr:colOff>
      <xdr:row>128</xdr:row>
      <xdr:rowOff>118501</xdr:rowOff>
    </xdr:to>
    <xdr:sp macro="" textlink="">
      <xdr:nvSpPr>
        <xdr:cNvPr id="248512" name="フリーフォーム: 図形 248511">
          <a:extLst>
            <a:ext uri="{FF2B5EF4-FFF2-40B4-BE49-F238E27FC236}">
              <a16:creationId xmlns:a16="http://schemas.microsoft.com/office/drawing/2014/main" id="{036EF77B-9EB7-44C6-8813-147F0DDECE8C}"/>
            </a:ext>
          </a:extLst>
        </xdr:cNvPr>
        <xdr:cNvSpPr>
          <a:spLocks noChangeAspect="1"/>
        </xdr:cNvSpPr>
      </xdr:nvSpPr>
      <xdr:spPr>
        <a:xfrm>
          <a:off x="353952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51</xdr:col>
      <xdr:colOff>95399</xdr:colOff>
      <xdr:row>123</xdr:row>
      <xdr:rowOff>75750</xdr:rowOff>
    </xdr:from>
    <xdr:to>
      <xdr:col>51</xdr:col>
      <xdr:colOff>617402</xdr:colOff>
      <xdr:row>128</xdr:row>
      <xdr:rowOff>10501</xdr:rowOff>
    </xdr:to>
    <xdr:sp macro="" textlink="">
      <xdr:nvSpPr>
        <xdr:cNvPr id="248513" name="フリーフォーム: 図形 248512">
          <a:extLst>
            <a:ext uri="{FF2B5EF4-FFF2-40B4-BE49-F238E27FC236}">
              <a16:creationId xmlns:a16="http://schemas.microsoft.com/office/drawing/2014/main" id="{27FFB34E-B2B9-4951-B6AC-989A6770C248}"/>
            </a:ext>
          </a:extLst>
        </xdr:cNvPr>
        <xdr:cNvSpPr>
          <a:spLocks noChangeAspect="1"/>
        </xdr:cNvSpPr>
      </xdr:nvSpPr>
      <xdr:spPr>
        <a:xfrm>
          <a:off x="350711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82801</xdr:colOff>
      <xdr:row>117</xdr:row>
      <xdr:rowOff>42450</xdr:rowOff>
    </xdr:from>
    <xdr:to>
      <xdr:col>54</xdr:col>
      <xdr:colOff>550801</xdr:colOff>
      <xdr:row>118</xdr:row>
      <xdr:rowOff>15002</xdr:rowOff>
    </xdr:to>
    <xdr:sp macro="" textlink="">
      <xdr:nvSpPr>
        <xdr:cNvPr id="248514" name="フリーフォーム: 図形 248513">
          <a:extLst>
            <a:ext uri="{FF2B5EF4-FFF2-40B4-BE49-F238E27FC236}">
              <a16:creationId xmlns:a16="http://schemas.microsoft.com/office/drawing/2014/main" id="{7F7ACFC2-882B-43CF-A565-FD8811404039}"/>
            </a:ext>
          </a:extLst>
        </xdr:cNvPr>
        <xdr:cNvSpPr>
          <a:spLocks noChangeAspect="1"/>
        </xdr:cNvSpPr>
      </xdr:nvSpPr>
      <xdr:spPr>
        <a:xfrm>
          <a:off x="371160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622799</xdr:colOff>
      <xdr:row>117</xdr:row>
      <xdr:rowOff>42450</xdr:rowOff>
    </xdr:from>
    <xdr:to>
      <xdr:col>55</xdr:col>
      <xdr:colOff>405000</xdr:colOff>
      <xdr:row>118</xdr:row>
      <xdr:rowOff>15002</xdr:rowOff>
    </xdr:to>
    <xdr:sp macro="" textlink="">
      <xdr:nvSpPr>
        <xdr:cNvPr id="248515" name="フリーフォーム: 図形 248514">
          <a:extLst>
            <a:ext uri="{FF2B5EF4-FFF2-40B4-BE49-F238E27FC236}">
              <a16:creationId xmlns:a16="http://schemas.microsoft.com/office/drawing/2014/main" id="{2B22896A-AAE7-4052-AF82-FD8FFC8A3B17}"/>
            </a:ext>
          </a:extLst>
        </xdr:cNvPr>
        <xdr:cNvSpPr>
          <a:spLocks noChangeAspect="1"/>
        </xdr:cNvSpPr>
      </xdr:nvSpPr>
      <xdr:spPr>
        <a:xfrm>
          <a:off x="376559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188999</xdr:colOff>
      <xdr:row>117</xdr:row>
      <xdr:rowOff>114450</xdr:rowOff>
    </xdr:from>
    <xdr:to>
      <xdr:col>55</xdr:col>
      <xdr:colOff>477001</xdr:colOff>
      <xdr:row>123</xdr:row>
      <xdr:rowOff>21752</xdr:rowOff>
    </xdr:to>
    <xdr:sp macro="" textlink="">
      <xdr:nvSpPr>
        <xdr:cNvPr id="248516" name="フリーフォーム: 図形 248515">
          <a:extLst>
            <a:ext uri="{FF2B5EF4-FFF2-40B4-BE49-F238E27FC236}">
              <a16:creationId xmlns:a16="http://schemas.microsoft.com/office/drawing/2014/main" id="{EB7CA6C8-B274-4456-9E75-8F92393EEBDE}"/>
            </a:ext>
          </a:extLst>
        </xdr:cNvPr>
        <xdr:cNvSpPr>
          <a:spLocks noChangeAspect="1"/>
        </xdr:cNvSpPr>
      </xdr:nvSpPr>
      <xdr:spPr>
        <a:xfrm>
          <a:off x="379079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55</xdr:col>
      <xdr:colOff>9001</xdr:colOff>
      <xdr:row>123</xdr:row>
      <xdr:rowOff>75750</xdr:rowOff>
    </xdr:from>
    <xdr:to>
      <xdr:col>55</xdr:col>
      <xdr:colOff>297000</xdr:colOff>
      <xdr:row>128</xdr:row>
      <xdr:rowOff>136501</xdr:rowOff>
    </xdr:to>
    <xdr:sp macro="" textlink="">
      <xdr:nvSpPr>
        <xdr:cNvPr id="248517" name="フリーフォーム: 図形 248516">
          <a:extLst>
            <a:ext uri="{FF2B5EF4-FFF2-40B4-BE49-F238E27FC236}">
              <a16:creationId xmlns:a16="http://schemas.microsoft.com/office/drawing/2014/main" id="{D2ED3D02-0901-49FB-B27E-7C89E7B7ABF0}"/>
            </a:ext>
          </a:extLst>
        </xdr:cNvPr>
        <xdr:cNvSpPr>
          <a:spLocks noChangeAspect="1"/>
        </xdr:cNvSpPr>
      </xdr:nvSpPr>
      <xdr:spPr>
        <a:xfrm>
          <a:off x="377280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426600</xdr:colOff>
      <xdr:row>128</xdr:row>
      <xdr:rowOff>64500</xdr:rowOff>
    </xdr:from>
    <xdr:to>
      <xdr:col>54</xdr:col>
      <xdr:colOff>226800</xdr:colOff>
      <xdr:row>129</xdr:row>
      <xdr:rowOff>37051</xdr:rowOff>
    </xdr:to>
    <xdr:sp macro="" textlink="">
      <xdr:nvSpPr>
        <xdr:cNvPr id="248518" name="フリーフォーム: 図形 248517">
          <a:extLst>
            <a:ext uri="{FF2B5EF4-FFF2-40B4-BE49-F238E27FC236}">
              <a16:creationId xmlns:a16="http://schemas.microsoft.com/office/drawing/2014/main" id="{D285BD3E-3AC3-4580-A297-95F819160B01}"/>
            </a:ext>
          </a:extLst>
        </xdr:cNvPr>
        <xdr:cNvSpPr>
          <a:spLocks noChangeAspect="1"/>
        </xdr:cNvSpPr>
      </xdr:nvSpPr>
      <xdr:spPr>
        <a:xfrm>
          <a:off x="367740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262799</xdr:colOff>
      <xdr:row>128</xdr:row>
      <xdr:rowOff>64500</xdr:rowOff>
    </xdr:from>
    <xdr:to>
      <xdr:col>55</xdr:col>
      <xdr:colOff>45000</xdr:colOff>
      <xdr:row>129</xdr:row>
      <xdr:rowOff>37051</xdr:rowOff>
    </xdr:to>
    <xdr:sp macro="" textlink="">
      <xdr:nvSpPr>
        <xdr:cNvPr id="248519" name="フリーフォーム: 図形 248518">
          <a:extLst>
            <a:ext uri="{FF2B5EF4-FFF2-40B4-BE49-F238E27FC236}">
              <a16:creationId xmlns:a16="http://schemas.microsoft.com/office/drawing/2014/main" id="{C38F2FE4-8C4B-4998-9C38-4B92F2399C52}"/>
            </a:ext>
          </a:extLst>
        </xdr:cNvPr>
        <xdr:cNvSpPr>
          <a:spLocks noChangeAspect="1"/>
        </xdr:cNvSpPr>
      </xdr:nvSpPr>
      <xdr:spPr>
        <a:xfrm>
          <a:off x="372959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372601</xdr:colOff>
      <xdr:row>123</xdr:row>
      <xdr:rowOff>75750</xdr:rowOff>
    </xdr:from>
    <xdr:to>
      <xdr:col>53</xdr:col>
      <xdr:colOff>660603</xdr:colOff>
      <xdr:row>128</xdr:row>
      <xdr:rowOff>136501</xdr:rowOff>
    </xdr:to>
    <xdr:sp macro="" textlink="">
      <xdr:nvSpPr>
        <xdr:cNvPr id="248520" name="フリーフォーム: 図形 248519">
          <a:extLst>
            <a:ext uri="{FF2B5EF4-FFF2-40B4-BE49-F238E27FC236}">
              <a16:creationId xmlns:a16="http://schemas.microsoft.com/office/drawing/2014/main" id="{6F439A0A-931E-474C-A970-AAD83FFBADD5}"/>
            </a:ext>
          </a:extLst>
        </xdr:cNvPr>
        <xdr:cNvSpPr>
          <a:spLocks noChangeAspect="1"/>
        </xdr:cNvSpPr>
      </xdr:nvSpPr>
      <xdr:spPr>
        <a:xfrm>
          <a:off x="367200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117</xdr:row>
      <xdr:rowOff>114450</xdr:rowOff>
    </xdr:from>
    <xdr:to>
      <xdr:col>54</xdr:col>
      <xdr:colOff>118800</xdr:colOff>
      <xdr:row>123</xdr:row>
      <xdr:rowOff>21752</xdr:rowOff>
    </xdr:to>
    <xdr:sp macro="" textlink="">
      <xdr:nvSpPr>
        <xdr:cNvPr id="248521" name="フリーフォーム: 図形 248520">
          <a:extLst>
            <a:ext uri="{FF2B5EF4-FFF2-40B4-BE49-F238E27FC236}">
              <a16:creationId xmlns:a16="http://schemas.microsoft.com/office/drawing/2014/main" id="{508A6970-4E07-467C-A1A5-A78EF0EDCE01}"/>
            </a:ext>
          </a:extLst>
        </xdr:cNvPr>
        <xdr:cNvSpPr>
          <a:spLocks noChangeAspect="1"/>
        </xdr:cNvSpPr>
      </xdr:nvSpPr>
      <xdr:spPr>
        <a:xfrm>
          <a:off x="368999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624601</xdr:colOff>
      <xdr:row>122</xdr:row>
      <xdr:rowOff>139199</xdr:rowOff>
    </xdr:from>
    <xdr:to>
      <xdr:col>54</xdr:col>
      <xdr:colOff>388802</xdr:colOff>
      <xdr:row>123</xdr:row>
      <xdr:rowOff>111751</xdr:rowOff>
    </xdr:to>
    <xdr:sp macro="" textlink="">
      <xdr:nvSpPr>
        <xdr:cNvPr id="248522" name="フリーフォーム: 図形 248521">
          <a:extLst>
            <a:ext uri="{FF2B5EF4-FFF2-40B4-BE49-F238E27FC236}">
              <a16:creationId xmlns:a16="http://schemas.microsoft.com/office/drawing/2014/main" id="{92F22BA1-2156-4D0E-A13A-5A41AC4AEB76}"/>
            </a:ext>
          </a:extLst>
        </xdr:cNvPr>
        <xdr:cNvSpPr>
          <a:spLocks noChangeAspect="1"/>
        </xdr:cNvSpPr>
      </xdr:nvSpPr>
      <xdr:spPr>
        <a:xfrm>
          <a:off x="369720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442801</xdr:colOff>
      <xdr:row>122</xdr:row>
      <xdr:rowOff>139199</xdr:rowOff>
    </xdr:from>
    <xdr:to>
      <xdr:col>55</xdr:col>
      <xdr:colOff>207002</xdr:colOff>
      <xdr:row>123</xdr:row>
      <xdr:rowOff>111751</xdr:rowOff>
    </xdr:to>
    <xdr:sp macro="" textlink="">
      <xdr:nvSpPr>
        <xdr:cNvPr id="248523" name="フリーフォーム: 図形 248522">
          <a:extLst>
            <a:ext uri="{FF2B5EF4-FFF2-40B4-BE49-F238E27FC236}">
              <a16:creationId xmlns:a16="http://schemas.microsoft.com/office/drawing/2014/main" id="{F27670C6-A63C-49DC-8462-370D08771D89}"/>
            </a:ext>
          </a:extLst>
        </xdr:cNvPr>
        <xdr:cNvSpPr>
          <a:spLocks noChangeAspect="1"/>
        </xdr:cNvSpPr>
      </xdr:nvSpPr>
      <xdr:spPr>
        <a:xfrm>
          <a:off x="374760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136801</xdr:colOff>
      <xdr:row>118</xdr:row>
      <xdr:rowOff>51000</xdr:rowOff>
    </xdr:from>
    <xdr:to>
      <xdr:col>54</xdr:col>
      <xdr:colOff>406801</xdr:colOff>
      <xdr:row>123</xdr:row>
      <xdr:rowOff>3751</xdr:rowOff>
    </xdr:to>
    <xdr:sp macro="" textlink="">
      <xdr:nvSpPr>
        <xdr:cNvPr id="248524" name="フリーフォーム: 図形 248523">
          <a:extLst>
            <a:ext uri="{FF2B5EF4-FFF2-40B4-BE49-F238E27FC236}">
              <a16:creationId xmlns:a16="http://schemas.microsoft.com/office/drawing/2014/main" id="{26BCE13B-EDDD-487C-8786-B78EF9EFA247}"/>
            </a:ext>
          </a:extLst>
        </xdr:cNvPr>
        <xdr:cNvSpPr>
          <a:spLocks noChangeAspect="1"/>
        </xdr:cNvSpPr>
      </xdr:nvSpPr>
      <xdr:spPr>
        <a:xfrm>
          <a:off x="371700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406800</xdr:colOff>
      <xdr:row>117</xdr:row>
      <xdr:rowOff>114450</xdr:rowOff>
    </xdr:from>
    <xdr:to>
      <xdr:col>54</xdr:col>
      <xdr:colOff>658801</xdr:colOff>
      <xdr:row>122</xdr:row>
      <xdr:rowOff>157201</xdr:rowOff>
    </xdr:to>
    <xdr:sp macro="" textlink="">
      <xdr:nvSpPr>
        <xdr:cNvPr id="248525" name="フリーフォーム: 図形 248524">
          <a:extLst>
            <a:ext uri="{FF2B5EF4-FFF2-40B4-BE49-F238E27FC236}">
              <a16:creationId xmlns:a16="http://schemas.microsoft.com/office/drawing/2014/main" id="{59F4AB60-B4DD-4C98-8828-2C14D3B97212}"/>
            </a:ext>
          </a:extLst>
        </xdr:cNvPr>
        <xdr:cNvSpPr>
          <a:spLocks noChangeAspect="1"/>
        </xdr:cNvSpPr>
      </xdr:nvSpPr>
      <xdr:spPr>
        <a:xfrm>
          <a:off x="374400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460800</xdr:colOff>
      <xdr:row>118</xdr:row>
      <xdr:rowOff>69000</xdr:rowOff>
    </xdr:from>
    <xdr:to>
      <xdr:col>55</xdr:col>
      <xdr:colOff>297000</xdr:colOff>
      <xdr:row>123</xdr:row>
      <xdr:rowOff>3751</xdr:rowOff>
    </xdr:to>
    <xdr:sp macro="" textlink="">
      <xdr:nvSpPr>
        <xdr:cNvPr id="248526" name="フリーフォーム: 図形 248525">
          <a:extLst>
            <a:ext uri="{FF2B5EF4-FFF2-40B4-BE49-F238E27FC236}">
              <a16:creationId xmlns:a16="http://schemas.microsoft.com/office/drawing/2014/main" id="{5E75AD01-9D47-4A7E-B6E4-266BBF8882D0}"/>
            </a:ext>
          </a:extLst>
        </xdr:cNvPr>
        <xdr:cNvSpPr>
          <a:spLocks noChangeAspect="1"/>
        </xdr:cNvSpPr>
      </xdr:nvSpPr>
      <xdr:spPr>
        <a:xfrm>
          <a:off x="374940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424799</xdr:colOff>
      <xdr:row>123</xdr:row>
      <xdr:rowOff>75750</xdr:rowOff>
    </xdr:from>
    <xdr:to>
      <xdr:col>55</xdr:col>
      <xdr:colOff>9002</xdr:colOff>
      <xdr:row>127</xdr:row>
      <xdr:rowOff>163951</xdr:rowOff>
    </xdr:to>
    <xdr:sp macro="" textlink="">
      <xdr:nvSpPr>
        <xdr:cNvPr id="248527" name="フリーフォーム: 図形 248526">
          <a:extLst>
            <a:ext uri="{FF2B5EF4-FFF2-40B4-BE49-F238E27FC236}">
              <a16:creationId xmlns:a16="http://schemas.microsoft.com/office/drawing/2014/main" id="{CCD32B08-9DA3-4411-8A93-CDE5BC79E0B4}"/>
            </a:ext>
          </a:extLst>
        </xdr:cNvPr>
        <xdr:cNvSpPr>
          <a:spLocks noChangeAspect="1"/>
        </xdr:cNvSpPr>
      </xdr:nvSpPr>
      <xdr:spPr>
        <a:xfrm>
          <a:off x="374579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54</xdr:col>
      <xdr:colOff>190801</xdr:colOff>
      <xdr:row>123</xdr:row>
      <xdr:rowOff>93749</xdr:rowOff>
    </xdr:from>
    <xdr:to>
      <xdr:col>54</xdr:col>
      <xdr:colOff>424800</xdr:colOff>
      <xdr:row>128</xdr:row>
      <xdr:rowOff>118501</xdr:rowOff>
    </xdr:to>
    <xdr:sp macro="" textlink="">
      <xdr:nvSpPr>
        <xdr:cNvPr id="248528" name="フリーフォーム: 図形 248527">
          <a:extLst>
            <a:ext uri="{FF2B5EF4-FFF2-40B4-BE49-F238E27FC236}">
              <a16:creationId xmlns:a16="http://schemas.microsoft.com/office/drawing/2014/main" id="{E2C7E617-01B3-4F04-80CC-27692D59D9F3}"/>
            </a:ext>
          </a:extLst>
        </xdr:cNvPr>
        <xdr:cNvSpPr>
          <a:spLocks noChangeAspect="1"/>
        </xdr:cNvSpPr>
      </xdr:nvSpPr>
      <xdr:spPr>
        <a:xfrm>
          <a:off x="372240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53</xdr:col>
      <xdr:colOff>552599</xdr:colOff>
      <xdr:row>123</xdr:row>
      <xdr:rowOff>75750</xdr:rowOff>
    </xdr:from>
    <xdr:to>
      <xdr:col>54</xdr:col>
      <xdr:colOff>388802</xdr:colOff>
      <xdr:row>128</xdr:row>
      <xdr:rowOff>10501</xdr:rowOff>
    </xdr:to>
    <xdr:sp macro="" textlink="">
      <xdr:nvSpPr>
        <xdr:cNvPr id="248529" name="フリーフォーム: 図形 248528">
          <a:extLst>
            <a:ext uri="{FF2B5EF4-FFF2-40B4-BE49-F238E27FC236}">
              <a16:creationId xmlns:a16="http://schemas.microsoft.com/office/drawing/2014/main" id="{A9650035-BB94-4DE3-B52C-7642ACCC1DEE}"/>
            </a:ext>
          </a:extLst>
        </xdr:cNvPr>
        <xdr:cNvSpPr>
          <a:spLocks noChangeAspect="1"/>
        </xdr:cNvSpPr>
      </xdr:nvSpPr>
      <xdr:spPr>
        <a:xfrm>
          <a:off x="368999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540001</xdr:colOff>
      <xdr:row>117</xdr:row>
      <xdr:rowOff>42450</xdr:rowOff>
    </xdr:from>
    <xdr:to>
      <xdr:col>57</xdr:col>
      <xdr:colOff>322201</xdr:colOff>
      <xdr:row>118</xdr:row>
      <xdr:rowOff>15002</xdr:rowOff>
    </xdr:to>
    <xdr:sp macro="" textlink="">
      <xdr:nvSpPr>
        <xdr:cNvPr id="248530" name="フリーフォーム: 図形 248529">
          <a:extLst>
            <a:ext uri="{FF2B5EF4-FFF2-40B4-BE49-F238E27FC236}">
              <a16:creationId xmlns:a16="http://schemas.microsoft.com/office/drawing/2014/main" id="{811F9CBE-17E3-4A54-9757-85DF11BD1896}"/>
            </a:ext>
          </a:extLst>
        </xdr:cNvPr>
        <xdr:cNvSpPr>
          <a:spLocks noChangeAspect="1"/>
        </xdr:cNvSpPr>
      </xdr:nvSpPr>
      <xdr:spPr>
        <a:xfrm>
          <a:off x="389448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394199</xdr:colOff>
      <xdr:row>117</xdr:row>
      <xdr:rowOff>42450</xdr:rowOff>
    </xdr:from>
    <xdr:to>
      <xdr:col>58</xdr:col>
      <xdr:colOff>176400</xdr:colOff>
      <xdr:row>118</xdr:row>
      <xdr:rowOff>15002</xdr:rowOff>
    </xdr:to>
    <xdr:sp macro="" textlink="">
      <xdr:nvSpPr>
        <xdr:cNvPr id="248531" name="フリーフォーム: 図形 248530">
          <a:extLst>
            <a:ext uri="{FF2B5EF4-FFF2-40B4-BE49-F238E27FC236}">
              <a16:creationId xmlns:a16="http://schemas.microsoft.com/office/drawing/2014/main" id="{0A595A0F-0304-4566-86AD-9BD9CB6ED9C8}"/>
            </a:ext>
          </a:extLst>
        </xdr:cNvPr>
        <xdr:cNvSpPr>
          <a:spLocks noChangeAspect="1"/>
        </xdr:cNvSpPr>
      </xdr:nvSpPr>
      <xdr:spPr>
        <a:xfrm>
          <a:off x="394847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646199</xdr:colOff>
      <xdr:row>117</xdr:row>
      <xdr:rowOff>114450</xdr:rowOff>
    </xdr:from>
    <xdr:to>
      <xdr:col>58</xdr:col>
      <xdr:colOff>248401</xdr:colOff>
      <xdr:row>123</xdr:row>
      <xdr:rowOff>21752</xdr:rowOff>
    </xdr:to>
    <xdr:sp macro="" textlink="">
      <xdr:nvSpPr>
        <xdr:cNvPr id="248532" name="フリーフォーム: 図形 248531">
          <a:extLst>
            <a:ext uri="{FF2B5EF4-FFF2-40B4-BE49-F238E27FC236}">
              <a16:creationId xmlns:a16="http://schemas.microsoft.com/office/drawing/2014/main" id="{9C96D08D-60FD-4FE7-91CD-506925E4197B}"/>
            </a:ext>
          </a:extLst>
        </xdr:cNvPr>
        <xdr:cNvSpPr>
          <a:spLocks noChangeAspect="1"/>
        </xdr:cNvSpPr>
      </xdr:nvSpPr>
      <xdr:spPr>
        <a:xfrm>
          <a:off x="397367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466201</xdr:colOff>
      <xdr:row>123</xdr:row>
      <xdr:rowOff>75750</xdr:rowOff>
    </xdr:from>
    <xdr:to>
      <xdr:col>58</xdr:col>
      <xdr:colOff>68400</xdr:colOff>
      <xdr:row>128</xdr:row>
      <xdr:rowOff>136501</xdr:rowOff>
    </xdr:to>
    <xdr:sp macro="" textlink="">
      <xdr:nvSpPr>
        <xdr:cNvPr id="248533" name="フリーフォーム: 図形 248532">
          <a:extLst>
            <a:ext uri="{FF2B5EF4-FFF2-40B4-BE49-F238E27FC236}">
              <a16:creationId xmlns:a16="http://schemas.microsoft.com/office/drawing/2014/main" id="{E115CC94-5D67-4B05-9CD8-DF83514E6962}"/>
            </a:ext>
          </a:extLst>
        </xdr:cNvPr>
        <xdr:cNvSpPr>
          <a:spLocks noChangeAspect="1"/>
        </xdr:cNvSpPr>
      </xdr:nvSpPr>
      <xdr:spPr>
        <a:xfrm>
          <a:off x="395568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198000</xdr:colOff>
      <xdr:row>128</xdr:row>
      <xdr:rowOff>64500</xdr:rowOff>
    </xdr:from>
    <xdr:to>
      <xdr:col>56</xdr:col>
      <xdr:colOff>684000</xdr:colOff>
      <xdr:row>129</xdr:row>
      <xdr:rowOff>37051</xdr:rowOff>
    </xdr:to>
    <xdr:sp macro="" textlink="">
      <xdr:nvSpPr>
        <xdr:cNvPr id="248534" name="フリーフォーム: 図形 248533">
          <a:extLst>
            <a:ext uri="{FF2B5EF4-FFF2-40B4-BE49-F238E27FC236}">
              <a16:creationId xmlns:a16="http://schemas.microsoft.com/office/drawing/2014/main" id="{1F492396-22CF-4BF2-B95E-53B7142BD754}"/>
            </a:ext>
          </a:extLst>
        </xdr:cNvPr>
        <xdr:cNvSpPr>
          <a:spLocks noChangeAspect="1"/>
        </xdr:cNvSpPr>
      </xdr:nvSpPr>
      <xdr:spPr>
        <a:xfrm>
          <a:off x="386028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34199</xdr:colOff>
      <xdr:row>128</xdr:row>
      <xdr:rowOff>64500</xdr:rowOff>
    </xdr:from>
    <xdr:to>
      <xdr:col>57</xdr:col>
      <xdr:colOff>502200</xdr:colOff>
      <xdr:row>129</xdr:row>
      <xdr:rowOff>37051</xdr:rowOff>
    </xdr:to>
    <xdr:sp macro="" textlink="">
      <xdr:nvSpPr>
        <xdr:cNvPr id="248535" name="フリーフォーム: 図形 248534">
          <a:extLst>
            <a:ext uri="{FF2B5EF4-FFF2-40B4-BE49-F238E27FC236}">
              <a16:creationId xmlns:a16="http://schemas.microsoft.com/office/drawing/2014/main" id="{AF3F51F5-E9D0-4325-AFE3-38ADEBCA3FBF}"/>
            </a:ext>
          </a:extLst>
        </xdr:cNvPr>
        <xdr:cNvSpPr>
          <a:spLocks noChangeAspect="1"/>
        </xdr:cNvSpPr>
      </xdr:nvSpPr>
      <xdr:spPr>
        <a:xfrm>
          <a:off x="391247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144001</xdr:colOff>
      <xdr:row>123</xdr:row>
      <xdr:rowOff>75750</xdr:rowOff>
    </xdr:from>
    <xdr:to>
      <xdr:col>56</xdr:col>
      <xdr:colOff>432003</xdr:colOff>
      <xdr:row>128</xdr:row>
      <xdr:rowOff>136501</xdr:rowOff>
    </xdr:to>
    <xdr:sp macro="" textlink="">
      <xdr:nvSpPr>
        <xdr:cNvPr id="248536" name="フリーフォーム: 図形 248535">
          <a:extLst>
            <a:ext uri="{FF2B5EF4-FFF2-40B4-BE49-F238E27FC236}">
              <a16:creationId xmlns:a16="http://schemas.microsoft.com/office/drawing/2014/main" id="{CE080517-E779-4637-883C-26273A9D258B}"/>
            </a:ext>
          </a:extLst>
        </xdr:cNvPr>
        <xdr:cNvSpPr>
          <a:spLocks noChangeAspect="1"/>
        </xdr:cNvSpPr>
      </xdr:nvSpPr>
      <xdr:spPr>
        <a:xfrm>
          <a:off x="385488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117</xdr:row>
      <xdr:rowOff>114450</xdr:rowOff>
    </xdr:from>
    <xdr:to>
      <xdr:col>56</xdr:col>
      <xdr:colOff>576000</xdr:colOff>
      <xdr:row>123</xdr:row>
      <xdr:rowOff>21752</xdr:rowOff>
    </xdr:to>
    <xdr:sp macro="" textlink="">
      <xdr:nvSpPr>
        <xdr:cNvPr id="248537" name="フリーフォーム: 図形 248536">
          <a:extLst>
            <a:ext uri="{FF2B5EF4-FFF2-40B4-BE49-F238E27FC236}">
              <a16:creationId xmlns:a16="http://schemas.microsoft.com/office/drawing/2014/main" id="{DC5ED969-1D59-4E1D-8407-917B9C8A35BC}"/>
            </a:ext>
          </a:extLst>
        </xdr:cNvPr>
        <xdr:cNvSpPr>
          <a:spLocks noChangeAspect="1"/>
        </xdr:cNvSpPr>
      </xdr:nvSpPr>
      <xdr:spPr>
        <a:xfrm>
          <a:off x="387287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396001</xdr:colOff>
      <xdr:row>122</xdr:row>
      <xdr:rowOff>139199</xdr:rowOff>
    </xdr:from>
    <xdr:to>
      <xdr:col>57</xdr:col>
      <xdr:colOff>160202</xdr:colOff>
      <xdr:row>123</xdr:row>
      <xdr:rowOff>111751</xdr:rowOff>
    </xdr:to>
    <xdr:sp macro="" textlink="">
      <xdr:nvSpPr>
        <xdr:cNvPr id="248538" name="フリーフォーム: 図形 248537">
          <a:extLst>
            <a:ext uri="{FF2B5EF4-FFF2-40B4-BE49-F238E27FC236}">
              <a16:creationId xmlns:a16="http://schemas.microsoft.com/office/drawing/2014/main" id="{FECA71DF-73DD-4B37-A0E0-D0B2C462C685}"/>
            </a:ext>
          </a:extLst>
        </xdr:cNvPr>
        <xdr:cNvSpPr>
          <a:spLocks noChangeAspect="1"/>
        </xdr:cNvSpPr>
      </xdr:nvSpPr>
      <xdr:spPr>
        <a:xfrm>
          <a:off x="388008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214201</xdr:colOff>
      <xdr:row>122</xdr:row>
      <xdr:rowOff>139199</xdr:rowOff>
    </xdr:from>
    <xdr:to>
      <xdr:col>57</xdr:col>
      <xdr:colOff>664202</xdr:colOff>
      <xdr:row>123</xdr:row>
      <xdr:rowOff>111751</xdr:rowOff>
    </xdr:to>
    <xdr:sp macro="" textlink="">
      <xdr:nvSpPr>
        <xdr:cNvPr id="248539" name="フリーフォーム: 図形 248538">
          <a:extLst>
            <a:ext uri="{FF2B5EF4-FFF2-40B4-BE49-F238E27FC236}">
              <a16:creationId xmlns:a16="http://schemas.microsoft.com/office/drawing/2014/main" id="{1C169ED9-DE0D-4A0F-8350-B0DAA9E95662}"/>
            </a:ext>
          </a:extLst>
        </xdr:cNvPr>
        <xdr:cNvSpPr>
          <a:spLocks noChangeAspect="1"/>
        </xdr:cNvSpPr>
      </xdr:nvSpPr>
      <xdr:spPr>
        <a:xfrm>
          <a:off x="393048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594001</xdr:colOff>
      <xdr:row>118</xdr:row>
      <xdr:rowOff>51000</xdr:rowOff>
    </xdr:from>
    <xdr:to>
      <xdr:col>57</xdr:col>
      <xdr:colOff>178201</xdr:colOff>
      <xdr:row>123</xdr:row>
      <xdr:rowOff>3751</xdr:rowOff>
    </xdr:to>
    <xdr:sp macro="" textlink="">
      <xdr:nvSpPr>
        <xdr:cNvPr id="248540" name="フリーフォーム: 図形 248539">
          <a:extLst>
            <a:ext uri="{FF2B5EF4-FFF2-40B4-BE49-F238E27FC236}">
              <a16:creationId xmlns:a16="http://schemas.microsoft.com/office/drawing/2014/main" id="{76D0167E-1F3A-41E8-A05E-96320B5CD454}"/>
            </a:ext>
          </a:extLst>
        </xdr:cNvPr>
        <xdr:cNvSpPr>
          <a:spLocks noChangeAspect="1"/>
        </xdr:cNvSpPr>
      </xdr:nvSpPr>
      <xdr:spPr>
        <a:xfrm>
          <a:off x="389988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178200</xdr:colOff>
      <xdr:row>117</xdr:row>
      <xdr:rowOff>114450</xdr:rowOff>
    </xdr:from>
    <xdr:to>
      <xdr:col>57</xdr:col>
      <xdr:colOff>430201</xdr:colOff>
      <xdr:row>122</xdr:row>
      <xdr:rowOff>157201</xdr:rowOff>
    </xdr:to>
    <xdr:sp macro="" textlink="">
      <xdr:nvSpPr>
        <xdr:cNvPr id="248541" name="フリーフォーム: 図形 248540">
          <a:extLst>
            <a:ext uri="{FF2B5EF4-FFF2-40B4-BE49-F238E27FC236}">
              <a16:creationId xmlns:a16="http://schemas.microsoft.com/office/drawing/2014/main" id="{BBED31AC-C7C1-4272-AE57-D341BDD5BEFC}"/>
            </a:ext>
          </a:extLst>
        </xdr:cNvPr>
        <xdr:cNvSpPr>
          <a:spLocks noChangeAspect="1"/>
        </xdr:cNvSpPr>
      </xdr:nvSpPr>
      <xdr:spPr>
        <a:xfrm>
          <a:off x="392688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232200</xdr:colOff>
      <xdr:row>118</xdr:row>
      <xdr:rowOff>69000</xdr:rowOff>
    </xdr:from>
    <xdr:to>
      <xdr:col>58</xdr:col>
      <xdr:colOff>68400</xdr:colOff>
      <xdr:row>123</xdr:row>
      <xdr:rowOff>3751</xdr:rowOff>
    </xdr:to>
    <xdr:sp macro="" textlink="">
      <xdr:nvSpPr>
        <xdr:cNvPr id="248542" name="フリーフォーム: 図形 248541">
          <a:extLst>
            <a:ext uri="{FF2B5EF4-FFF2-40B4-BE49-F238E27FC236}">
              <a16:creationId xmlns:a16="http://schemas.microsoft.com/office/drawing/2014/main" id="{2821520E-1551-469A-8E80-A289EBD4AB47}"/>
            </a:ext>
          </a:extLst>
        </xdr:cNvPr>
        <xdr:cNvSpPr>
          <a:spLocks noChangeAspect="1"/>
        </xdr:cNvSpPr>
      </xdr:nvSpPr>
      <xdr:spPr>
        <a:xfrm>
          <a:off x="393228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57</xdr:col>
      <xdr:colOff>196199</xdr:colOff>
      <xdr:row>123</xdr:row>
      <xdr:rowOff>75750</xdr:rowOff>
    </xdr:from>
    <xdr:to>
      <xdr:col>57</xdr:col>
      <xdr:colOff>466202</xdr:colOff>
      <xdr:row>127</xdr:row>
      <xdr:rowOff>163951</xdr:rowOff>
    </xdr:to>
    <xdr:sp macro="" textlink="">
      <xdr:nvSpPr>
        <xdr:cNvPr id="248543" name="フリーフォーム: 図形 248542">
          <a:extLst>
            <a:ext uri="{FF2B5EF4-FFF2-40B4-BE49-F238E27FC236}">
              <a16:creationId xmlns:a16="http://schemas.microsoft.com/office/drawing/2014/main" id="{64D2F03C-9CF8-4BA2-9619-AFDB572AB597}"/>
            </a:ext>
          </a:extLst>
        </xdr:cNvPr>
        <xdr:cNvSpPr>
          <a:spLocks noChangeAspect="1"/>
        </xdr:cNvSpPr>
      </xdr:nvSpPr>
      <xdr:spPr>
        <a:xfrm>
          <a:off x="392867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648001</xdr:colOff>
      <xdr:row>123</xdr:row>
      <xdr:rowOff>93749</xdr:rowOff>
    </xdr:from>
    <xdr:to>
      <xdr:col>57</xdr:col>
      <xdr:colOff>196200</xdr:colOff>
      <xdr:row>128</xdr:row>
      <xdr:rowOff>118501</xdr:rowOff>
    </xdr:to>
    <xdr:sp macro="" textlink="">
      <xdr:nvSpPr>
        <xdr:cNvPr id="248544" name="フリーフォーム: 図形 248543">
          <a:extLst>
            <a:ext uri="{FF2B5EF4-FFF2-40B4-BE49-F238E27FC236}">
              <a16:creationId xmlns:a16="http://schemas.microsoft.com/office/drawing/2014/main" id="{668A38B2-09F2-49D8-955F-7006C76D5DEE}"/>
            </a:ext>
          </a:extLst>
        </xdr:cNvPr>
        <xdr:cNvSpPr>
          <a:spLocks noChangeAspect="1"/>
        </xdr:cNvSpPr>
      </xdr:nvSpPr>
      <xdr:spPr>
        <a:xfrm>
          <a:off x="390528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56</xdr:col>
      <xdr:colOff>323999</xdr:colOff>
      <xdr:row>123</xdr:row>
      <xdr:rowOff>75750</xdr:rowOff>
    </xdr:from>
    <xdr:to>
      <xdr:col>57</xdr:col>
      <xdr:colOff>160202</xdr:colOff>
      <xdr:row>128</xdr:row>
      <xdr:rowOff>10501</xdr:rowOff>
    </xdr:to>
    <xdr:sp macro="" textlink="">
      <xdr:nvSpPr>
        <xdr:cNvPr id="248545" name="フリーフォーム: 図形 248544">
          <a:extLst>
            <a:ext uri="{FF2B5EF4-FFF2-40B4-BE49-F238E27FC236}">
              <a16:creationId xmlns:a16="http://schemas.microsoft.com/office/drawing/2014/main" id="{65282F12-E694-492B-A2E8-C8832813596E}"/>
            </a:ext>
          </a:extLst>
        </xdr:cNvPr>
        <xdr:cNvSpPr>
          <a:spLocks noChangeAspect="1"/>
        </xdr:cNvSpPr>
      </xdr:nvSpPr>
      <xdr:spPr>
        <a:xfrm>
          <a:off x="387287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311401</xdr:colOff>
      <xdr:row>117</xdr:row>
      <xdr:rowOff>42450</xdr:rowOff>
    </xdr:from>
    <xdr:to>
      <xdr:col>60</xdr:col>
      <xdr:colOff>93601</xdr:colOff>
      <xdr:row>118</xdr:row>
      <xdr:rowOff>15002</xdr:rowOff>
    </xdr:to>
    <xdr:sp macro="" textlink="">
      <xdr:nvSpPr>
        <xdr:cNvPr id="248546" name="フリーフォーム: 図形 248545">
          <a:extLst>
            <a:ext uri="{FF2B5EF4-FFF2-40B4-BE49-F238E27FC236}">
              <a16:creationId xmlns:a16="http://schemas.microsoft.com/office/drawing/2014/main" id="{C06137AC-2293-4FED-85C2-9A11CF3B5A3A}"/>
            </a:ext>
          </a:extLst>
        </xdr:cNvPr>
        <xdr:cNvSpPr>
          <a:spLocks noChangeAspect="1"/>
        </xdr:cNvSpPr>
      </xdr:nvSpPr>
      <xdr:spPr>
        <a:xfrm>
          <a:off x="407736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165599</xdr:colOff>
      <xdr:row>117</xdr:row>
      <xdr:rowOff>42450</xdr:rowOff>
    </xdr:from>
    <xdr:to>
      <xdr:col>60</xdr:col>
      <xdr:colOff>633600</xdr:colOff>
      <xdr:row>118</xdr:row>
      <xdr:rowOff>15002</xdr:rowOff>
    </xdr:to>
    <xdr:sp macro="" textlink="">
      <xdr:nvSpPr>
        <xdr:cNvPr id="248547" name="フリーフォーム: 図形 248546">
          <a:extLst>
            <a:ext uri="{FF2B5EF4-FFF2-40B4-BE49-F238E27FC236}">
              <a16:creationId xmlns:a16="http://schemas.microsoft.com/office/drawing/2014/main" id="{0E68774D-5B3F-4D60-85E7-B932862456AE}"/>
            </a:ext>
          </a:extLst>
        </xdr:cNvPr>
        <xdr:cNvSpPr>
          <a:spLocks noChangeAspect="1"/>
        </xdr:cNvSpPr>
      </xdr:nvSpPr>
      <xdr:spPr>
        <a:xfrm>
          <a:off x="413135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417599</xdr:colOff>
      <xdr:row>117</xdr:row>
      <xdr:rowOff>114450</xdr:rowOff>
    </xdr:from>
    <xdr:to>
      <xdr:col>61</xdr:col>
      <xdr:colOff>19801</xdr:colOff>
      <xdr:row>123</xdr:row>
      <xdr:rowOff>21752</xdr:rowOff>
    </xdr:to>
    <xdr:sp macro="" textlink="">
      <xdr:nvSpPr>
        <xdr:cNvPr id="248548" name="フリーフォーム: 図形 248547">
          <a:extLst>
            <a:ext uri="{FF2B5EF4-FFF2-40B4-BE49-F238E27FC236}">
              <a16:creationId xmlns:a16="http://schemas.microsoft.com/office/drawing/2014/main" id="{831AEFC6-9C49-456D-BC6E-BFFF65F0207C}"/>
            </a:ext>
          </a:extLst>
        </xdr:cNvPr>
        <xdr:cNvSpPr>
          <a:spLocks noChangeAspect="1"/>
        </xdr:cNvSpPr>
      </xdr:nvSpPr>
      <xdr:spPr>
        <a:xfrm>
          <a:off x="415655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237601</xdr:colOff>
      <xdr:row>123</xdr:row>
      <xdr:rowOff>75750</xdr:rowOff>
    </xdr:from>
    <xdr:to>
      <xdr:col>60</xdr:col>
      <xdr:colOff>525600</xdr:colOff>
      <xdr:row>128</xdr:row>
      <xdr:rowOff>136501</xdr:rowOff>
    </xdr:to>
    <xdr:sp macro="" textlink="">
      <xdr:nvSpPr>
        <xdr:cNvPr id="248549" name="フリーフォーム: 図形 248548">
          <a:extLst>
            <a:ext uri="{FF2B5EF4-FFF2-40B4-BE49-F238E27FC236}">
              <a16:creationId xmlns:a16="http://schemas.microsoft.com/office/drawing/2014/main" id="{105321B4-71D1-4E79-BAEB-C8398E03A4F1}"/>
            </a:ext>
          </a:extLst>
        </xdr:cNvPr>
        <xdr:cNvSpPr>
          <a:spLocks noChangeAspect="1"/>
        </xdr:cNvSpPr>
      </xdr:nvSpPr>
      <xdr:spPr>
        <a:xfrm>
          <a:off x="413856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655200</xdr:colOff>
      <xdr:row>128</xdr:row>
      <xdr:rowOff>64500</xdr:rowOff>
    </xdr:from>
    <xdr:to>
      <xdr:col>59</xdr:col>
      <xdr:colOff>455400</xdr:colOff>
      <xdr:row>129</xdr:row>
      <xdr:rowOff>37051</xdr:rowOff>
    </xdr:to>
    <xdr:sp macro="" textlink="">
      <xdr:nvSpPr>
        <xdr:cNvPr id="248550" name="フリーフォーム: 図形 248549">
          <a:extLst>
            <a:ext uri="{FF2B5EF4-FFF2-40B4-BE49-F238E27FC236}">
              <a16:creationId xmlns:a16="http://schemas.microsoft.com/office/drawing/2014/main" id="{24BFF806-3796-48CC-9985-B82D491AEE27}"/>
            </a:ext>
          </a:extLst>
        </xdr:cNvPr>
        <xdr:cNvSpPr>
          <a:spLocks noChangeAspect="1"/>
        </xdr:cNvSpPr>
      </xdr:nvSpPr>
      <xdr:spPr>
        <a:xfrm>
          <a:off x="404316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491399</xdr:colOff>
      <xdr:row>128</xdr:row>
      <xdr:rowOff>64500</xdr:rowOff>
    </xdr:from>
    <xdr:to>
      <xdr:col>60</xdr:col>
      <xdr:colOff>273600</xdr:colOff>
      <xdr:row>129</xdr:row>
      <xdr:rowOff>37051</xdr:rowOff>
    </xdr:to>
    <xdr:sp macro="" textlink="">
      <xdr:nvSpPr>
        <xdr:cNvPr id="248551" name="フリーフォーム: 図形 248550">
          <a:extLst>
            <a:ext uri="{FF2B5EF4-FFF2-40B4-BE49-F238E27FC236}">
              <a16:creationId xmlns:a16="http://schemas.microsoft.com/office/drawing/2014/main" id="{C18EED13-F7CC-4596-8165-077080AE7A4E}"/>
            </a:ext>
          </a:extLst>
        </xdr:cNvPr>
        <xdr:cNvSpPr>
          <a:spLocks noChangeAspect="1"/>
        </xdr:cNvSpPr>
      </xdr:nvSpPr>
      <xdr:spPr>
        <a:xfrm>
          <a:off x="409535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58</xdr:col>
      <xdr:colOff>601201</xdr:colOff>
      <xdr:row>123</xdr:row>
      <xdr:rowOff>75750</xdr:rowOff>
    </xdr:from>
    <xdr:to>
      <xdr:col>59</xdr:col>
      <xdr:colOff>203403</xdr:colOff>
      <xdr:row>128</xdr:row>
      <xdr:rowOff>136501</xdr:rowOff>
    </xdr:to>
    <xdr:sp macro="" textlink="">
      <xdr:nvSpPr>
        <xdr:cNvPr id="248552" name="フリーフォーム: 図形 248551">
          <a:extLst>
            <a:ext uri="{FF2B5EF4-FFF2-40B4-BE49-F238E27FC236}">
              <a16:creationId xmlns:a16="http://schemas.microsoft.com/office/drawing/2014/main" id="{D75F1C70-13EF-48F1-92C7-532E7A1AFA85}"/>
            </a:ext>
          </a:extLst>
        </xdr:cNvPr>
        <xdr:cNvSpPr>
          <a:spLocks noChangeAspect="1"/>
        </xdr:cNvSpPr>
      </xdr:nvSpPr>
      <xdr:spPr>
        <a:xfrm>
          <a:off x="403776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117</xdr:row>
      <xdr:rowOff>114450</xdr:rowOff>
    </xdr:from>
    <xdr:to>
      <xdr:col>59</xdr:col>
      <xdr:colOff>347400</xdr:colOff>
      <xdr:row>123</xdr:row>
      <xdr:rowOff>21752</xdr:rowOff>
    </xdr:to>
    <xdr:sp macro="" textlink="">
      <xdr:nvSpPr>
        <xdr:cNvPr id="248553" name="フリーフォーム: 図形 248552">
          <a:extLst>
            <a:ext uri="{FF2B5EF4-FFF2-40B4-BE49-F238E27FC236}">
              <a16:creationId xmlns:a16="http://schemas.microsoft.com/office/drawing/2014/main" id="{FC2B9205-C680-45CB-A355-1CB01AC78703}"/>
            </a:ext>
          </a:extLst>
        </xdr:cNvPr>
        <xdr:cNvSpPr>
          <a:spLocks noChangeAspect="1"/>
        </xdr:cNvSpPr>
      </xdr:nvSpPr>
      <xdr:spPr>
        <a:xfrm>
          <a:off x="405575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167401</xdr:colOff>
      <xdr:row>122</xdr:row>
      <xdr:rowOff>139199</xdr:rowOff>
    </xdr:from>
    <xdr:to>
      <xdr:col>59</xdr:col>
      <xdr:colOff>617402</xdr:colOff>
      <xdr:row>123</xdr:row>
      <xdr:rowOff>111751</xdr:rowOff>
    </xdr:to>
    <xdr:sp macro="" textlink="">
      <xdr:nvSpPr>
        <xdr:cNvPr id="248554" name="フリーフォーム: 図形 248553">
          <a:extLst>
            <a:ext uri="{FF2B5EF4-FFF2-40B4-BE49-F238E27FC236}">
              <a16:creationId xmlns:a16="http://schemas.microsoft.com/office/drawing/2014/main" id="{E4B1CDEC-CF85-467C-A454-B73DE8B5851C}"/>
            </a:ext>
          </a:extLst>
        </xdr:cNvPr>
        <xdr:cNvSpPr>
          <a:spLocks noChangeAspect="1"/>
        </xdr:cNvSpPr>
      </xdr:nvSpPr>
      <xdr:spPr>
        <a:xfrm>
          <a:off x="406296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671401</xdr:colOff>
      <xdr:row>122</xdr:row>
      <xdr:rowOff>139199</xdr:rowOff>
    </xdr:from>
    <xdr:to>
      <xdr:col>60</xdr:col>
      <xdr:colOff>435602</xdr:colOff>
      <xdr:row>123</xdr:row>
      <xdr:rowOff>111751</xdr:rowOff>
    </xdr:to>
    <xdr:sp macro="" textlink="">
      <xdr:nvSpPr>
        <xdr:cNvPr id="248555" name="フリーフォーム: 図形 248554">
          <a:extLst>
            <a:ext uri="{FF2B5EF4-FFF2-40B4-BE49-F238E27FC236}">
              <a16:creationId xmlns:a16="http://schemas.microsoft.com/office/drawing/2014/main" id="{B5BC5057-0F22-476F-9F32-668EE225F2F3}"/>
            </a:ext>
          </a:extLst>
        </xdr:cNvPr>
        <xdr:cNvSpPr>
          <a:spLocks noChangeAspect="1"/>
        </xdr:cNvSpPr>
      </xdr:nvSpPr>
      <xdr:spPr>
        <a:xfrm>
          <a:off x="411336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365401</xdr:colOff>
      <xdr:row>118</xdr:row>
      <xdr:rowOff>51000</xdr:rowOff>
    </xdr:from>
    <xdr:to>
      <xdr:col>59</xdr:col>
      <xdr:colOff>635401</xdr:colOff>
      <xdr:row>123</xdr:row>
      <xdr:rowOff>3751</xdr:rowOff>
    </xdr:to>
    <xdr:sp macro="" textlink="">
      <xdr:nvSpPr>
        <xdr:cNvPr id="248556" name="フリーフォーム: 図形 248555">
          <a:extLst>
            <a:ext uri="{FF2B5EF4-FFF2-40B4-BE49-F238E27FC236}">
              <a16:creationId xmlns:a16="http://schemas.microsoft.com/office/drawing/2014/main" id="{9FA5D74F-13AF-4AB0-8C4E-D4761C657FC7}"/>
            </a:ext>
          </a:extLst>
        </xdr:cNvPr>
        <xdr:cNvSpPr>
          <a:spLocks noChangeAspect="1"/>
        </xdr:cNvSpPr>
      </xdr:nvSpPr>
      <xdr:spPr>
        <a:xfrm>
          <a:off x="408276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635400</xdr:colOff>
      <xdr:row>117</xdr:row>
      <xdr:rowOff>114450</xdr:rowOff>
    </xdr:from>
    <xdr:to>
      <xdr:col>60</xdr:col>
      <xdr:colOff>201601</xdr:colOff>
      <xdr:row>122</xdr:row>
      <xdr:rowOff>157201</xdr:rowOff>
    </xdr:to>
    <xdr:sp macro="" textlink="">
      <xdr:nvSpPr>
        <xdr:cNvPr id="248557" name="フリーフォーム: 図形 248556">
          <a:extLst>
            <a:ext uri="{FF2B5EF4-FFF2-40B4-BE49-F238E27FC236}">
              <a16:creationId xmlns:a16="http://schemas.microsoft.com/office/drawing/2014/main" id="{977502DC-F766-46CA-88E5-92A9BEBC2088}"/>
            </a:ext>
          </a:extLst>
        </xdr:cNvPr>
        <xdr:cNvSpPr>
          <a:spLocks noChangeAspect="1"/>
        </xdr:cNvSpPr>
      </xdr:nvSpPr>
      <xdr:spPr>
        <a:xfrm>
          <a:off x="410976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60</xdr:col>
      <xdr:colOff>3600</xdr:colOff>
      <xdr:row>118</xdr:row>
      <xdr:rowOff>69000</xdr:rowOff>
    </xdr:from>
    <xdr:to>
      <xdr:col>60</xdr:col>
      <xdr:colOff>525600</xdr:colOff>
      <xdr:row>123</xdr:row>
      <xdr:rowOff>3751</xdr:rowOff>
    </xdr:to>
    <xdr:sp macro="" textlink="">
      <xdr:nvSpPr>
        <xdr:cNvPr id="248558" name="フリーフォーム: 図形 248557">
          <a:extLst>
            <a:ext uri="{FF2B5EF4-FFF2-40B4-BE49-F238E27FC236}">
              <a16:creationId xmlns:a16="http://schemas.microsoft.com/office/drawing/2014/main" id="{29419527-B7CC-4F20-866D-CFA6415761F5}"/>
            </a:ext>
          </a:extLst>
        </xdr:cNvPr>
        <xdr:cNvSpPr>
          <a:spLocks noChangeAspect="1"/>
        </xdr:cNvSpPr>
      </xdr:nvSpPr>
      <xdr:spPr>
        <a:xfrm>
          <a:off x="411516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653399</xdr:colOff>
      <xdr:row>123</xdr:row>
      <xdr:rowOff>75750</xdr:rowOff>
    </xdr:from>
    <xdr:to>
      <xdr:col>60</xdr:col>
      <xdr:colOff>237602</xdr:colOff>
      <xdr:row>127</xdr:row>
      <xdr:rowOff>163951</xdr:rowOff>
    </xdr:to>
    <xdr:sp macro="" textlink="">
      <xdr:nvSpPr>
        <xdr:cNvPr id="248559" name="フリーフォーム: 図形 248558">
          <a:extLst>
            <a:ext uri="{FF2B5EF4-FFF2-40B4-BE49-F238E27FC236}">
              <a16:creationId xmlns:a16="http://schemas.microsoft.com/office/drawing/2014/main" id="{049077C1-4DBA-4727-9013-2D56B3F76A5C}"/>
            </a:ext>
          </a:extLst>
        </xdr:cNvPr>
        <xdr:cNvSpPr>
          <a:spLocks noChangeAspect="1"/>
        </xdr:cNvSpPr>
      </xdr:nvSpPr>
      <xdr:spPr>
        <a:xfrm>
          <a:off x="411155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419401</xdr:colOff>
      <xdr:row>123</xdr:row>
      <xdr:rowOff>93749</xdr:rowOff>
    </xdr:from>
    <xdr:to>
      <xdr:col>59</xdr:col>
      <xdr:colOff>653400</xdr:colOff>
      <xdr:row>128</xdr:row>
      <xdr:rowOff>118501</xdr:rowOff>
    </xdr:to>
    <xdr:sp macro="" textlink="">
      <xdr:nvSpPr>
        <xdr:cNvPr id="248560" name="フリーフォーム: 図形 248559">
          <a:extLst>
            <a:ext uri="{FF2B5EF4-FFF2-40B4-BE49-F238E27FC236}">
              <a16:creationId xmlns:a16="http://schemas.microsoft.com/office/drawing/2014/main" id="{1CE8C930-AC05-4A06-A5D3-1953F162D9FA}"/>
            </a:ext>
          </a:extLst>
        </xdr:cNvPr>
        <xdr:cNvSpPr>
          <a:spLocks noChangeAspect="1"/>
        </xdr:cNvSpPr>
      </xdr:nvSpPr>
      <xdr:spPr>
        <a:xfrm>
          <a:off x="408816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59</xdr:col>
      <xdr:colOff>95399</xdr:colOff>
      <xdr:row>123</xdr:row>
      <xdr:rowOff>75750</xdr:rowOff>
    </xdr:from>
    <xdr:to>
      <xdr:col>59</xdr:col>
      <xdr:colOff>617402</xdr:colOff>
      <xdr:row>128</xdr:row>
      <xdr:rowOff>10501</xdr:rowOff>
    </xdr:to>
    <xdr:sp macro="" textlink="">
      <xdr:nvSpPr>
        <xdr:cNvPr id="248561" name="フリーフォーム: 図形 248560">
          <a:extLst>
            <a:ext uri="{FF2B5EF4-FFF2-40B4-BE49-F238E27FC236}">
              <a16:creationId xmlns:a16="http://schemas.microsoft.com/office/drawing/2014/main" id="{84D2A50E-CDC3-4300-A6C5-AAE7C501103B}"/>
            </a:ext>
          </a:extLst>
        </xdr:cNvPr>
        <xdr:cNvSpPr>
          <a:spLocks noChangeAspect="1"/>
        </xdr:cNvSpPr>
      </xdr:nvSpPr>
      <xdr:spPr>
        <a:xfrm>
          <a:off x="405575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82801</xdr:colOff>
      <xdr:row>117</xdr:row>
      <xdr:rowOff>42450</xdr:rowOff>
    </xdr:from>
    <xdr:to>
      <xdr:col>62</xdr:col>
      <xdr:colOff>550801</xdr:colOff>
      <xdr:row>118</xdr:row>
      <xdr:rowOff>15002</xdr:rowOff>
    </xdr:to>
    <xdr:sp macro="" textlink="">
      <xdr:nvSpPr>
        <xdr:cNvPr id="248562" name="フリーフォーム: 図形 248561">
          <a:extLst>
            <a:ext uri="{FF2B5EF4-FFF2-40B4-BE49-F238E27FC236}">
              <a16:creationId xmlns:a16="http://schemas.microsoft.com/office/drawing/2014/main" id="{F6D5614E-7E39-4945-B238-22F37BD3B492}"/>
            </a:ext>
          </a:extLst>
        </xdr:cNvPr>
        <xdr:cNvSpPr>
          <a:spLocks noChangeAspect="1"/>
        </xdr:cNvSpPr>
      </xdr:nvSpPr>
      <xdr:spPr>
        <a:xfrm>
          <a:off x="426024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622799</xdr:colOff>
      <xdr:row>117</xdr:row>
      <xdr:rowOff>42450</xdr:rowOff>
    </xdr:from>
    <xdr:to>
      <xdr:col>63</xdr:col>
      <xdr:colOff>405000</xdr:colOff>
      <xdr:row>118</xdr:row>
      <xdr:rowOff>15002</xdr:rowOff>
    </xdr:to>
    <xdr:sp macro="" textlink="">
      <xdr:nvSpPr>
        <xdr:cNvPr id="248563" name="フリーフォーム: 図形 248562">
          <a:extLst>
            <a:ext uri="{FF2B5EF4-FFF2-40B4-BE49-F238E27FC236}">
              <a16:creationId xmlns:a16="http://schemas.microsoft.com/office/drawing/2014/main" id="{55F818A9-48B3-452A-A76D-BCA79AA460B2}"/>
            </a:ext>
          </a:extLst>
        </xdr:cNvPr>
        <xdr:cNvSpPr>
          <a:spLocks noChangeAspect="1"/>
        </xdr:cNvSpPr>
      </xdr:nvSpPr>
      <xdr:spPr>
        <a:xfrm>
          <a:off x="431423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188999</xdr:colOff>
      <xdr:row>117</xdr:row>
      <xdr:rowOff>114450</xdr:rowOff>
    </xdr:from>
    <xdr:to>
      <xdr:col>63</xdr:col>
      <xdr:colOff>477001</xdr:colOff>
      <xdr:row>123</xdr:row>
      <xdr:rowOff>21752</xdr:rowOff>
    </xdr:to>
    <xdr:sp macro="" textlink="">
      <xdr:nvSpPr>
        <xdr:cNvPr id="248564" name="フリーフォーム: 図形 248563">
          <a:extLst>
            <a:ext uri="{FF2B5EF4-FFF2-40B4-BE49-F238E27FC236}">
              <a16:creationId xmlns:a16="http://schemas.microsoft.com/office/drawing/2014/main" id="{BFA30ADE-51E9-4EC9-8A71-A0516E557B35}"/>
            </a:ext>
          </a:extLst>
        </xdr:cNvPr>
        <xdr:cNvSpPr>
          <a:spLocks noChangeAspect="1"/>
        </xdr:cNvSpPr>
      </xdr:nvSpPr>
      <xdr:spPr>
        <a:xfrm>
          <a:off x="433943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63</xdr:col>
      <xdr:colOff>9001</xdr:colOff>
      <xdr:row>123</xdr:row>
      <xdr:rowOff>75750</xdr:rowOff>
    </xdr:from>
    <xdr:to>
      <xdr:col>63</xdr:col>
      <xdr:colOff>297000</xdr:colOff>
      <xdr:row>128</xdr:row>
      <xdr:rowOff>136501</xdr:rowOff>
    </xdr:to>
    <xdr:sp macro="" textlink="">
      <xdr:nvSpPr>
        <xdr:cNvPr id="248565" name="フリーフォーム: 図形 248564">
          <a:extLst>
            <a:ext uri="{FF2B5EF4-FFF2-40B4-BE49-F238E27FC236}">
              <a16:creationId xmlns:a16="http://schemas.microsoft.com/office/drawing/2014/main" id="{3843AF28-2D33-47E2-BAF2-54048F6552DC}"/>
            </a:ext>
          </a:extLst>
        </xdr:cNvPr>
        <xdr:cNvSpPr>
          <a:spLocks noChangeAspect="1"/>
        </xdr:cNvSpPr>
      </xdr:nvSpPr>
      <xdr:spPr>
        <a:xfrm>
          <a:off x="432144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426600</xdr:colOff>
      <xdr:row>128</xdr:row>
      <xdr:rowOff>64500</xdr:rowOff>
    </xdr:from>
    <xdr:to>
      <xdr:col>62</xdr:col>
      <xdr:colOff>226800</xdr:colOff>
      <xdr:row>129</xdr:row>
      <xdr:rowOff>37051</xdr:rowOff>
    </xdr:to>
    <xdr:sp macro="" textlink="">
      <xdr:nvSpPr>
        <xdr:cNvPr id="248566" name="フリーフォーム: 図形 248565">
          <a:extLst>
            <a:ext uri="{FF2B5EF4-FFF2-40B4-BE49-F238E27FC236}">
              <a16:creationId xmlns:a16="http://schemas.microsoft.com/office/drawing/2014/main" id="{4418C870-F9F6-4B1E-B460-A164AEA45C85}"/>
            </a:ext>
          </a:extLst>
        </xdr:cNvPr>
        <xdr:cNvSpPr>
          <a:spLocks noChangeAspect="1"/>
        </xdr:cNvSpPr>
      </xdr:nvSpPr>
      <xdr:spPr>
        <a:xfrm>
          <a:off x="422604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262799</xdr:colOff>
      <xdr:row>128</xdr:row>
      <xdr:rowOff>64500</xdr:rowOff>
    </xdr:from>
    <xdr:to>
      <xdr:col>63</xdr:col>
      <xdr:colOff>45000</xdr:colOff>
      <xdr:row>129</xdr:row>
      <xdr:rowOff>37051</xdr:rowOff>
    </xdr:to>
    <xdr:sp macro="" textlink="">
      <xdr:nvSpPr>
        <xdr:cNvPr id="248567" name="フリーフォーム: 図形 248566">
          <a:extLst>
            <a:ext uri="{FF2B5EF4-FFF2-40B4-BE49-F238E27FC236}">
              <a16:creationId xmlns:a16="http://schemas.microsoft.com/office/drawing/2014/main" id="{CDAFBC81-46CE-480B-8CB4-1661982FB3B0}"/>
            </a:ext>
          </a:extLst>
        </xdr:cNvPr>
        <xdr:cNvSpPr>
          <a:spLocks noChangeAspect="1"/>
        </xdr:cNvSpPr>
      </xdr:nvSpPr>
      <xdr:spPr>
        <a:xfrm>
          <a:off x="427823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372601</xdr:colOff>
      <xdr:row>123</xdr:row>
      <xdr:rowOff>75750</xdr:rowOff>
    </xdr:from>
    <xdr:to>
      <xdr:col>61</xdr:col>
      <xdr:colOff>660603</xdr:colOff>
      <xdr:row>128</xdr:row>
      <xdr:rowOff>136501</xdr:rowOff>
    </xdr:to>
    <xdr:sp macro="" textlink="">
      <xdr:nvSpPr>
        <xdr:cNvPr id="248568" name="フリーフォーム: 図形 248567">
          <a:extLst>
            <a:ext uri="{FF2B5EF4-FFF2-40B4-BE49-F238E27FC236}">
              <a16:creationId xmlns:a16="http://schemas.microsoft.com/office/drawing/2014/main" id="{D962F309-45ED-45AC-BA80-800A40F54707}"/>
            </a:ext>
          </a:extLst>
        </xdr:cNvPr>
        <xdr:cNvSpPr>
          <a:spLocks noChangeAspect="1"/>
        </xdr:cNvSpPr>
      </xdr:nvSpPr>
      <xdr:spPr>
        <a:xfrm>
          <a:off x="422064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117</xdr:row>
      <xdr:rowOff>114450</xdr:rowOff>
    </xdr:from>
    <xdr:to>
      <xdr:col>62</xdr:col>
      <xdr:colOff>118800</xdr:colOff>
      <xdr:row>123</xdr:row>
      <xdr:rowOff>21752</xdr:rowOff>
    </xdr:to>
    <xdr:sp macro="" textlink="">
      <xdr:nvSpPr>
        <xdr:cNvPr id="248569" name="フリーフォーム: 図形 248568">
          <a:extLst>
            <a:ext uri="{FF2B5EF4-FFF2-40B4-BE49-F238E27FC236}">
              <a16:creationId xmlns:a16="http://schemas.microsoft.com/office/drawing/2014/main" id="{BC139D68-3669-4880-8445-F4AEEA482F18}"/>
            </a:ext>
          </a:extLst>
        </xdr:cNvPr>
        <xdr:cNvSpPr>
          <a:spLocks noChangeAspect="1"/>
        </xdr:cNvSpPr>
      </xdr:nvSpPr>
      <xdr:spPr>
        <a:xfrm>
          <a:off x="423863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624601</xdr:colOff>
      <xdr:row>122</xdr:row>
      <xdr:rowOff>139199</xdr:rowOff>
    </xdr:from>
    <xdr:to>
      <xdr:col>62</xdr:col>
      <xdr:colOff>388802</xdr:colOff>
      <xdr:row>123</xdr:row>
      <xdr:rowOff>111751</xdr:rowOff>
    </xdr:to>
    <xdr:sp macro="" textlink="">
      <xdr:nvSpPr>
        <xdr:cNvPr id="248570" name="フリーフォーム: 図形 248569">
          <a:extLst>
            <a:ext uri="{FF2B5EF4-FFF2-40B4-BE49-F238E27FC236}">
              <a16:creationId xmlns:a16="http://schemas.microsoft.com/office/drawing/2014/main" id="{02680DF6-65FE-462C-8D73-B591BC79B58A}"/>
            </a:ext>
          </a:extLst>
        </xdr:cNvPr>
        <xdr:cNvSpPr>
          <a:spLocks noChangeAspect="1"/>
        </xdr:cNvSpPr>
      </xdr:nvSpPr>
      <xdr:spPr>
        <a:xfrm>
          <a:off x="424584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442801</xdr:colOff>
      <xdr:row>122</xdr:row>
      <xdr:rowOff>139199</xdr:rowOff>
    </xdr:from>
    <xdr:to>
      <xdr:col>63</xdr:col>
      <xdr:colOff>207002</xdr:colOff>
      <xdr:row>123</xdr:row>
      <xdr:rowOff>111751</xdr:rowOff>
    </xdr:to>
    <xdr:sp macro="" textlink="">
      <xdr:nvSpPr>
        <xdr:cNvPr id="248571" name="フリーフォーム: 図形 248570">
          <a:extLst>
            <a:ext uri="{FF2B5EF4-FFF2-40B4-BE49-F238E27FC236}">
              <a16:creationId xmlns:a16="http://schemas.microsoft.com/office/drawing/2014/main" id="{815E37C6-2ECC-4248-B04F-D3FB46F2A4F6}"/>
            </a:ext>
          </a:extLst>
        </xdr:cNvPr>
        <xdr:cNvSpPr>
          <a:spLocks noChangeAspect="1"/>
        </xdr:cNvSpPr>
      </xdr:nvSpPr>
      <xdr:spPr>
        <a:xfrm>
          <a:off x="429624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136801</xdr:colOff>
      <xdr:row>118</xdr:row>
      <xdr:rowOff>51000</xdr:rowOff>
    </xdr:from>
    <xdr:to>
      <xdr:col>62</xdr:col>
      <xdr:colOff>406801</xdr:colOff>
      <xdr:row>123</xdr:row>
      <xdr:rowOff>3751</xdr:rowOff>
    </xdr:to>
    <xdr:sp macro="" textlink="">
      <xdr:nvSpPr>
        <xdr:cNvPr id="248572" name="フリーフォーム: 図形 248571">
          <a:extLst>
            <a:ext uri="{FF2B5EF4-FFF2-40B4-BE49-F238E27FC236}">
              <a16:creationId xmlns:a16="http://schemas.microsoft.com/office/drawing/2014/main" id="{827BA306-EAF9-4326-A8E0-9D9E09B2EE66}"/>
            </a:ext>
          </a:extLst>
        </xdr:cNvPr>
        <xdr:cNvSpPr>
          <a:spLocks noChangeAspect="1"/>
        </xdr:cNvSpPr>
      </xdr:nvSpPr>
      <xdr:spPr>
        <a:xfrm>
          <a:off x="426564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406800</xdr:colOff>
      <xdr:row>117</xdr:row>
      <xdr:rowOff>114450</xdr:rowOff>
    </xdr:from>
    <xdr:to>
      <xdr:col>62</xdr:col>
      <xdr:colOff>658801</xdr:colOff>
      <xdr:row>122</xdr:row>
      <xdr:rowOff>157201</xdr:rowOff>
    </xdr:to>
    <xdr:sp macro="" textlink="">
      <xdr:nvSpPr>
        <xdr:cNvPr id="248573" name="フリーフォーム: 図形 248572">
          <a:extLst>
            <a:ext uri="{FF2B5EF4-FFF2-40B4-BE49-F238E27FC236}">
              <a16:creationId xmlns:a16="http://schemas.microsoft.com/office/drawing/2014/main" id="{35C097B4-E38A-450A-BC3C-3FA2BD2DE240}"/>
            </a:ext>
          </a:extLst>
        </xdr:cNvPr>
        <xdr:cNvSpPr>
          <a:spLocks noChangeAspect="1"/>
        </xdr:cNvSpPr>
      </xdr:nvSpPr>
      <xdr:spPr>
        <a:xfrm>
          <a:off x="429264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460800</xdr:colOff>
      <xdr:row>118</xdr:row>
      <xdr:rowOff>69000</xdr:rowOff>
    </xdr:from>
    <xdr:to>
      <xdr:col>63</xdr:col>
      <xdr:colOff>297000</xdr:colOff>
      <xdr:row>123</xdr:row>
      <xdr:rowOff>3751</xdr:rowOff>
    </xdr:to>
    <xdr:sp macro="" textlink="">
      <xdr:nvSpPr>
        <xdr:cNvPr id="248574" name="フリーフォーム: 図形 248573">
          <a:extLst>
            <a:ext uri="{FF2B5EF4-FFF2-40B4-BE49-F238E27FC236}">
              <a16:creationId xmlns:a16="http://schemas.microsoft.com/office/drawing/2014/main" id="{2A95B389-33C1-4B7C-BDF2-9592BFB76749}"/>
            </a:ext>
          </a:extLst>
        </xdr:cNvPr>
        <xdr:cNvSpPr>
          <a:spLocks noChangeAspect="1"/>
        </xdr:cNvSpPr>
      </xdr:nvSpPr>
      <xdr:spPr>
        <a:xfrm>
          <a:off x="429804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424799</xdr:colOff>
      <xdr:row>123</xdr:row>
      <xdr:rowOff>75750</xdr:rowOff>
    </xdr:from>
    <xdr:to>
      <xdr:col>63</xdr:col>
      <xdr:colOff>9002</xdr:colOff>
      <xdr:row>127</xdr:row>
      <xdr:rowOff>163951</xdr:rowOff>
    </xdr:to>
    <xdr:sp macro="" textlink="">
      <xdr:nvSpPr>
        <xdr:cNvPr id="248575" name="フリーフォーム: 図形 248574">
          <a:extLst>
            <a:ext uri="{FF2B5EF4-FFF2-40B4-BE49-F238E27FC236}">
              <a16:creationId xmlns:a16="http://schemas.microsoft.com/office/drawing/2014/main" id="{1D67B369-7564-4AD5-A640-6C676AC3F96F}"/>
            </a:ext>
          </a:extLst>
        </xdr:cNvPr>
        <xdr:cNvSpPr>
          <a:spLocks noChangeAspect="1"/>
        </xdr:cNvSpPr>
      </xdr:nvSpPr>
      <xdr:spPr>
        <a:xfrm>
          <a:off x="429443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62</xdr:col>
      <xdr:colOff>190801</xdr:colOff>
      <xdr:row>123</xdr:row>
      <xdr:rowOff>93749</xdr:rowOff>
    </xdr:from>
    <xdr:to>
      <xdr:col>62</xdr:col>
      <xdr:colOff>424800</xdr:colOff>
      <xdr:row>128</xdr:row>
      <xdr:rowOff>118501</xdr:rowOff>
    </xdr:to>
    <xdr:sp macro="" textlink="">
      <xdr:nvSpPr>
        <xdr:cNvPr id="248576" name="フリーフォーム: 図形 248575">
          <a:extLst>
            <a:ext uri="{FF2B5EF4-FFF2-40B4-BE49-F238E27FC236}">
              <a16:creationId xmlns:a16="http://schemas.microsoft.com/office/drawing/2014/main" id="{ECA9FE7F-E5EB-4B22-97AF-C4B79575B126}"/>
            </a:ext>
          </a:extLst>
        </xdr:cNvPr>
        <xdr:cNvSpPr>
          <a:spLocks noChangeAspect="1"/>
        </xdr:cNvSpPr>
      </xdr:nvSpPr>
      <xdr:spPr>
        <a:xfrm>
          <a:off x="427104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61</xdr:col>
      <xdr:colOff>552599</xdr:colOff>
      <xdr:row>123</xdr:row>
      <xdr:rowOff>75750</xdr:rowOff>
    </xdr:from>
    <xdr:to>
      <xdr:col>62</xdr:col>
      <xdr:colOff>388802</xdr:colOff>
      <xdr:row>128</xdr:row>
      <xdr:rowOff>10501</xdr:rowOff>
    </xdr:to>
    <xdr:sp macro="" textlink="">
      <xdr:nvSpPr>
        <xdr:cNvPr id="248577" name="フリーフォーム: 図形 248576">
          <a:extLst>
            <a:ext uri="{FF2B5EF4-FFF2-40B4-BE49-F238E27FC236}">
              <a16:creationId xmlns:a16="http://schemas.microsoft.com/office/drawing/2014/main" id="{4E71F66D-656F-40F3-86EF-810A21F7AEE1}"/>
            </a:ext>
          </a:extLst>
        </xdr:cNvPr>
        <xdr:cNvSpPr>
          <a:spLocks noChangeAspect="1"/>
        </xdr:cNvSpPr>
      </xdr:nvSpPr>
      <xdr:spPr>
        <a:xfrm>
          <a:off x="423863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540001</xdr:colOff>
      <xdr:row>117</xdr:row>
      <xdr:rowOff>42450</xdr:rowOff>
    </xdr:from>
    <xdr:to>
      <xdr:col>65</xdr:col>
      <xdr:colOff>322201</xdr:colOff>
      <xdr:row>118</xdr:row>
      <xdr:rowOff>15002</xdr:rowOff>
    </xdr:to>
    <xdr:sp macro="" textlink="">
      <xdr:nvSpPr>
        <xdr:cNvPr id="248578" name="フリーフォーム: 図形 248577">
          <a:extLst>
            <a:ext uri="{FF2B5EF4-FFF2-40B4-BE49-F238E27FC236}">
              <a16:creationId xmlns:a16="http://schemas.microsoft.com/office/drawing/2014/main" id="{4A4CD8AB-C983-4536-AF84-F80FF8613524}"/>
            </a:ext>
          </a:extLst>
        </xdr:cNvPr>
        <xdr:cNvSpPr>
          <a:spLocks noChangeAspect="1"/>
        </xdr:cNvSpPr>
      </xdr:nvSpPr>
      <xdr:spPr>
        <a:xfrm>
          <a:off x="444312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394199</xdr:colOff>
      <xdr:row>117</xdr:row>
      <xdr:rowOff>42450</xdr:rowOff>
    </xdr:from>
    <xdr:to>
      <xdr:col>66</xdr:col>
      <xdr:colOff>176400</xdr:colOff>
      <xdr:row>118</xdr:row>
      <xdr:rowOff>15002</xdr:rowOff>
    </xdr:to>
    <xdr:sp macro="" textlink="">
      <xdr:nvSpPr>
        <xdr:cNvPr id="248579" name="フリーフォーム: 図形 248578">
          <a:extLst>
            <a:ext uri="{FF2B5EF4-FFF2-40B4-BE49-F238E27FC236}">
              <a16:creationId xmlns:a16="http://schemas.microsoft.com/office/drawing/2014/main" id="{55A10FC7-886C-4073-B942-8BDE67CE8938}"/>
            </a:ext>
          </a:extLst>
        </xdr:cNvPr>
        <xdr:cNvSpPr>
          <a:spLocks noChangeAspect="1"/>
        </xdr:cNvSpPr>
      </xdr:nvSpPr>
      <xdr:spPr>
        <a:xfrm>
          <a:off x="449711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646199</xdr:colOff>
      <xdr:row>117</xdr:row>
      <xdr:rowOff>114450</xdr:rowOff>
    </xdr:from>
    <xdr:to>
      <xdr:col>66</xdr:col>
      <xdr:colOff>248401</xdr:colOff>
      <xdr:row>123</xdr:row>
      <xdr:rowOff>21752</xdr:rowOff>
    </xdr:to>
    <xdr:sp macro="" textlink="">
      <xdr:nvSpPr>
        <xdr:cNvPr id="248580" name="フリーフォーム: 図形 248579">
          <a:extLst>
            <a:ext uri="{FF2B5EF4-FFF2-40B4-BE49-F238E27FC236}">
              <a16:creationId xmlns:a16="http://schemas.microsoft.com/office/drawing/2014/main" id="{64F9EE31-BE01-4FDD-80DA-055CE1686514}"/>
            </a:ext>
          </a:extLst>
        </xdr:cNvPr>
        <xdr:cNvSpPr>
          <a:spLocks noChangeAspect="1"/>
        </xdr:cNvSpPr>
      </xdr:nvSpPr>
      <xdr:spPr>
        <a:xfrm>
          <a:off x="452231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466201</xdr:colOff>
      <xdr:row>123</xdr:row>
      <xdr:rowOff>75750</xdr:rowOff>
    </xdr:from>
    <xdr:to>
      <xdr:col>66</xdr:col>
      <xdr:colOff>68400</xdr:colOff>
      <xdr:row>128</xdr:row>
      <xdr:rowOff>136501</xdr:rowOff>
    </xdr:to>
    <xdr:sp macro="" textlink="">
      <xdr:nvSpPr>
        <xdr:cNvPr id="248581" name="フリーフォーム: 図形 248580">
          <a:extLst>
            <a:ext uri="{FF2B5EF4-FFF2-40B4-BE49-F238E27FC236}">
              <a16:creationId xmlns:a16="http://schemas.microsoft.com/office/drawing/2014/main" id="{09B1FE83-A09D-49C5-8C61-C9A52D11B4DF}"/>
            </a:ext>
          </a:extLst>
        </xdr:cNvPr>
        <xdr:cNvSpPr>
          <a:spLocks noChangeAspect="1"/>
        </xdr:cNvSpPr>
      </xdr:nvSpPr>
      <xdr:spPr>
        <a:xfrm>
          <a:off x="450432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198000</xdr:colOff>
      <xdr:row>128</xdr:row>
      <xdr:rowOff>64500</xdr:rowOff>
    </xdr:from>
    <xdr:to>
      <xdr:col>64</xdr:col>
      <xdr:colOff>684000</xdr:colOff>
      <xdr:row>129</xdr:row>
      <xdr:rowOff>37051</xdr:rowOff>
    </xdr:to>
    <xdr:sp macro="" textlink="">
      <xdr:nvSpPr>
        <xdr:cNvPr id="248582" name="フリーフォーム: 図形 248581">
          <a:extLst>
            <a:ext uri="{FF2B5EF4-FFF2-40B4-BE49-F238E27FC236}">
              <a16:creationId xmlns:a16="http://schemas.microsoft.com/office/drawing/2014/main" id="{D2FA61AF-A4BC-4242-9E2F-B08A051885F7}"/>
            </a:ext>
          </a:extLst>
        </xdr:cNvPr>
        <xdr:cNvSpPr>
          <a:spLocks noChangeAspect="1"/>
        </xdr:cNvSpPr>
      </xdr:nvSpPr>
      <xdr:spPr>
        <a:xfrm>
          <a:off x="440892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34199</xdr:colOff>
      <xdr:row>128</xdr:row>
      <xdr:rowOff>64500</xdr:rowOff>
    </xdr:from>
    <xdr:to>
      <xdr:col>65</xdr:col>
      <xdr:colOff>502200</xdr:colOff>
      <xdr:row>129</xdr:row>
      <xdr:rowOff>37051</xdr:rowOff>
    </xdr:to>
    <xdr:sp macro="" textlink="">
      <xdr:nvSpPr>
        <xdr:cNvPr id="248583" name="フリーフォーム: 図形 248582">
          <a:extLst>
            <a:ext uri="{FF2B5EF4-FFF2-40B4-BE49-F238E27FC236}">
              <a16:creationId xmlns:a16="http://schemas.microsoft.com/office/drawing/2014/main" id="{0E378C62-6400-4285-9071-29523444A829}"/>
            </a:ext>
          </a:extLst>
        </xdr:cNvPr>
        <xdr:cNvSpPr>
          <a:spLocks noChangeAspect="1"/>
        </xdr:cNvSpPr>
      </xdr:nvSpPr>
      <xdr:spPr>
        <a:xfrm>
          <a:off x="446111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144001</xdr:colOff>
      <xdr:row>123</xdr:row>
      <xdr:rowOff>75750</xdr:rowOff>
    </xdr:from>
    <xdr:to>
      <xdr:col>64</xdr:col>
      <xdr:colOff>432003</xdr:colOff>
      <xdr:row>128</xdr:row>
      <xdr:rowOff>136501</xdr:rowOff>
    </xdr:to>
    <xdr:sp macro="" textlink="">
      <xdr:nvSpPr>
        <xdr:cNvPr id="248584" name="フリーフォーム: 図形 248583">
          <a:extLst>
            <a:ext uri="{FF2B5EF4-FFF2-40B4-BE49-F238E27FC236}">
              <a16:creationId xmlns:a16="http://schemas.microsoft.com/office/drawing/2014/main" id="{A59DFC60-DB50-4BA7-9806-D397E0408384}"/>
            </a:ext>
          </a:extLst>
        </xdr:cNvPr>
        <xdr:cNvSpPr>
          <a:spLocks noChangeAspect="1"/>
        </xdr:cNvSpPr>
      </xdr:nvSpPr>
      <xdr:spPr>
        <a:xfrm>
          <a:off x="440352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117</xdr:row>
      <xdr:rowOff>114450</xdr:rowOff>
    </xdr:from>
    <xdr:to>
      <xdr:col>64</xdr:col>
      <xdr:colOff>576000</xdr:colOff>
      <xdr:row>123</xdr:row>
      <xdr:rowOff>21752</xdr:rowOff>
    </xdr:to>
    <xdr:sp macro="" textlink="">
      <xdr:nvSpPr>
        <xdr:cNvPr id="248585" name="フリーフォーム: 図形 248584">
          <a:extLst>
            <a:ext uri="{FF2B5EF4-FFF2-40B4-BE49-F238E27FC236}">
              <a16:creationId xmlns:a16="http://schemas.microsoft.com/office/drawing/2014/main" id="{2971D9B1-27E1-469D-997E-FEFD1B6A1E70}"/>
            </a:ext>
          </a:extLst>
        </xdr:cNvPr>
        <xdr:cNvSpPr>
          <a:spLocks noChangeAspect="1"/>
        </xdr:cNvSpPr>
      </xdr:nvSpPr>
      <xdr:spPr>
        <a:xfrm>
          <a:off x="442151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396001</xdr:colOff>
      <xdr:row>122</xdr:row>
      <xdr:rowOff>139199</xdr:rowOff>
    </xdr:from>
    <xdr:to>
      <xdr:col>65</xdr:col>
      <xdr:colOff>160202</xdr:colOff>
      <xdr:row>123</xdr:row>
      <xdr:rowOff>111751</xdr:rowOff>
    </xdr:to>
    <xdr:sp macro="" textlink="">
      <xdr:nvSpPr>
        <xdr:cNvPr id="248586" name="フリーフォーム: 図形 248585">
          <a:extLst>
            <a:ext uri="{FF2B5EF4-FFF2-40B4-BE49-F238E27FC236}">
              <a16:creationId xmlns:a16="http://schemas.microsoft.com/office/drawing/2014/main" id="{A6DE4003-8EFD-4692-93D7-862B1F16B3B1}"/>
            </a:ext>
          </a:extLst>
        </xdr:cNvPr>
        <xdr:cNvSpPr>
          <a:spLocks noChangeAspect="1"/>
        </xdr:cNvSpPr>
      </xdr:nvSpPr>
      <xdr:spPr>
        <a:xfrm>
          <a:off x="442872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214201</xdr:colOff>
      <xdr:row>122</xdr:row>
      <xdr:rowOff>139199</xdr:rowOff>
    </xdr:from>
    <xdr:to>
      <xdr:col>65</xdr:col>
      <xdr:colOff>664202</xdr:colOff>
      <xdr:row>123</xdr:row>
      <xdr:rowOff>111751</xdr:rowOff>
    </xdr:to>
    <xdr:sp macro="" textlink="">
      <xdr:nvSpPr>
        <xdr:cNvPr id="248587" name="フリーフォーム: 図形 248586">
          <a:extLst>
            <a:ext uri="{FF2B5EF4-FFF2-40B4-BE49-F238E27FC236}">
              <a16:creationId xmlns:a16="http://schemas.microsoft.com/office/drawing/2014/main" id="{68B512ED-A984-4648-A3E3-89DA2DE9BAA7}"/>
            </a:ext>
          </a:extLst>
        </xdr:cNvPr>
        <xdr:cNvSpPr>
          <a:spLocks noChangeAspect="1"/>
        </xdr:cNvSpPr>
      </xdr:nvSpPr>
      <xdr:spPr>
        <a:xfrm>
          <a:off x="447912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594001</xdr:colOff>
      <xdr:row>118</xdr:row>
      <xdr:rowOff>51000</xdr:rowOff>
    </xdr:from>
    <xdr:to>
      <xdr:col>65</xdr:col>
      <xdr:colOff>178201</xdr:colOff>
      <xdr:row>123</xdr:row>
      <xdr:rowOff>3751</xdr:rowOff>
    </xdr:to>
    <xdr:sp macro="" textlink="">
      <xdr:nvSpPr>
        <xdr:cNvPr id="248588" name="フリーフォーム: 図形 248587">
          <a:extLst>
            <a:ext uri="{FF2B5EF4-FFF2-40B4-BE49-F238E27FC236}">
              <a16:creationId xmlns:a16="http://schemas.microsoft.com/office/drawing/2014/main" id="{42E73D9D-6242-4474-807F-C3FA7B84877F}"/>
            </a:ext>
          </a:extLst>
        </xdr:cNvPr>
        <xdr:cNvSpPr>
          <a:spLocks noChangeAspect="1"/>
        </xdr:cNvSpPr>
      </xdr:nvSpPr>
      <xdr:spPr>
        <a:xfrm>
          <a:off x="444852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178200</xdr:colOff>
      <xdr:row>117</xdr:row>
      <xdr:rowOff>114450</xdr:rowOff>
    </xdr:from>
    <xdr:to>
      <xdr:col>65</xdr:col>
      <xdr:colOff>430201</xdr:colOff>
      <xdr:row>122</xdr:row>
      <xdr:rowOff>157201</xdr:rowOff>
    </xdr:to>
    <xdr:sp macro="" textlink="">
      <xdr:nvSpPr>
        <xdr:cNvPr id="248589" name="フリーフォーム: 図形 248588">
          <a:extLst>
            <a:ext uri="{FF2B5EF4-FFF2-40B4-BE49-F238E27FC236}">
              <a16:creationId xmlns:a16="http://schemas.microsoft.com/office/drawing/2014/main" id="{6F2166B5-6938-4595-9BA7-B35435E6D788}"/>
            </a:ext>
          </a:extLst>
        </xdr:cNvPr>
        <xdr:cNvSpPr>
          <a:spLocks noChangeAspect="1"/>
        </xdr:cNvSpPr>
      </xdr:nvSpPr>
      <xdr:spPr>
        <a:xfrm>
          <a:off x="447552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232200</xdr:colOff>
      <xdr:row>118</xdr:row>
      <xdr:rowOff>69000</xdr:rowOff>
    </xdr:from>
    <xdr:to>
      <xdr:col>66</xdr:col>
      <xdr:colOff>68400</xdr:colOff>
      <xdr:row>123</xdr:row>
      <xdr:rowOff>3751</xdr:rowOff>
    </xdr:to>
    <xdr:sp macro="" textlink="">
      <xdr:nvSpPr>
        <xdr:cNvPr id="248590" name="フリーフォーム: 図形 248589">
          <a:extLst>
            <a:ext uri="{FF2B5EF4-FFF2-40B4-BE49-F238E27FC236}">
              <a16:creationId xmlns:a16="http://schemas.microsoft.com/office/drawing/2014/main" id="{A41C3E49-C860-441F-BFA7-37D56DC2ABC0}"/>
            </a:ext>
          </a:extLst>
        </xdr:cNvPr>
        <xdr:cNvSpPr>
          <a:spLocks noChangeAspect="1"/>
        </xdr:cNvSpPr>
      </xdr:nvSpPr>
      <xdr:spPr>
        <a:xfrm>
          <a:off x="448092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65</xdr:col>
      <xdr:colOff>196199</xdr:colOff>
      <xdr:row>123</xdr:row>
      <xdr:rowOff>75750</xdr:rowOff>
    </xdr:from>
    <xdr:to>
      <xdr:col>65</xdr:col>
      <xdr:colOff>466202</xdr:colOff>
      <xdr:row>127</xdr:row>
      <xdr:rowOff>163951</xdr:rowOff>
    </xdr:to>
    <xdr:sp macro="" textlink="">
      <xdr:nvSpPr>
        <xdr:cNvPr id="248591" name="フリーフォーム: 図形 248590">
          <a:extLst>
            <a:ext uri="{FF2B5EF4-FFF2-40B4-BE49-F238E27FC236}">
              <a16:creationId xmlns:a16="http://schemas.microsoft.com/office/drawing/2014/main" id="{B8A84B11-44DE-4F6D-A108-A80C4F7D79BA}"/>
            </a:ext>
          </a:extLst>
        </xdr:cNvPr>
        <xdr:cNvSpPr>
          <a:spLocks noChangeAspect="1"/>
        </xdr:cNvSpPr>
      </xdr:nvSpPr>
      <xdr:spPr>
        <a:xfrm>
          <a:off x="447731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648001</xdr:colOff>
      <xdr:row>123</xdr:row>
      <xdr:rowOff>93749</xdr:rowOff>
    </xdr:from>
    <xdr:to>
      <xdr:col>65</xdr:col>
      <xdr:colOff>196200</xdr:colOff>
      <xdr:row>128</xdr:row>
      <xdr:rowOff>118501</xdr:rowOff>
    </xdr:to>
    <xdr:sp macro="" textlink="">
      <xdr:nvSpPr>
        <xdr:cNvPr id="248592" name="フリーフォーム: 図形 248591">
          <a:extLst>
            <a:ext uri="{FF2B5EF4-FFF2-40B4-BE49-F238E27FC236}">
              <a16:creationId xmlns:a16="http://schemas.microsoft.com/office/drawing/2014/main" id="{F8DE5ACA-BB90-4A7D-954B-AD9226E864F1}"/>
            </a:ext>
          </a:extLst>
        </xdr:cNvPr>
        <xdr:cNvSpPr>
          <a:spLocks noChangeAspect="1"/>
        </xdr:cNvSpPr>
      </xdr:nvSpPr>
      <xdr:spPr>
        <a:xfrm>
          <a:off x="445392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64</xdr:col>
      <xdr:colOff>323999</xdr:colOff>
      <xdr:row>123</xdr:row>
      <xdr:rowOff>75750</xdr:rowOff>
    </xdr:from>
    <xdr:to>
      <xdr:col>65</xdr:col>
      <xdr:colOff>160202</xdr:colOff>
      <xdr:row>128</xdr:row>
      <xdr:rowOff>10501</xdr:rowOff>
    </xdr:to>
    <xdr:sp macro="" textlink="">
      <xdr:nvSpPr>
        <xdr:cNvPr id="248593" name="フリーフォーム: 図形 248592">
          <a:extLst>
            <a:ext uri="{FF2B5EF4-FFF2-40B4-BE49-F238E27FC236}">
              <a16:creationId xmlns:a16="http://schemas.microsoft.com/office/drawing/2014/main" id="{BAC04166-0165-4B4C-A327-2B65B7955F1F}"/>
            </a:ext>
          </a:extLst>
        </xdr:cNvPr>
        <xdr:cNvSpPr>
          <a:spLocks noChangeAspect="1"/>
        </xdr:cNvSpPr>
      </xdr:nvSpPr>
      <xdr:spPr>
        <a:xfrm>
          <a:off x="442151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311401</xdr:colOff>
      <xdr:row>117</xdr:row>
      <xdr:rowOff>42450</xdr:rowOff>
    </xdr:from>
    <xdr:to>
      <xdr:col>68</xdr:col>
      <xdr:colOff>93601</xdr:colOff>
      <xdr:row>118</xdr:row>
      <xdr:rowOff>15002</xdr:rowOff>
    </xdr:to>
    <xdr:sp macro="" textlink="">
      <xdr:nvSpPr>
        <xdr:cNvPr id="248594" name="フリーフォーム: 図形 248593">
          <a:extLst>
            <a:ext uri="{FF2B5EF4-FFF2-40B4-BE49-F238E27FC236}">
              <a16:creationId xmlns:a16="http://schemas.microsoft.com/office/drawing/2014/main" id="{E22756A1-4606-4747-AFCC-E7C0CD512012}"/>
            </a:ext>
          </a:extLst>
        </xdr:cNvPr>
        <xdr:cNvSpPr>
          <a:spLocks noChangeAspect="1"/>
        </xdr:cNvSpPr>
      </xdr:nvSpPr>
      <xdr:spPr>
        <a:xfrm>
          <a:off x="462600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165599</xdr:colOff>
      <xdr:row>117</xdr:row>
      <xdr:rowOff>42450</xdr:rowOff>
    </xdr:from>
    <xdr:to>
      <xdr:col>68</xdr:col>
      <xdr:colOff>633600</xdr:colOff>
      <xdr:row>118</xdr:row>
      <xdr:rowOff>15002</xdr:rowOff>
    </xdr:to>
    <xdr:sp macro="" textlink="">
      <xdr:nvSpPr>
        <xdr:cNvPr id="248595" name="フリーフォーム: 図形 248594">
          <a:extLst>
            <a:ext uri="{FF2B5EF4-FFF2-40B4-BE49-F238E27FC236}">
              <a16:creationId xmlns:a16="http://schemas.microsoft.com/office/drawing/2014/main" id="{ECA3EB8B-A13C-46AC-820E-B1E4FE0E327D}"/>
            </a:ext>
          </a:extLst>
        </xdr:cNvPr>
        <xdr:cNvSpPr>
          <a:spLocks noChangeAspect="1"/>
        </xdr:cNvSpPr>
      </xdr:nvSpPr>
      <xdr:spPr>
        <a:xfrm>
          <a:off x="467999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417599</xdr:colOff>
      <xdr:row>117</xdr:row>
      <xdr:rowOff>114450</xdr:rowOff>
    </xdr:from>
    <xdr:to>
      <xdr:col>69</xdr:col>
      <xdr:colOff>19801</xdr:colOff>
      <xdr:row>123</xdr:row>
      <xdr:rowOff>21752</xdr:rowOff>
    </xdr:to>
    <xdr:sp macro="" textlink="">
      <xdr:nvSpPr>
        <xdr:cNvPr id="248596" name="フリーフォーム: 図形 248595">
          <a:extLst>
            <a:ext uri="{FF2B5EF4-FFF2-40B4-BE49-F238E27FC236}">
              <a16:creationId xmlns:a16="http://schemas.microsoft.com/office/drawing/2014/main" id="{95FEA97A-6F5A-482D-A8CF-A47E03931DEE}"/>
            </a:ext>
          </a:extLst>
        </xdr:cNvPr>
        <xdr:cNvSpPr>
          <a:spLocks noChangeAspect="1"/>
        </xdr:cNvSpPr>
      </xdr:nvSpPr>
      <xdr:spPr>
        <a:xfrm>
          <a:off x="470519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237601</xdr:colOff>
      <xdr:row>123</xdr:row>
      <xdr:rowOff>75750</xdr:rowOff>
    </xdr:from>
    <xdr:to>
      <xdr:col>68</xdr:col>
      <xdr:colOff>525600</xdr:colOff>
      <xdr:row>128</xdr:row>
      <xdr:rowOff>136501</xdr:rowOff>
    </xdr:to>
    <xdr:sp macro="" textlink="">
      <xdr:nvSpPr>
        <xdr:cNvPr id="248597" name="フリーフォーム: 図形 248596">
          <a:extLst>
            <a:ext uri="{FF2B5EF4-FFF2-40B4-BE49-F238E27FC236}">
              <a16:creationId xmlns:a16="http://schemas.microsoft.com/office/drawing/2014/main" id="{D7B0EC05-1FFA-47C4-98DE-70595F22E10A}"/>
            </a:ext>
          </a:extLst>
        </xdr:cNvPr>
        <xdr:cNvSpPr>
          <a:spLocks noChangeAspect="1"/>
        </xdr:cNvSpPr>
      </xdr:nvSpPr>
      <xdr:spPr>
        <a:xfrm>
          <a:off x="468720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655200</xdr:colOff>
      <xdr:row>128</xdr:row>
      <xdr:rowOff>64500</xdr:rowOff>
    </xdr:from>
    <xdr:to>
      <xdr:col>67</xdr:col>
      <xdr:colOff>455400</xdr:colOff>
      <xdr:row>129</xdr:row>
      <xdr:rowOff>37051</xdr:rowOff>
    </xdr:to>
    <xdr:sp macro="" textlink="">
      <xdr:nvSpPr>
        <xdr:cNvPr id="248598" name="フリーフォーム: 図形 248597">
          <a:extLst>
            <a:ext uri="{FF2B5EF4-FFF2-40B4-BE49-F238E27FC236}">
              <a16:creationId xmlns:a16="http://schemas.microsoft.com/office/drawing/2014/main" id="{77F7B226-42E8-4AA7-B185-BD283C1F1BF7}"/>
            </a:ext>
          </a:extLst>
        </xdr:cNvPr>
        <xdr:cNvSpPr>
          <a:spLocks noChangeAspect="1"/>
        </xdr:cNvSpPr>
      </xdr:nvSpPr>
      <xdr:spPr>
        <a:xfrm>
          <a:off x="459180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491399</xdr:colOff>
      <xdr:row>128</xdr:row>
      <xdr:rowOff>64500</xdr:rowOff>
    </xdr:from>
    <xdr:to>
      <xdr:col>68</xdr:col>
      <xdr:colOff>273600</xdr:colOff>
      <xdr:row>129</xdr:row>
      <xdr:rowOff>37051</xdr:rowOff>
    </xdr:to>
    <xdr:sp macro="" textlink="">
      <xdr:nvSpPr>
        <xdr:cNvPr id="248599" name="フリーフォーム: 図形 248598">
          <a:extLst>
            <a:ext uri="{FF2B5EF4-FFF2-40B4-BE49-F238E27FC236}">
              <a16:creationId xmlns:a16="http://schemas.microsoft.com/office/drawing/2014/main" id="{B7C73EC7-24E1-4CB6-8E4E-2B6F24AFC00C}"/>
            </a:ext>
          </a:extLst>
        </xdr:cNvPr>
        <xdr:cNvSpPr>
          <a:spLocks noChangeAspect="1"/>
        </xdr:cNvSpPr>
      </xdr:nvSpPr>
      <xdr:spPr>
        <a:xfrm>
          <a:off x="464399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66</xdr:col>
      <xdr:colOff>601201</xdr:colOff>
      <xdr:row>123</xdr:row>
      <xdr:rowOff>75750</xdr:rowOff>
    </xdr:from>
    <xdr:to>
      <xdr:col>67</xdr:col>
      <xdr:colOff>203403</xdr:colOff>
      <xdr:row>128</xdr:row>
      <xdr:rowOff>136501</xdr:rowOff>
    </xdr:to>
    <xdr:sp macro="" textlink="">
      <xdr:nvSpPr>
        <xdr:cNvPr id="248600" name="フリーフォーム: 図形 248599">
          <a:extLst>
            <a:ext uri="{FF2B5EF4-FFF2-40B4-BE49-F238E27FC236}">
              <a16:creationId xmlns:a16="http://schemas.microsoft.com/office/drawing/2014/main" id="{DF7F74BF-4CAE-4441-9A3C-79C154EF8B52}"/>
            </a:ext>
          </a:extLst>
        </xdr:cNvPr>
        <xdr:cNvSpPr>
          <a:spLocks noChangeAspect="1"/>
        </xdr:cNvSpPr>
      </xdr:nvSpPr>
      <xdr:spPr>
        <a:xfrm>
          <a:off x="458640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117</xdr:row>
      <xdr:rowOff>114450</xdr:rowOff>
    </xdr:from>
    <xdr:to>
      <xdr:col>67</xdr:col>
      <xdr:colOff>347400</xdr:colOff>
      <xdr:row>123</xdr:row>
      <xdr:rowOff>21752</xdr:rowOff>
    </xdr:to>
    <xdr:sp macro="" textlink="">
      <xdr:nvSpPr>
        <xdr:cNvPr id="248601" name="フリーフォーム: 図形 248600">
          <a:extLst>
            <a:ext uri="{FF2B5EF4-FFF2-40B4-BE49-F238E27FC236}">
              <a16:creationId xmlns:a16="http://schemas.microsoft.com/office/drawing/2014/main" id="{5BB588E0-5E9B-48C0-A8F8-600E4405084E}"/>
            </a:ext>
          </a:extLst>
        </xdr:cNvPr>
        <xdr:cNvSpPr>
          <a:spLocks noChangeAspect="1"/>
        </xdr:cNvSpPr>
      </xdr:nvSpPr>
      <xdr:spPr>
        <a:xfrm>
          <a:off x="460439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167401</xdr:colOff>
      <xdr:row>122</xdr:row>
      <xdr:rowOff>139199</xdr:rowOff>
    </xdr:from>
    <xdr:to>
      <xdr:col>67</xdr:col>
      <xdr:colOff>617402</xdr:colOff>
      <xdr:row>123</xdr:row>
      <xdr:rowOff>111751</xdr:rowOff>
    </xdr:to>
    <xdr:sp macro="" textlink="">
      <xdr:nvSpPr>
        <xdr:cNvPr id="248602" name="フリーフォーム: 図形 248601">
          <a:extLst>
            <a:ext uri="{FF2B5EF4-FFF2-40B4-BE49-F238E27FC236}">
              <a16:creationId xmlns:a16="http://schemas.microsoft.com/office/drawing/2014/main" id="{C3A3A4B7-3984-4DC6-979D-FF927B99AFD0}"/>
            </a:ext>
          </a:extLst>
        </xdr:cNvPr>
        <xdr:cNvSpPr>
          <a:spLocks noChangeAspect="1"/>
        </xdr:cNvSpPr>
      </xdr:nvSpPr>
      <xdr:spPr>
        <a:xfrm>
          <a:off x="461160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671401</xdr:colOff>
      <xdr:row>122</xdr:row>
      <xdr:rowOff>139199</xdr:rowOff>
    </xdr:from>
    <xdr:to>
      <xdr:col>68</xdr:col>
      <xdr:colOff>435602</xdr:colOff>
      <xdr:row>123</xdr:row>
      <xdr:rowOff>111751</xdr:rowOff>
    </xdr:to>
    <xdr:sp macro="" textlink="">
      <xdr:nvSpPr>
        <xdr:cNvPr id="248603" name="フリーフォーム: 図形 248602">
          <a:extLst>
            <a:ext uri="{FF2B5EF4-FFF2-40B4-BE49-F238E27FC236}">
              <a16:creationId xmlns:a16="http://schemas.microsoft.com/office/drawing/2014/main" id="{A43F6CC4-D417-4553-B6D7-A47CC2924848}"/>
            </a:ext>
          </a:extLst>
        </xdr:cNvPr>
        <xdr:cNvSpPr>
          <a:spLocks noChangeAspect="1"/>
        </xdr:cNvSpPr>
      </xdr:nvSpPr>
      <xdr:spPr>
        <a:xfrm>
          <a:off x="466200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365401</xdr:colOff>
      <xdr:row>118</xdr:row>
      <xdr:rowOff>51000</xdr:rowOff>
    </xdr:from>
    <xdr:to>
      <xdr:col>67</xdr:col>
      <xdr:colOff>635401</xdr:colOff>
      <xdr:row>123</xdr:row>
      <xdr:rowOff>3751</xdr:rowOff>
    </xdr:to>
    <xdr:sp macro="" textlink="">
      <xdr:nvSpPr>
        <xdr:cNvPr id="248604" name="フリーフォーム: 図形 248603">
          <a:extLst>
            <a:ext uri="{FF2B5EF4-FFF2-40B4-BE49-F238E27FC236}">
              <a16:creationId xmlns:a16="http://schemas.microsoft.com/office/drawing/2014/main" id="{C3DBDE54-E929-4D1D-957B-61EB1A01BAD2}"/>
            </a:ext>
          </a:extLst>
        </xdr:cNvPr>
        <xdr:cNvSpPr>
          <a:spLocks noChangeAspect="1"/>
        </xdr:cNvSpPr>
      </xdr:nvSpPr>
      <xdr:spPr>
        <a:xfrm>
          <a:off x="463140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635400</xdr:colOff>
      <xdr:row>117</xdr:row>
      <xdr:rowOff>114450</xdr:rowOff>
    </xdr:from>
    <xdr:to>
      <xdr:col>68</xdr:col>
      <xdr:colOff>201601</xdr:colOff>
      <xdr:row>122</xdr:row>
      <xdr:rowOff>157201</xdr:rowOff>
    </xdr:to>
    <xdr:sp macro="" textlink="">
      <xdr:nvSpPr>
        <xdr:cNvPr id="248605" name="フリーフォーム: 図形 248604">
          <a:extLst>
            <a:ext uri="{FF2B5EF4-FFF2-40B4-BE49-F238E27FC236}">
              <a16:creationId xmlns:a16="http://schemas.microsoft.com/office/drawing/2014/main" id="{3055BDC9-E598-439D-A318-E19F4A849E05}"/>
            </a:ext>
          </a:extLst>
        </xdr:cNvPr>
        <xdr:cNvSpPr>
          <a:spLocks noChangeAspect="1"/>
        </xdr:cNvSpPr>
      </xdr:nvSpPr>
      <xdr:spPr>
        <a:xfrm>
          <a:off x="465840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68</xdr:col>
      <xdr:colOff>3600</xdr:colOff>
      <xdr:row>118</xdr:row>
      <xdr:rowOff>69000</xdr:rowOff>
    </xdr:from>
    <xdr:to>
      <xdr:col>68</xdr:col>
      <xdr:colOff>525600</xdr:colOff>
      <xdr:row>123</xdr:row>
      <xdr:rowOff>3751</xdr:rowOff>
    </xdr:to>
    <xdr:sp macro="" textlink="">
      <xdr:nvSpPr>
        <xdr:cNvPr id="248606" name="フリーフォーム: 図形 248605">
          <a:extLst>
            <a:ext uri="{FF2B5EF4-FFF2-40B4-BE49-F238E27FC236}">
              <a16:creationId xmlns:a16="http://schemas.microsoft.com/office/drawing/2014/main" id="{FEEC6481-1868-4394-82C7-4C9FD87FC38E}"/>
            </a:ext>
          </a:extLst>
        </xdr:cNvPr>
        <xdr:cNvSpPr>
          <a:spLocks noChangeAspect="1"/>
        </xdr:cNvSpPr>
      </xdr:nvSpPr>
      <xdr:spPr>
        <a:xfrm>
          <a:off x="466380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653399</xdr:colOff>
      <xdr:row>123</xdr:row>
      <xdr:rowOff>75750</xdr:rowOff>
    </xdr:from>
    <xdr:to>
      <xdr:col>68</xdr:col>
      <xdr:colOff>237602</xdr:colOff>
      <xdr:row>127</xdr:row>
      <xdr:rowOff>163951</xdr:rowOff>
    </xdr:to>
    <xdr:sp macro="" textlink="">
      <xdr:nvSpPr>
        <xdr:cNvPr id="248607" name="フリーフォーム: 図形 248606">
          <a:extLst>
            <a:ext uri="{FF2B5EF4-FFF2-40B4-BE49-F238E27FC236}">
              <a16:creationId xmlns:a16="http://schemas.microsoft.com/office/drawing/2014/main" id="{F3562B4B-87EE-4E97-B1AC-F82C87503A3E}"/>
            </a:ext>
          </a:extLst>
        </xdr:cNvPr>
        <xdr:cNvSpPr>
          <a:spLocks noChangeAspect="1"/>
        </xdr:cNvSpPr>
      </xdr:nvSpPr>
      <xdr:spPr>
        <a:xfrm>
          <a:off x="466019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419401</xdr:colOff>
      <xdr:row>123</xdr:row>
      <xdr:rowOff>93749</xdr:rowOff>
    </xdr:from>
    <xdr:to>
      <xdr:col>67</xdr:col>
      <xdr:colOff>653400</xdr:colOff>
      <xdr:row>128</xdr:row>
      <xdr:rowOff>118501</xdr:rowOff>
    </xdr:to>
    <xdr:sp macro="" textlink="">
      <xdr:nvSpPr>
        <xdr:cNvPr id="248608" name="フリーフォーム: 図形 248607">
          <a:extLst>
            <a:ext uri="{FF2B5EF4-FFF2-40B4-BE49-F238E27FC236}">
              <a16:creationId xmlns:a16="http://schemas.microsoft.com/office/drawing/2014/main" id="{921CFAFC-EDE3-4FA9-B4DB-805ED2046A8C}"/>
            </a:ext>
          </a:extLst>
        </xdr:cNvPr>
        <xdr:cNvSpPr>
          <a:spLocks noChangeAspect="1"/>
        </xdr:cNvSpPr>
      </xdr:nvSpPr>
      <xdr:spPr>
        <a:xfrm>
          <a:off x="463680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67</xdr:col>
      <xdr:colOff>95399</xdr:colOff>
      <xdr:row>123</xdr:row>
      <xdr:rowOff>75750</xdr:rowOff>
    </xdr:from>
    <xdr:to>
      <xdr:col>67</xdr:col>
      <xdr:colOff>617402</xdr:colOff>
      <xdr:row>128</xdr:row>
      <xdr:rowOff>10501</xdr:rowOff>
    </xdr:to>
    <xdr:sp macro="" textlink="">
      <xdr:nvSpPr>
        <xdr:cNvPr id="248609" name="フリーフォーム: 図形 248608">
          <a:extLst>
            <a:ext uri="{FF2B5EF4-FFF2-40B4-BE49-F238E27FC236}">
              <a16:creationId xmlns:a16="http://schemas.microsoft.com/office/drawing/2014/main" id="{E75F12A9-D9AD-4343-891A-E7B17EA694EE}"/>
            </a:ext>
          </a:extLst>
        </xdr:cNvPr>
        <xdr:cNvSpPr>
          <a:spLocks noChangeAspect="1"/>
        </xdr:cNvSpPr>
      </xdr:nvSpPr>
      <xdr:spPr>
        <a:xfrm>
          <a:off x="460439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82801</xdr:colOff>
      <xdr:row>117</xdr:row>
      <xdr:rowOff>42450</xdr:rowOff>
    </xdr:from>
    <xdr:to>
      <xdr:col>70</xdr:col>
      <xdr:colOff>550801</xdr:colOff>
      <xdr:row>118</xdr:row>
      <xdr:rowOff>15002</xdr:rowOff>
    </xdr:to>
    <xdr:sp macro="" textlink="">
      <xdr:nvSpPr>
        <xdr:cNvPr id="248610" name="フリーフォーム: 図形 248609">
          <a:extLst>
            <a:ext uri="{FF2B5EF4-FFF2-40B4-BE49-F238E27FC236}">
              <a16:creationId xmlns:a16="http://schemas.microsoft.com/office/drawing/2014/main" id="{BC14C2C4-40B2-41DE-BFF5-DD3B14E8A9FC}"/>
            </a:ext>
          </a:extLst>
        </xdr:cNvPr>
        <xdr:cNvSpPr>
          <a:spLocks noChangeAspect="1"/>
        </xdr:cNvSpPr>
      </xdr:nvSpPr>
      <xdr:spPr>
        <a:xfrm>
          <a:off x="480888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622799</xdr:colOff>
      <xdr:row>117</xdr:row>
      <xdr:rowOff>42450</xdr:rowOff>
    </xdr:from>
    <xdr:to>
      <xdr:col>71</xdr:col>
      <xdr:colOff>405000</xdr:colOff>
      <xdr:row>118</xdr:row>
      <xdr:rowOff>15002</xdr:rowOff>
    </xdr:to>
    <xdr:sp macro="" textlink="">
      <xdr:nvSpPr>
        <xdr:cNvPr id="248611" name="フリーフォーム: 図形 248610">
          <a:extLst>
            <a:ext uri="{FF2B5EF4-FFF2-40B4-BE49-F238E27FC236}">
              <a16:creationId xmlns:a16="http://schemas.microsoft.com/office/drawing/2014/main" id="{47831442-C29A-4378-9AD3-4D6D25F7287E}"/>
            </a:ext>
          </a:extLst>
        </xdr:cNvPr>
        <xdr:cNvSpPr>
          <a:spLocks noChangeAspect="1"/>
        </xdr:cNvSpPr>
      </xdr:nvSpPr>
      <xdr:spPr>
        <a:xfrm>
          <a:off x="486287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188999</xdr:colOff>
      <xdr:row>117</xdr:row>
      <xdr:rowOff>114450</xdr:rowOff>
    </xdr:from>
    <xdr:to>
      <xdr:col>71</xdr:col>
      <xdr:colOff>477001</xdr:colOff>
      <xdr:row>123</xdr:row>
      <xdr:rowOff>21752</xdr:rowOff>
    </xdr:to>
    <xdr:sp macro="" textlink="">
      <xdr:nvSpPr>
        <xdr:cNvPr id="248612" name="フリーフォーム: 図形 248611">
          <a:extLst>
            <a:ext uri="{FF2B5EF4-FFF2-40B4-BE49-F238E27FC236}">
              <a16:creationId xmlns:a16="http://schemas.microsoft.com/office/drawing/2014/main" id="{4B6BB0A3-390B-4276-BA23-E7991CC20900}"/>
            </a:ext>
          </a:extLst>
        </xdr:cNvPr>
        <xdr:cNvSpPr>
          <a:spLocks noChangeAspect="1"/>
        </xdr:cNvSpPr>
      </xdr:nvSpPr>
      <xdr:spPr>
        <a:xfrm>
          <a:off x="488807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71</xdr:col>
      <xdr:colOff>9001</xdr:colOff>
      <xdr:row>123</xdr:row>
      <xdr:rowOff>75750</xdr:rowOff>
    </xdr:from>
    <xdr:to>
      <xdr:col>71</xdr:col>
      <xdr:colOff>297000</xdr:colOff>
      <xdr:row>128</xdr:row>
      <xdr:rowOff>136501</xdr:rowOff>
    </xdr:to>
    <xdr:sp macro="" textlink="">
      <xdr:nvSpPr>
        <xdr:cNvPr id="248613" name="フリーフォーム: 図形 248612">
          <a:extLst>
            <a:ext uri="{FF2B5EF4-FFF2-40B4-BE49-F238E27FC236}">
              <a16:creationId xmlns:a16="http://schemas.microsoft.com/office/drawing/2014/main" id="{92FC62DE-3630-45EA-A6AB-CEDA85475FD4}"/>
            </a:ext>
          </a:extLst>
        </xdr:cNvPr>
        <xdr:cNvSpPr>
          <a:spLocks noChangeAspect="1"/>
        </xdr:cNvSpPr>
      </xdr:nvSpPr>
      <xdr:spPr>
        <a:xfrm>
          <a:off x="487008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426600</xdr:colOff>
      <xdr:row>128</xdr:row>
      <xdr:rowOff>64500</xdr:rowOff>
    </xdr:from>
    <xdr:to>
      <xdr:col>70</xdr:col>
      <xdr:colOff>226800</xdr:colOff>
      <xdr:row>129</xdr:row>
      <xdr:rowOff>37051</xdr:rowOff>
    </xdr:to>
    <xdr:sp macro="" textlink="">
      <xdr:nvSpPr>
        <xdr:cNvPr id="248614" name="フリーフォーム: 図形 248613">
          <a:extLst>
            <a:ext uri="{FF2B5EF4-FFF2-40B4-BE49-F238E27FC236}">
              <a16:creationId xmlns:a16="http://schemas.microsoft.com/office/drawing/2014/main" id="{6F4C643E-26C8-496E-AA7C-9E1929CC55DD}"/>
            </a:ext>
          </a:extLst>
        </xdr:cNvPr>
        <xdr:cNvSpPr>
          <a:spLocks noChangeAspect="1"/>
        </xdr:cNvSpPr>
      </xdr:nvSpPr>
      <xdr:spPr>
        <a:xfrm>
          <a:off x="477468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262799</xdr:colOff>
      <xdr:row>128</xdr:row>
      <xdr:rowOff>64500</xdr:rowOff>
    </xdr:from>
    <xdr:to>
      <xdr:col>71</xdr:col>
      <xdr:colOff>45000</xdr:colOff>
      <xdr:row>129</xdr:row>
      <xdr:rowOff>37051</xdr:rowOff>
    </xdr:to>
    <xdr:sp macro="" textlink="">
      <xdr:nvSpPr>
        <xdr:cNvPr id="248615" name="フリーフォーム: 図形 248614">
          <a:extLst>
            <a:ext uri="{FF2B5EF4-FFF2-40B4-BE49-F238E27FC236}">
              <a16:creationId xmlns:a16="http://schemas.microsoft.com/office/drawing/2014/main" id="{88DB49C6-0E17-4D62-BEEF-0B976E51B7C5}"/>
            </a:ext>
          </a:extLst>
        </xdr:cNvPr>
        <xdr:cNvSpPr>
          <a:spLocks noChangeAspect="1"/>
        </xdr:cNvSpPr>
      </xdr:nvSpPr>
      <xdr:spPr>
        <a:xfrm>
          <a:off x="482687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372601</xdr:colOff>
      <xdr:row>123</xdr:row>
      <xdr:rowOff>75750</xdr:rowOff>
    </xdr:from>
    <xdr:to>
      <xdr:col>69</xdr:col>
      <xdr:colOff>660603</xdr:colOff>
      <xdr:row>128</xdr:row>
      <xdr:rowOff>136501</xdr:rowOff>
    </xdr:to>
    <xdr:sp macro="" textlink="">
      <xdr:nvSpPr>
        <xdr:cNvPr id="248616" name="フリーフォーム: 図形 248615">
          <a:extLst>
            <a:ext uri="{FF2B5EF4-FFF2-40B4-BE49-F238E27FC236}">
              <a16:creationId xmlns:a16="http://schemas.microsoft.com/office/drawing/2014/main" id="{D72BA7D3-0675-477A-A1F8-F5A3DE16146D}"/>
            </a:ext>
          </a:extLst>
        </xdr:cNvPr>
        <xdr:cNvSpPr>
          <a:spLocks noChangeAspect="1"/>
        </xdr:cNvSpPr>
      </xdr:nvSpPr>
      <xdr:spPr>
        <a:xfrm>
          <a:off x="476928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117</xdr:row>
      <xdr:rowOff>114450</xdr:rowOff>
    </xdr:from>
    <xdr:to>
      <xdr:col>70</xdr:col>
      <xdr:colOff>118800</xdr:colOff>
      <xdr:row>123</xdr:row>
      <xdr:rowOff>21752</xdr:rowOff>
    </xdr:to>
    <xdr:sp macro="" textlink="">
      <xdr:nvSpPr>
        <xdr:cNvPr id="248617" name="フリーフォーム: 図形 248616">
          <a:extLst>
            <a:ext uri="{FF2B5EF4-FFF2-40B4-BE49-F238E27FC236}">
              <a16:creationId xmlns:a16="http://schemas.microsoft.com/office/drawing/2014/main" id="{BB5FEAFA-90F0-4472-8F6C-B8489783FCD1}"/>
            </a:ext>
          </a:extLst>
        </xdr:cNvPr>
        <xdr:cNvSpPr>
          <a:spLocks noChangeAspect="1"/>
        </xdr:cNvSpPr>
      </xdr:nvSpPr>
      <xdr:spPr>
        <a:xfrm>
          <a:off x="478727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624601</xdr:colOff>
      <xdr:row>122</xdr:row>
      <xdr:rowOff>139199</xdr:rowOff>
    </xdr:from>
    <xdr:to>
      <xdr:col>70</xdr:col>
      <xdr:colOff>388802</xdr:colOff>
      <xdr:row>123</xdr:row>
      <xdr:rowOff>111751</xdr:rowOff>
    </xdr:to>
    <xdr:sp macro="" textlink="">
      <xdr:nvSpPr>
        <xdr:cNvPr id="248618" name="フリーフォーム: 図形 248617">
          <a:extLst>
            <a:ext uri="{FF2B5EF4-FFF2-40B4-BE49-F238E27FC236}">
              <a16:creationId xmlns:a16="http://schemas.microsoft.com/office/drawing/2014/main" id="{C83B32F9-10AB-4B0E-82E1-962DE58FE07E}"/>
            </a:ext>
          </a:extLst>
        </xdr:cNvPr>
        <xdr:cNvSpPr>
          <a:spLocks noChangeAspect="1"/>
        </xdr:cNvSpPr>
      </xdr:nvSpPr>
      <xdr:spPr>
        <a:xfrm>
          <a:off x="479448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442801</xdr:colOff>
      <xdr:row>122</xdr:row>
      <xdr:rowOff>139199</xdr:rowOff>
    </xdr:from>
    <xdr:to>
      <xdr:col>71</xdr:col>
      <xdr:colOff>207002</xdr:colOff>
      <xdr:row>123</xdr:row>
      <xdr:rowOff>111751</xdr:rowOff>
    </xdr:to>
    <xdr:sp macro="" textlink="">
      <xdr:nvSpPr>
        <xdr:cNvPr id="248619" name="フリーフォーム: 図形 248618">
          <a:extLst>
            <a:ext uri="{FF2B5EF4-FFF2-40B4-BE49-F238E27FC236}">
              <a16:creationId xmlns:a16="http://schemas.microsoft.com/office/drawing/2014/main" id="{3DACB174-7EFF-4896-9CFE-7BAB1CE5B84D}"/>
            </a:ext>
          </a:extLst>
        </xdr:cNvPr>
        <xdr:cNvSpPr>
          <a:spLocks noChangeAspect="1"/>
        </xdr:cNvSpPr>
      </xdr:nvSpPr>
      <xdr:spPr>
        <a:xfrm>
          <a:off x="484488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136801</xdr:colOff>
      <xdr:row>118</xdr:row>
      <xdr:rowOff>51000</xdr:rowOff>
    </xdr:from>
    <xdr:to>
      <xdr:col>70</xdr:col>
      <xdr:colOff>406801</xdr:colOff>
      <xdr:row>123</xdr:row>
      <xdr:rowOff>3751</xdr:rowOff>
    </xdr:to>
    <xdr:sp macro="" textlink="">
      <xdr:nvSpPr>
        <xdr:cNvPr id="248620" name="フリーフォーム: 図形 248619">
          <a:extLst>
            <a:ext uri="{FF2B5EF4-FFF2-40B4-BE49-F238E27FC236}">
              <a16:creationId xmlns:a16="http://schemas.microsoft.com/office/drawing/2014/main" id="{BCA31344-444D-41CA-A1FC-1B6E984F4EC6}"/>
            </a:ext>
          </a:extLst>
        </xdr:cNvPr>
        <xdr:cNvSpPr>
          <a:spLocks noChangeAspect="1"/>
        </xdr:cNvSpPr>
      </xdr:nvSpPr>
      <xdr:spPr>
        <a:xfrm>
          <a:off x="481428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406800</xdr:colOff>
      <xdr:row>117</xdr:row>
      <xdr:rowOff>114450</xdr:rowOff>
    </xdr:from>
    <xdr:to>
      <xdr:col>70</xdr:col>
      <xdr:colOff>658801</xdr:colOff>
      <xdr:row>122</xdr:row>
      <xdr:rowOff>157201</xdr:rowOff>
    </xdr:to>
    <xdr:sp macro="" textlink="">
      <xdr:nvSpPr>
        <xdr:cNvPr id="248621" name="フリーフォーム: 図形 248620">
          <a:extLst>
            <a:ext uri="{FF2B5EF4-FFF2-40B4-BE49-F238E27FC236}">
              <a16:creationId xmlns:a16="http://schemas.microsoft.com/office/drawing/2014/main" id="{A0744EF7-B659-4618-8167-B8051E7E1568}"/>
            </a:ext>
          </a:extLst>
        </xdr:cNvPr>
        <xdr:cNvSpPr>
          <a:spLocks noChangeAspect="1"/>
        </xdr:cNvSpPr>
      </xdr:nvSpPr>
      <xdr:spPr>
        <a:xfrm>
          <a:off x="484128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460800</xdr:colOff>
      <xdr:row>118</xdr:row>
      <xdr:rowOff>69000</xdr:rowOff>
    </xdr:from>
    <xdr:to>
      <xdr:col>71</xdr:col>
      <xdr:colOff>297000</xdr:colOff>
      <xdr:row>123</xdr:row>
      <xdr:rowOff>3751</xdr:rowOff>
    </xdr:to>
    <xdr:sp macro="" textlink="">
      <xdr:nvSpPr>
        <xdr:cNvPr id="248622" name="フリーフォーム: 図形 248621">
          <a:extLst>
            <a:ext uri="{FF2B5EF4-FFF2-40B4-BE49-F238E27FC236}">
              <a16:creationId xmlns:a16="http://schemas.microsoft.com/office/drawing/2014/main" id="{EEF0C10D-959C-469E-AC11-841E7658249F}"/>
            </a:ext>
          </a:extLst>
        </xdr:cNvPr>
        <xdr:cNvSpPr>
          <a:spLocks noChangeAspect="1"/>
        </xdr:cNvSpPr>
      </xdr:nvSpPr>
      <xdr:spPr>
        <a:xfrm>
          <a:off x="484668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424799</xdr:colOff>
      <xdr:row>123</xdr:row>
      <xdr:rowOff>75750</xdr:rowOff>
    </xdr:from>
    <xdr:to>
      <xdr:col>71</xdr:col>
      <xdr:colOff>9002</xdr:colOff>
      <xdr:row>127</xdr:row>
      <xdr:rowOff>163951</xdr:rowOff>
    </xdr:to>
    <xdr:sp macro="" textlink="">
      <xdr:nvSpPr>
        <xdr:cNvPr id="248623" name="フリーフォーム: 図形 248622">
          <a:extLst>
            <a:ext uri="{FF2B5EF4-FFF2-40B4-BE49-F238E27FC236}">
              <a16:creationId xmlns:a16="http://schemas.microsoft.com/office/drawing/2014/main" id="{75EA4D16-E7B7-4679-B54E-944816340F10}"/>
            </a:ext>
          </a:extLst>
        </xdr:cNvPr>
        <xdr:cNvSpPr>
          <a:spLocks noChangeAspect="1"/>
        </xdr:cNvSpPr>
      </xdr:nvSpPr>
      <xdr:spPr>
        <a:xfrm>
          <a:off x="484307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70</xdr:col>
      <xdr:colOff>190801</xdr:colOff>
      <xdr:row>123</xdr:row>
      <xdr:rowOff>93749</xdr:rowOff>
    </xdr:from>
    <xdr:to>
      <xdr:col>70</xdr:col>
      <xdr:colOff>424800</xdr:colOff>
      <xdr:row>128</xdr:row>
      <xdr:rowOff>118501</xdr:rowOff>
    </xdr:to>
    <xdr:sp macro="" textlink="">
      <xdr:nvSpPr>
        <xdr:cNvPr id="248624" name="フリーフォーム: 図形 248623">
          <a:extLst>
            <a:ext uri="{FF2B5EF4-FFF2-40B4-BE49-F238E27FC236}">
              <a16:creationId xmlns:a16="http://schemas.microsoft.com/office/drawing/2014/main" id="{7A478917-594A-40D0-ADEF-8B064230C62F}"/>
            </a:ext>
          </a:extLst>
        </xdr:cNvPr>
        <xdr:cNvSpPr>
          <a:spLocks noChangeAspect="1"/>
        </xdr:cNvSpPr>
      </xdr:nvSpPr>
      <xdr:spPr>
        <a:xfrm>
          <a:off x="481968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69</xdr:col>
      <xdr:colOff>552599</xdr:colOff>
      <xdr:row>123</xdr:row>
      <xdr:rowOff>75750</xdr:rowOff>
    </xdr:from>
    <xdr:to>
      <xdr:col>70</xdr:col>
      <xdr:colOff>388802</xdr:colOff>
      <xdr:row>128</xdr:row>
      <xdr:rowOff>10501</xdr:rowOff>
    </xdr:to>
    <xdr:sp macro="" textlink="">
      <xdr:nvSpPr>
        <xdr:cNvPr id="248625" name="フリーフォーム: 図形 248624">
          <a:extLst>
            <a:ext uri="{FF2B5EF4-FFF2-40B4-BE49-F238E27FC236}">
              <a16:creationId xmlns:a16="http://schemas.microsoft.com/office/drawing/2014/main" id="{B239D6C2-8FEC-445B-B6D2-3F1E033F3C8F}"/>
            </a:ext>
          </a:extLst>
        </xdr:cNvPr>
        <xdr:cNvSpPr>
          <a:spLocks noChangeAspect="1"/>
        </xdr:cNvSpPr>
      </xdr:nvSpPr>
      <xdr:spPr>
        <a:xfrm>
          <a:off x="478727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540001</xdr:colOff>
      <xdr:row>117</xdr:row>
      <xdr:rowOff>42450</xdr:rowOff>
    </xdr:from>
    <xdr:to>
      <xdr:col>73</xdr:col>
      <xdr:colOff>322201</xdr:colOff>
      <xdr:row>118</xdr:row>
      <xdr:rowOff>15002</xdr:rowOff>
    </xdr:to>
    <xdr:sp macro="" textlink="">
      <xdr:nvSpPr>
        <xdr:cNvPr id="248626" name="フリーフォーム: 図形 248625">
          <a:extLst>
            <a:ext uri="{FF2B5EF4-FFF2-40B4-BE49-F238E27FC236}">
              <a16:creationId xmlns:a16="http://schemas.microsoft.com/office/drawing/2014/main" id="{771DA2D0-679B-4123-B7E1-C3E0A9FBA161}"/>
            </a:ext>
          </a:extLst>
        </xdr:cNvPr>
        <xdr:cNvSpPr>
          <a:spLocks noChangeAspect="1"/>
        </xdr:cNvSpPr>
      </xdr:nvSpPr>
      <xdr:spPr>
        <a:xfrm>
          <a:off x="49917601" y="20368800"/>
          <a:ext cx="468000" cy="144002"/>
        </a:xfrm>
        <a:custGeom>
          <a:avLst/>
          <a:gdLst/>
          <a:ahLst/>
          <a:cxnLst/>
          <a:rect l="0" t="0" r="0" b="0"/>
          <a:pathLst>
            <a:path w="468000" h="144002">
              <a:moveTo>
                <a:pt x="71999" y="0"/>
              </a:moveTo>
              <a:lnTo>
                <a:pt x="431999" y="0"/>
              </a:lnTo>
              <a:lnTo>
                <a:pt x="467999" y="35999"/>
              </a:lnTo>
              <a:lnTo>
                <a:pt x="360000" y="144001"/>
              </a:lnTo>
              <a:lnTo>
                <a:pt x="71999"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394199</xdr:colOff>
      <xdr:row>117</xdr:row>
      <xdr:rowOff>42450</xdr:rowOff>
    </xdr:from>
    <xdr:to>
      <xdr:col>74</xdr:col>
      <xdr:colOff>176400</xdr:colOff>
      <xdr:row>118</xdr:row>
      <xdr:rowOff>15002</xdr:rowOff>
    </xdr:to>
    <xdr:sp macro="" textlink="">
      <xdr:nvSpPr>
        <xdr:cNvPr id="248627" name="フリーフォーム: 図形 248626">
          <a:extLst>
            <a:ext uri="{FF2B5EF4-FFF2-40B4-BE49-F238E27FC236}">
              <a16:creationId xmlns:a16="http://schemas.microsoft.com/office/drawing/2014/main" id="{3F0DBAC6-6750-4644-BCF4-014E32DFB7C8}"/>
            </a:ext>
          </a:extLst>
        </xdr:cNvPr>
        <xdr:cNvSpPr>
          <a:spLocks noChangeAspect="1"/>
        </xdr:cNvSpPr>
      </xdr:nvSpPr>
      <xdr:spPr>
        <a:xfrm>
          <a:off x="50457599" y="20368800"/>
          <a:ext cx="468001" cy="144002"/>
        </a:xfrm>
        <a:custGeom>
          <a:avLst/>
          <a:gdLst/>
          <a:ahLst/>
          <a:cxnLst/>
          <a:rect l="0" t="0" r="0" b="0"/>
          <a:pathLst>
            <a:path w="468001" h="144002">
              <a:moveTo>
                <a:pt x="72002" y="0"/>
              </a:moveTo>
              <a:lnTo>
                <a:pt x="432002" y="0"/>
              </a:lnTo>
              <a:lnTo>
                <a:pt x="468000" y="35999"/>
              </a:lnTo>
              <a:lnTo>
                <a:pt x="360000" y="144001"/>
              </a:lnTo>
              <a:lnTo>
                <a:pt x="90001"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646199</xdr:colOff>
      <xdr:row>117</xdr:row>
      <xdr:rowOff>114450</xdr:rowOff>
    </xdr:from>
    <xdr:to>
      <xdr:col>74</xdr:col>
      <xdr:colOff>248401</xdr:colOff>
      <xdr:row>123</xdr:row>
      <xdr:rowOff>21752</xdr:rowOff>
    </xdr:to>
    <xdr:sp macro="" textlink="">
      <xdr:nvSpPr>
        <xdr:cNvPr id="248628" name="フリーフォーム: 図形 248627">
          <a:extLst>
            <a:ext uri="{FF2B5EF4-FFF2-40B4-BE49-F238E27FC236}">
              <a16:creationId xmlns:a16="http://schemas.microsoft.com/office/drawing/2014/main" id="{E08F3550-2743-47AC-BDDB-59863EE35013}"/>
            </a:ext>
          </a:extLst>
        </xdr:cNvPr>
        <xdr:cNvSpPr>
          <a:spLocks noChangeAspect="1"/>
        </xdr:cNvSpPr>
      </xdr:nvSpPr>
      <xdr:spPr>
        <a:xfrm>
          <a:off x="50709599" y="20440800"/>
          <a:ext cx="288002" cy="936002"/>
        </a:xfrm>
        <a:custGeom>
          <a:avLst/>
          <a:gdLst/>
          <a:ahLst/>
          <a:cxnLst/>
          <a:rect l="0" t="0" r="0" b="0"/>
          <a:pathLst>
            <a:path w="288002" h="936002">
              <a:moveTo>
                <a:pt x="144001" y="108000"/>
              </a:moveTo>
              <a:lnTo>
                <a:pt x="252000" y="0"/>
              </a:lnTo>
              <a:lnTo>
                <a:pt x="288001" y="72001"/>
              </a:lnTo>
              <a:lnTo>
                <a:pt x="144001"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466201</xdr:colOff>
      <xdr:row>123</xdr:row>
      <xdr:rowOff>75750</xdr:rowOff>
    </xdr:from>
    <xdr:to>
      <xdr:col>74</xdr:col>
      <xdr:colOff>68400</xdr:colOff>
      <xdr:row>128</xdr:row>
      <xdr:rowOff>136501</xdr:rowOff>
    </xdr:to>
    <xdr:sp macro="" textlink="">
      <xdr:nvSpPr>
        <xdr:cNvPr id="248629" name="フリーフォーム: 図形 248628">
          <a:extLst>
            <a:ext uri="{FF2B5EF4-FFF2-40B4-BE49-F238E27FC236}">
              <a16:creationId xmlns:a16="http://schemas.microsoft.com/office/drawing/2014/main" id="{3217933F-8554-4A37-888C-1962C4521BD0}"/>
            </a:ext>
          </a:extLst>
        </xdr:cNvPr>
        <xdr:cNvSpPr>
          <a:spLocks noChangeAspect="1"/>
        </xdr:cNvSpPr>
      </xdr:nvSpPr>
      <xdr:spPr>
        <a:xfrm>
          <a:off x="50529601" y="21430800"/>
          <a:ext cx="287999" cy="918001"/>
        </a:xfrm>
        <a:custGeom>
          <a:avLst/>
          <a:gdLst/>
          <a:ahLst/>
          <a:cxnLst/>
          <a:rect l="0" t="0" r="0" b="0"/>
          <a:pathLst>
            <a:path w="287999" h="918001">
              <a:moveTo>
                <a:pt x="144001" y="72001"/>
              </a:moveTo>
              <a:lnTo>
                <a:pt x="215999" y="0"/>
              </a:lnTo>
              <a:lnTo>
                <a:pt x="287998" y="54000"/>
              </a:lnTo>
              <a:lnTo>
                <a:pt x="144001" y="846000"/>
              </a:lnTo>
              <a:lnTo>
                <a:pt x="71999"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198000</xdr:colOff>
      <xdr:row>128</xdr:row>
      <xdr:rowOff>64500</xdr:rowOff>
    </xdr:from>
    <xdr:to>
      <xdr:col>72</xdr:col>
      <xdr:colOff>684000</xdr:colOff>
      <xdr:row>129</xdr:row>
      <xdr:rowOff>37051</xdr:rowOff>
    </xdr:to>
    <xdr:sp macro="" textlink="">
      <xdr:nvSpPr>
        <xdr:cNvPr id="248630" name="フリーフォーム: 図形 248629">
          <a:extLst>
            <a:ext uri="{FF2B5EF4-FFF2-40B4-BE49-F238E27FC236}">
              <a16:creationId xmlns:a16="http://schemas.microsoft.com/office/drawing/2014/main" id="{1961A5A6-4CF4-4400-9A0E-2F1F51556291}"/>
            </a:ext>
          </a:extLst>
        </xdr:cNvPr>
        <xdr:cNvSpPr>
          <a:spLocks noChangeAspect="1"/>
        </xdr:cNvSpPr>
      </xdr:nvSpPr>
      <xdr:spPr>
        <a:xfrm>
          <a:off x="495756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34199</xdr:colOff>
      <xdr:row>128</xdr:row>
      <xdr:rowOff>64500</xdr:rowOff>
    </xdr:from>
    <xdr:to>
      <xdr:col>73</xdr:col>
      <xdr:colOff>502200</xdr:colOff>
      <xdr:row>129</xdr:row>
      <xdr:rowOff>37051</xdr:rowOff>
    </xdr:to>
    <xdr:sp macro="" textlink="">
      <xdr:nvSpPr>
        <xdr:cNvPr id="248631" name="フリーフォーム: 図形 248630">
          <a:extLst>
            <a:ext uri="{FF2B5EF4-FFF2-40B4-BE49-F238E27FC236}">
              <a16:creationId xmlns:a16="http://schemas.microsoft.com/office/drawing/2014/main" id="{0FF4948E-FF40-4C58-BECA-29BE288CEE29}"/>
            </a:ext>
          </a:extLst>
        </xdr:cNvPr>
        <xdr:cNvSpPr>
          <a:spLocks noChangeAspect="1"/>
        </xdr:cNvSpPr>
      </xdr:nvSpPr>
      <xdr:spPr>
        <a:xfrm>
          <a:off x="50097599" y="22276800"/>
          <a:ext cx="468001" cy="144001"/>
        </a:xfrm>
        <a:custGeom>
          <a:avLst/>
          <a:gdLst/>
          <a:ahLst/>
          <a:cxnLst/>
          <a:rect l="0" t="0" r="0" b="0"/>
          <a:pathLst>
            <a:path w="468001" h="144001">
              <a:moveTo>
                <a:pt x="144001" y="0"/>
              </a:moveTo>
              <a:lnTo>
                <a:pt x="396001" y="0"/>
              </a:lnTo>
              <a:lnTo>
                <a:pt x="468000" y="108000"/>
              </a:lnTo>
              <a:lnTo>
                <a:pt x="432002" y="144000"/>
              </a:lnTo>
              <a:lnTo>
                <a:pt x="36001"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144001</xdr:colOff>
      <xdr:row>123</xdr:row>
      <xdr:rowOff>75750</xdr:rowOff>
    </xdr:from>
    <xdr:to>
      <xdr:col>72</xdr:col>
      <xdr:colOff>432003</xdr:colOff>
      <xdr:row>128</xdr:row>
      <xdr:rowOff>136501</xdr:rowOff>
    </xdr:to>
    <xdr:sp macro="" textlink="">
      <xdr:nvSpPr>
        <xdr:cNvPr id="248632" name="フリーフォーム: 図形 248631">
          <a:extLst>
            <a:ext uri="{FF2B5EF4-FFF2-40B4-BE49-F238E27FC236}">
              <a16:creationId xmlns:a16="http://schemas.microsoft.com/office/drawing/2014/main" id="{F8A86CF6-0BAB-42B5-B698-CD0276F96D7F}"/>
            </a:ext>
          </a:extLst>
        </xdr:cNvPr>
        <xdr:cNvSpPr>
          <a:spLocks noChangeAspect="1"/>
        </xdr:cNvSpPr>
      </xdr:nvSpPr>
      <xdr:spPr>
        <a:xfrm>
          <a:off x="495216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117</xdr:row>
      <xdr:rowOff>114450</xdr:rowOff>
    </xdr:from>
    <xdr:to>
      <xdr:col>72</xdr:col>
      <xdr:colOff>576000</xdr:colOff>
      <xdr:row>123</xdr:row>
      <xdr:rowOff>21752</xdr:rowOff>
    </xdr:to>
    <xdr:sp macro="" textlink="">
      <xdr:nvSpPr>
        <xdr:cNvPr id="248633" name="フリーフォーム: 図形 248632">
          <a:extLst>
            <a:ext uri="{FF2B5EF4-FFF2-40B4-BE49-F238E27FC236}">
              <a16:creationId xmlns:a16="http://schemas.microsoft.com/office/drawing/2014/main" id="{462F7688-2B3A-4850-8F4F-081E61D8927B}"/>
            </a:ext>
          </a:extLst>
        </xdr:cNvPr>
        <xdr:cNvSpPr>
          <a:spLocks noChangeAspect="1"/>
        </xdr:cNvSpPr>
      </xdr:nvSpPr>
      <xdr:spPr>
        <a:xfrm>
          <a:off x="497015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396001</xdr:colOff>
      <xdr:row>122</xdr:row>
      <xdr:rowOff>139199</xdr:rowOff>
    </xdr:from>
    <xdr:to>
      <xdr:col>73</xdr:col>
      <xdr:colOff>160202</xdr:colOff>
      <xdr:row>123</xdr:row>
      <xdr:rowOff>111751</xdr:rowOff>
    </xdr:to>
    <xdr:sp macro="" textlink="">
      <xdr:nvSpPr>
        <xdr:cNvPr id="248634" name="フリーフォーム: 図形 248633">
          <a:extLst>
            <a:ext uri="{FF2B5EF4-FFF2-40B4-BE49-F238E27FC236}">
              <a16:creationId xmlns:a16="http://schemas.microsoft.com/office/drawing/2014/main" id="{049B7FD8-8F32-4308-A085-BDD8C120FF7C}"/>
            </a:ext>
          </a:extLst>
        </xdr:cNvPr>
        <xdr:cNvSpPr>
          <a:spLocks noChangeAspect="1"/>
        </xdr:cNvSpPr>
      </xdr:nvSpPr>
      <xdr:spPr>
        <a:xfrm>
          <a:off x="497736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214201</xdr:colOff>
      <xdr:row>122</xdr:row>
      <xdr:rowOff>139199</xdr:rowOff>
    </xdr:from>
    <xdr:to>
      <xdr:col>73</xdr:col>
      <xdr:colOff>664202</xdr:colOff>
      <xdr:row>123</xdr:row>
      <xdr:rowOff>111751</xdr:rowOff>
    </xdr:to>
    <xdr:sp macro="" textlink="">
      <xdr:nvSpPr>
        <xdr:cNvPr id="248635" name="フリーフォーム: 図形 248634">
          <a:extLst>
            <a:ext uri="{FF2B5EF4-FFF2-40B4-BE49-F238E27FC236}">
              <a16:creationId xmlns:a16="http://schemas.microsoft.com/office/drawing/2014/main" id="{7EF97983-D0D9-475D-BE9A-218A18211E54}"/>
            </a:ext>
          </a:extLst>
        </xdr:cNvPr>
        <xdr:cNvSpPr>
          <a:spLocks noChangeAspect="1"/>
        </xdr:cNvSpPr>
      </xdr:nvSpPr>
      <xdr:spPr>
        <a:xfrm>
          <a:off x="50277601" y="21322799"/>
          <a:ext cx="450001" cy="144002"/>
        </a:xfrm>
        <a:custGeom>
          <a:avLst/>
          <a:gdLst/>
          <a:ahLst/>
          <a:cxnLst/>
          <a:rect l="0" t="0" r="0" b="0"/>
          <a:pathLst>
            <a:path w="450001" h="144002">
              <a:moveTo>
                <a:pt x="144000" y="0"/>
              </a:moveTo>
              <a:lnTo>
                <a:pt x="396001" y="0"/>
              </a:lnTo>
              <a:lnTo>
                <a:pt x="450000" y="72001"/>
              </a:lnTo>
              <a:lnTo>
                <a:pt x="360000"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594001</xdr:colOff>
      <xdr:row>118</xdr:row>
      <xdr:rowOff>51000</xdr:rowOff>
    </xdr:from>
    <xdr:to>
      <xdr:col>73</xdr:col>
      <xdr:colOff>178201</xdr:colOff>
      <xdr:row>123</xdr:row>
      <xdr:rowOff>3751</xdr:rowOff>
    </xdr:to>
    <xdr:sp macro="" textlink="">
      <xdr:nvSpPr>
        <xdr:cNvPr id="248636" name="フリーフォーム: 図形 248635">
          <a:extLst>
            <a:ext uri="{FF2B5EF4-FFF2-40B4-BE49-F238E27FC236}">
              <a16:creationId xmlns:a16="http://schemas.microsoft.com/office/drawing/2014/main" id="{38544BD4-BADF-491B-9782-A78223AD1208}"/>
            </a:ext>
          </a:extLst>
        </xdr:cNvPr>
        <xdr:cNvSpPr>
          <a:spLocks noChangeAspect="1"/>
        </xdr:cNvSpPr>
      </xdr:nvSpPr>
      <xdr:spPr>
        <a:xfrm>
          <a:off x="49971601" y="20548800"/>
          <a:ext cx="270000" cy="810001"/>
        </a:xfrm>
        <a:custGeom>
          <a:avLst/>
          <a:gdLst/>
          <a:ahLst/>
          <a:cxnLst/>
          <a:rect l="0" t="0" r="0" b="0"/>
          <a:pathLst>
            <a:path w="270000" h="810001">
              <a:moveTo>
                <a:pt x="0" y="180000"/>
              </a:moveTo>
              <a:lnTo>
                <a:pt x="17999" y="0"/>
              </a:lnTo>
              <a:lnTo>
                <a:pt x="108000" y="108000"/>
              </a:lnTo>
              <a:lnTo>
                <a:pt x="215999" y="467999"/>
              </a:lnTo>
              <a:lnTo>
                <a:pt x="269999" y="810000"/>
              </a:lnTo>
              <a:lnTo>
                <a:pt x="179998"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178200</xdr:colOff>
      <xdr:row>117</xdr:row>
      <xdr:rowOff>114450</xdr:rowOff>
    </xdr:from>
    <xdr:to>
      <xdr:col>73</xdr:col>
      <xdr:colOff>430201</xdr:colOff>
      <xdr:row>122</xdr:row>
      <xdr:rowOff>157201</xdr:rowOff>
    </xdr:to>
    <xdr:sp macro="" textlink="">
      <xdr:nvSpPr>
        <xdr:cNvPr id="248637" name="フリーフォーム: 図形 248636">
          <a:extLst>
            <a:ext uri="{FF2B5EF4-FFF2-40B4-BE49-F238E27FC236}">
              <a16:creationId xmlns:a16="http://schemas.microsoft.com/office/drawing/2014/main" id="{696EBC40-E970-4E78-8A48-B752017AE0B8}"/>
            </a:ext>
          </a:extLst>
        </xdr:cNvPr>
        <xdr:cNvSpPr>
          <a:spLocks noChangeAspect="1"/>
        </xdr:cNvSpPr>
      </xdr:nvSpPr>
      <xdr:spPr>
        <a:xfrm>
          <a:off x="50241600" y="20440800"/>
          <a:ext cx="252001" cy="900001"/>
        </a:xfrm>
        <a:custGeom>
          <a:avLst/>
          <a:gdLst/>
          <a:ahLst/>
          <a:cxnLst/>
          <a:rect l="0" t="0" r="0" b="0"/>
          <a:pathLst>
            <a:path w="252001" h="900001">
              <a:moveTo>
                <a:pt x="108000" y="72001"/>
              </a:moveTo>
              <a:lnTo>
                <a:pt x="180001" y="0"/>
              </a:lnTo>
              <a:lnTo>
                <a:pt x="252000" y="90000"/>
              </a:lnTo>
              <a:lnTo>
                <a:pt x="125998" y="684000"/>
              </a:lnTo>
              <a:lnTo>
                <a:pt x="17999"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232200</xdr:colOff>
      <xdr:row>118</xdr:row>
      <xdr:rowOff>69000</xdr:rowOff>
    </xdr:from>
    <xdr:to>
      <xdr:col>74</xdr:col>
      <xdr:colOff>68400</xdr:colOff>
      <xdr:row>123</xdr:row>
      <xdr:rowOff>3751</xdr:rowOff>
    </xdr:to>
    <xdr:sp macro="" textlink="">
      <xdr:nvSpPr>
        <xdr:cNvPr id="248638" name="フリーフォーム: 図形 248637">
          <a:extLst>
            <a:ext uri="{FF2B5EF4-FFF2-40B4-BE49-F238E27FC236}">
              <a16:creationId xmlns:a16="http://schemas.microsoft.com/office/drawing/2014/main" id="{C254A745-BE5F-4C64-9A4A-1DCB702B73EB}"/>
            </a:ext>
          </a:extLst>
        </xdr:cNvPr>
        <xdr:cNvSpPr>
          <a:spLocks noChangeAspect="1"/>
        </xdr:cNvSpPr>
      </xdr:nvSpPr>
      <xdr:spPr>
        <a:xfrm>
          <a:off x="50295600" y="20566800"/>
          <a:ext cx="522000" cy="792001"/>
        </a:xfrm>
        <a:custGeom>
          <a:avLst/>
          <a:gdLst/>
          <a:ahLst/>
          <a:cxnLst/>
          <a:rect l="0" t="0" r="0" b="0"/>
          <a:pathLst>
            <a:path w="522000" h="792001">
              <a:moveTo>
                <a:pt x="378002" y="126001"/>
              </a:moveTo>
              <a:lnTo>
                <a:pt x="521999" y="0"/>
              </a:lnTo>
              <a:lnTo>
                <a:pt x="486001" y="198001"/>
              </a:lnTo>
              <a:lnTo>
                <a:pt x="90000" y="738000"/>
              </a:lnTo>
              <a:lnTo>
                <a:pt x="0" y="792000"/>
              </a:lnTo>
              <a:lnTo>
                <a:pt x="198000"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73</xdr:col>
      <xdr:colOff>196199</xdr:colOff>
      <xdr:row>123</xdr:row>
      <xdr:rowOff>75750</xdr:rowOff>
    </xdr:from>
    <xdr:to>
      <xdr:col>73</xdr:col>
      <xdr:colOff>466202</xdr:colOff>
      <xdr:row>127</xdr:row>
      <xdr:rowOff>163951</xdr:rowOff>
    </xdr:to>
    <xdr:sp macro="" textlink="">
      <xdr:nvSpPr>
        <xdr:cNvPr id="248639" name="フリーフォーム: 図形 248638">
          <a:extLst>
            <a:ext uri="{FF2B5EF4-FFF2-40B4-BE49-F238E27FC236}">
              <a16:creationId xmlns:a16="http://schemas.microsoft.com/office/drawing/2014/main" id="{48998CBC-B571-4C84-8771-1B6A1E94B730}"/>
            </a:ext>
          </a:extLst>
        </xdr:cNvPr>
        <xdr:cNvSpPr>
          <a:spLocks noChangeAspect="1"/>
        </xdr:cNvSpPr>
      </xdr:nvSpPr>
      <xdr:spPr>
        <a:xfrm>
          <a:off x="50259599" y="21430800"/>
          <a:ext cx="270003" cy="774001"/>
        </a:xfrm>
        <a:custGeom>
          <a:avLst/>
          <a:gdLst/>
          <a:ahLst/>
          <a:cxnLst/>
          <a:rect l="0" t="0" r="0" b="0"/>
          <a:pathLst>
            <a:path w="270003" h="774001">
              <a:moveTo>
                <a:pt x="54000" y="342000"/>
              </a:moveTo>
              <a:lnTo>
                <a:pt x="0" y="0"/>
              </a:lnTo>
              <a:lnTo>
                <a:pt x="90001" y="72001"/>
              </a:lnTo>
              <a:lnTo>
                <a:pt x="270002" y="630001"/>
              </a:lnTo>
              <a:lnTo>
                <a:pt x="234001" y="774000"/>
              </a:lnTo>
              <a:lnTo>
                <a:pt x="144000"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648001</xdr:colOff>
      <xdr:row>123</xdr:row>
      <xdr:rowOff>93749</xdr:rowOff>
    </xdr:from>
    <xdr:to>
      <xdr:col>73</xdr:col>
      <xdr:colOff>196200</xdr:colOff>
      <xdr:row>128</xdr:row>
      <xdr:rowOff>118501</xdr:rowOff>
    </xdr:to>
    <xdr:sp macro="" textlink="">
      <xdr:nvSpPr>
        <xdr:cNvPr id="248640" name="フリーフォーム: 図形 248639">
          <a:extLst>
            <a:ext uri="{FF2B5EF4-FFF2-40B4-BE49-F238E27FC236}">
              <a16:creationId xmlns:a16="http://schemas.microsoft.com/office/drawing/2014/main" id="{1427741E-1C46-4592-8EC7-31DC6A2D5549}"/>
            </a:ext>
          </a:extLst>
        </xdr:cNvPr>
        <xdr:cNvSpPr>
          <a:spLocks noChangeAspect="1"/>
        </xdr:cNvSpPr>
      </xdr:nvSpPr>
      <xdr:spPr>
        <a:xfrm>
          <a:off x="50025601" y="21448799"/>
          <a:ext cx="233999" cy="882002"/>
        </a:xfrm>
        <a:custGeom>
          <a:avLst/>
          <a:gdLst/>
          <a:ahLst/>
          <a:cxnLst/>
          <a:rect l="0" t="0" r="0" b="0"/>
          <a:pathLst>
            <a:path w="233999" h="882002">
              <a:moveTo>
                <a:pt x="107999" y="216001"/>
              </a:moveTo>
              <a:lnTo>
                <a:pt x="215999" y="0"/>
              </a:lnTo>
              <a:lnTo>
                <a:pt x="233998" y="216001"/>
              </a:lnTo>
              <a:lnTo>
                <a:pt x="144000" y="810000"/>
              </a:lnTo>
              <a:lnTo>
                <a:pt x="54000"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72</xdr:col>
      <xdr:colOff>323999</xdr:colOff>
      <xdr:row>123</xdr:row>
      <xdr:rowOff>75750</xdr:rowOff>
    </xdr:from>
    <xdr:to>
      <xdr:col>73</xdr:col>
      <xdr:colOff>160202</xdr:colOff>
      <xdr:row>128</xdr:row>
      <xdr:rowOff>10501</xdr:rowOff>
    </xdr:to>
    <xdr:sp macro="" textlink="">
      <xdr:nvSpPr>
        <xdr:cNvPr id="248641" name="フリーフォーム: 図形 248640">
          <a:extLst>
            <a:ext uri="{FF2B5EF4-FFF2-40B4-BE49-F238E27FC236}">
              <a16:creationId xmlns:a16="http://schemas.microsoft.com/office/drawing/2014/main" id="{8922C3FB-E919-41E1-9CB9-91FC52E9620E}"/>
            </a:ext>
          </a:extLst>
        </xdr:cNvPr>
        <xdr:cNvSpPr>
          <a:spLocks noChangeAspect="1"/>
        </xdr:cNvSpPr>
      </xdr:nvSpPr>
      <xdr:spPr>
        <a:xfrm>
          <a:off x="497015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311401</xdr:colOff>
      <xdr:row>117</xdr:row>
      <xdr:rowOff>42450</xdr:rowOff>
    </xdr:from>
    <xdr:to>
      <xdr:col>76</xdr:col>
      <xdr:colOff>93601</xdr:colOff>
      <xdr:row>118</xdr:row>
      <xdr:rowOff>15002</xdr:rowOff>
    </xdr:to>
    <xdr:sp macro="" textlink="">
      <xdr:nvSpPr>
        <xdr:cNvPr id="248642" name="フリーフォーム: 図形 248641">
          <a:extLst>
            <a:ext uri="{FF2B5EF4-FFF2-40B4-BE49-F238E27FC236}">
              <a16:creationId xmlns:a16="http://schemas.microsoft.com/office/drawing/2014/main" id="{0E669896-917D-4526-96C6-C88A1DADCFFA}"/>
            </a:ext>
          </a:extLst>
        </xdr:cNvPr>
        <xdr:cNvSpPr>
          <a:spLocks noChangeAspect="1"/>
        </xdr:cNvSpPr>
      </xdr:nvSpPr>
      <xdr:spPr>
        <a:xfrm>
          <a:off x="51746401" y="20368800"/>
          <a:ext cx="468000" cy="144002"/>
        </a:xfrm>
        <a:custGeom>
          <a:avLst/>
          <a:gdLst/>
          <a:ahLst/>
          <a:cxnLst/>
          <a:rect l="0" t="0" r="0" b="0"/>
          <a:pathLst>
            <a:path w="468000" h="144002">
              <a:moveTo>
                <a:pt x="71999" y="0"/>
              </a:moveTo>
              <a:lnTo>
                <a:pt x="432002" y="0"/>
              </a:lnTo>
              <a:lnTo>
                <a:pt x="467999" y="35999"/>
              </a:lnTo>
              <a:lnTo>
                <a:pt x="360000" y="144001"/>
              </a:lnTo>
              <a:lnTo>
                <a:pt x="71999"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165602</xdr:colOff>
      <xdr:row>117</xdr:row>
      <xdr:rowOff>42450</xdr:rowOff>
    </xdr:from>
    <xdr:to>
      <xdr:col>76</xdr:col>
      <xdr:colOff>633600</xdr:colOff>
      <xdr:row>118</xdr:row>
      <xdr:rowOff>15002</xdr:rowOff>
    </xdr:to>
    <xdr:sp macro="" textlink="">
      <xdr:nvSpPr>
        <xdr:cNvPr id="248643" name="フリーフォーム: 図形 248642">
          <a:extLst>
            <a:ext uri="{FF2B5EF4-FFF2-40B4-BE49-F238E27FC236}">
              <a16:creationId xmlns:a16="http://schemas.microsoft.com/office/drawing/2014/main" id="{9FAD7180-F5DD-4F9E-974A-4FD130EF266D}"/>
            </a:ext>
          </a:extLst>
        </xdr:cNvPr>
        <xdr:cNvSpPr>
          <a:spLocks noChangeAspect="1"/>
        </xdr:cNvSpPr>
      </xdr:nvSpPr>
      <xdr:spPr>
        <a:xfrm>
          <a:off x="52286402" y="203688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417599</xdr:colOff>
      <xdr:row>117</xdr:row>
      <xdr:rowOff>114450</xdr:rowOff>
    </xdr:from>
    <xdr:to>
      <xdr:col>77</xdr:col>
      <xdr:colOff>19801</xdr:colOff>
      <xdr:row>123</xdr:row>
      <xdr:rowOff>21752</xdr:rowOff>
    </xdr:to>
    <xdr:sp macro="" textlink="">
      <xdr:nvSpPr>
        <xdr:cNvPr id="248644" name="フリーフォーム: 図形 248643">
          <a:extLst>
            <a:ext uri="{FF2B5EF4-FFF2-40B4-BE49-F238E27FC236}">
              <a16:creationId xmlns:a16="http://schemas.microsoft.com/office/drawing/2014/main" id="{9482AB86-647E-4DE4-9084-F4DAD3C7CA18}"/>
            </a:ext>
          </a:extLst>
        </xdr:cNvPr>
        <xdr:cNvSpPr>
          <a:spLocks noChangeAspect="1"/>
        </xdr:cNvSpPr>
      </xdr:nvSpPr>
      <xdr:spPr>
        <a:xfrm>
          <a:off x="52538399" y="204408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237598</xdr:colOff>
      <xdr:row>123</xdr:row>
      <xdr:rowOff>75750</xdr:rowOff>
    </xdr:from>
    <xdr:to>
      <xdr:col>76</xdr:col>
      <xdr:colOff>525600</xdr:colOff>
      <xdr:row>128</xdr:row>
      <xdr:rowOff>136501</xdr:rowOff>
    </xdr:to>
    <xdr:sp macro="" textlink="">
      <xdr:nvSpPr>
        <xdr:cNvPr id="248645" name="フリーフォーム: 図形 248644">
          <a:extLst>
            <a:ext uri="{FF2B5EF4-FFF2-40B4-BE49-F238E27FC236}">
              <a16:creationId xmlns:a16="http://schemas.microsoft.com/office/drawing/2014/main" id="{A5893DBF-5739-4B7F-8B82-5679EDB96B7E}"/>
            </a:ext>
          </a:extLst>
        </xdr:cNvPr>
        <xdr:cNvSpPr>
          <a:spLocks noChangeAspect="1"/>
        </xdr:cNvSpPr>
      </xdr:nvSpPr>
      <xdr:spPr>
        <a:xfrm>
          <a:off x="52358398" y="214308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655200</xdr:colOff>
      <xdr:row>128</xdr:row>
      <xdr:rowOff>64500</xdr:rowOff>
    </xdr:from>
    <xdr:to>
      <xdr:col>75</xdr:col>
      <xdr:colOff>455400</xdr:colOff>
      <xdr:row>129</xdr:row>
      <xdr:rowOff>37051</xdr:rowOff>
    </xdr:to>
    <xdr:sp macro="" textlink="">
      <xdr:nvSpPr>
        <xdr:cNvPr id="248646" name="フリーフォーム: 図形 248645">
          <a:extLst>
            <a:ext uri="{FF2B5EF4-FFF2-40B4-BE49-F238E27FC236}">
              <a16:creationId xmlns:a16="http://schemas.microsoft.com/office/drawing/2014/main" id="{DEC4AE12-3DAD-4BC2-81C5-922449D92729}"/>
            </a:ext>
          </a:extLst>
        </xdr:cNvPr>
        <xdr:cNvSpPr>
          <a:spLocks noChangeAspect="1"/>
        </xdr:cNvSpPr>
      </xdr:nvSpPr>
      <xdr:spPr>
        <a:xfrm>
          <a:off x="51404400" y="22276800"/>
          <a:ext cx="486000" cy="144001"/>
        </a:xfrm>
        <a:custGeom>
          <a:avLst/>
          <a:gdLst/>
          <a:ahLst/>
          <a:cxnLst/>
          <a:rect l="0" t="0" r="0" b="0"/>
          <a:pathLst>
            <a:path w="486000" h="144001">
              <a:moveTo>
                <a:pt x="125999" y="0"/>
              </a:moveTo>
              <a:lnTo>
                <a:pt x="396001" y="0"/>
              </a:lnTo>
              <a:lnTo>
                <a:pt x="485999" y="108000"/>
              </a:lnTo>
              <a:lnTo>
                <a:pt x="414000"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491399</xdr:colOff>
      <xdr:row>128</xdr:row>
      <xdr:rowOff>64500</xdr:rowOff>
    </xdr:from>
    <xdr:to>
      <xdr:col>76</xdr:col>
      <xdr:colOff>273603</xdr:colOff>
      <xdr:row>129</xdr:row>
      <xdr:rowOff>37051</xdr:rowOff>
    </xdr:to>
    <xdr:sp macro="" textlink="">
      <xdr:nvSpPr>
        <xdr:cNvPr id="248647" name="フリーフォーム: 図形 248646">
          <a:extLst>
            <a:ext uri="{FF2B5EF4-FFF2-40B4-BE49-F238E27FC236}">
              <a16:creationId xmlns:a16="http://schemas.microsoft.com/office/drawing/2014/main" id="{D3E2CEA2-228A-4FB0-9FAD-C63E77D81BEF}"/>
            </a:ext>
          </a:extLst>
        </xdr:cNvPr>
        <xdr:cNvSpPr>
          <a:spLocks noChangeAspect="1"/>
        </xdr:cNvSpPr>
      </xdr:nvSpPr>
      <xdr:spPr>
        <a:xfrm>
          <a:off x="51926399" y="22276800"/>
          <a:ext cx="468004" cy="144001"/>
        </a:xfrm>
        <a:custGeom>
          <a:avLst/>
          <a:gdLst/>
          <a:ahLst/>
          <a:cxnLst/>
          <a:rect l="0" t="0" r="0" b="0"/>
          <a:pathLst>
            <a:path w="468004" h="144001">
              <a:moveTo>
                <a:pt x="144004" y="0"/>
              </a:moveTo>
              <a:lnTo>
                <a:pt x="396001" y="0"/>
              </a:lnTo>
              <a:lnTo>
                <a:pt x="468003" y="108000"/>
              </a:lnTo>
              <a:lnTo>
                <a:pt x="431999" y="144000"/>
              </a:lnTo>
              <a:lnTo>
                <a:pt x="36001"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74</xdr:col>
      <xdr:colOff>601201</xdr:colOff>
      <xdr:row>123</xdr:row>
      <xdr:rowOff>75750</xdr:rowOff>
    </xdr:from>
    <xdr:to>
      <xdr:col>75</xdr:col>
      <xdr:colOff>203403</xdr:colOff>
      <xdr:row>128</xdr:row>
      <xdr:rowOff>136501</xdr:rowOff>
    </xdr:to>
    <xdr:sp macro="" textlink="">
      <xdr:nvSpPr>
        <xdr:cNvPr id="248648" name="フリーフォーム: 図形 248647">
          <a:extLst>
            <a:ext uri="{FF2B5EF4-FFF2-40B4-BE49-F238E27FC236}">
              <a16:creationId xmlns:a16="http://schemas.microsoft.com/office/drawing/2014/main" id="{2C546BF6-8539-4979-B0E1-99ABD867E822}"/>
            </a:ext>
          </a:extLst>
        </xdr:cNvPr>
        <xdr:cNvSpPr>
          <a:spLocks noChangeAspect="1"/>
        </xdr:cNvSpPr>
      </xdr:nvSpPr>
      <xdr:spPr>
        <a:xfrm>
          <a:off x="51350401" y="21430800"/>
          <a:ext cx="288002" cy="918001"/>
        </a:xfrm>
        <a:custGeom>
          <a:avLst/>
          <a:gdLst/>
          <a:ahLst/>
          <a:cxnLst/>
          <a:rect l="0" t="0" r="0" b="0"/>
          <a:pathLst>
            <a:path w="288002" h="918001">
              <a:moveTo>
                <a:pt x="144000" y="54000"/>
              </a:moveTo>
              <a:lnTo>
                <a:pt x="215999" y="0"/>
              </a:lnTo>
              <a:lnTo>
                <a:pt x="288001" y="72001"/>
              </a:lnTo>
              <a:lnTo>
                <a:pt x="144000" y="810001"/>
              </a:lnTo>
              <a:lnTo>
                <a:pt x="36000" y="918000"/>
              </a:lnTo>
              <a:lnTo>
                <a:pt x="0" y="84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117</xdr:row>
      <xdr:rowOff>114450</xdr:rowOff>
    </xdr:from>
    <xdr:to>
      <xdr:col>75</xdr:col>
      <xdr:colOff>347400</xdr:colOff>
      <xdr:row>123</xdr:row>
      <xdr:rowOff>21752</xdr:rowOff>
    </xdr:to>
    <xdr:sp macro="" textlink="">
      <xdr:nvSpPr>
        <xdr:cNvPr id="248649" name="フリーフォーム: 図形 248648">
          <a:extLst>
            <a:ext uri="{FF2B5EF4-FFF2-40B4-BE49-F238E27FC236}">
              <a16:creationId xmlns:a16="http://schemas.microsoft.com/office/drawing/2014/main" id="{0003CC20-F11B-4B09-AC15-DD31257460AC}"/>
            </a:ext>
          </a:extLst>
        </xdr:cNvPr>
        <xdr:cNvSpPr>
          <a:spLocks noChangeAspect="1"/>
        </xdr:cNvSpPr>
      </xdr:nvSpPr>
      <xdr:spPr>
        <a:xfrm>
          <a:off x="51530399" y="20440800"/>
          <a:ext cx="252001" cy="936002"/>
        </a:xfrm>
        <a:custGeom>
          <a:avLst/>
          <a:gdLst/>
          <a:ahLst/>
          <a:cxnLst/>
          <a:rect l="0" t="0" r="0" b="0"/>
          <a:pathLst>
            <a:path w="252001" h="936002">
              <a:moveTo>
                <a:pt x="126001" y="72001"/>
              </a:moveTo>
              <a:lnTo>
                <a:pt x="180001" y="0"/>
              </a:lnTo>
              <a:lnTo>
                <a:pt x="252000" y="108000"/>
              </a:lnTo>
              <a:lnTo>
                <a:pt x="144000" y="846000"/>
              </a:lnTo>
              <a:lnTo>
                <a:pt x="36001"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167401</xdr:colOff>
      <xdr:row>122</xdr:row>
      <xdr:rowOff>139199</xdr:rowOff>
    </xdr:from>
    <xdr:to>
      <xdr:col>75</xdr:col>
      <xdr:colOff>617402</xdr:colOff>
      <xdr:row>123</xdr:row>
      <xdr:rowOff>111751</xdr:rowOff>
    </xdr:to>
    <xdr:sp macro="" textlink="">
      <xdr:nvSpPr>
        <xdr:cNvPr id="248650" name="フリーフォーム: 図形 248649">
          <a:extLst>
            <a:ext uri="{FF2B5EF4-FFF2-40B4-BE49-F238E27FC236}">
              <a16:creationId xmlns:a16="http://schemas.microsoft.com/office/drawing/2014/main" id="{3706F665-2A22-4CCA-AC65-0A6960AF1A61}"/>
            </a:ext>
          </a:extLst>
        </xdr:cNvPr>
        <xdr:cNvSpPr>
          <a:spLocks noChangeAspect="1"/>
        </xdr:cNvSpPr>
      </xdr:nvSpPr>
      <xdr:spPr>
        <a:xfrm>
          <a:off x="51602401" y="21322799"/>
          <a:ext cx="450001" cy="144002"/>
        </a:xfrm>
        <a:custGeom>
          <a:avLst/>
          <a:gdLst/>
          <a:ahLst/>
          <a:cxnLst/>
          <a:rect l="0" t="0" r="0" b="0"/>
          <a:pathLst>
            <a:path w="450001" h="144002">
              <a:moveTo>
                <a:pt x="90000" y="0"/>
              </a:moveTo>
              <a:lnTo>
                <a:pt x="359999" y="0"/>
              </a:lnTo>
              <a:lnTo>
                <a:pt x="450000" y="72001"/>
              </a:lnTo>
              <a:lnTo>
                <a:pt x="323998" y="144001"/>
              </a:lnTo>
              <a:lnTo>
                <a:pt x="71998"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671401</xdr:colOff>
      <xdr:row>122</xdr:row>
      <xdr:rowOff>139199</xdr:rowOff>
    </xdr:from>
    <xdr:to>
      <xdr:col>76</xdr:col>
      <xdr:colOff>435602</xdr:colOff>
      <xdr:row>123</xdr:row>
      <xdr:rowOff>111751</xdr:rowOff>
    </xdr:to>
    <xdr:sp macro="" textlink="">
      <xdr:nvSpPr>
        <xdr:cNvPr id="248651" name="フリーフォーム: 図形 248650">
          <a:extLst>
            <a:ext uri="{FF2B5EF4-FFF2-40B4-BE49-F238E27FC236}">
              <a16:creationId xmlns:a16="http://schemas.microsoft.com/office/drawing/2014/main" id="{BFEF92AD-1F05-4240-8F13-441893E08E03}"/>
            </a:ext>
          </a:extLst>
        </xdr:cNvPr>
        <xdr:cNvSpPr>
          <a:spLocks noChangeAspect="1"/>
        </xdr:cNvSpPr>
      </xdr:nvSpPr>
      <xdr:spPr>
        <a:xfrm>
          <a:off x="52106401" y="213227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365401</xdr:colOff>
      <xdr:row>118</xdr:row>
      <xdr:rowOff>51000</xdr:rowOff>
    </xdr:from>
    <xdr:to>
      <xdr:col>75</xdr:col>
      <xdr:colOff>635404</xdr:colOff>
      <xdr:row>123</xdr:row>
      <xdr:rowOff>3751</xdr:rowOff>
    </xdr:to>
    <xdr:sp macro="" textlink="">
      <xdr:nvSpPr>
        <xdr:cNvPr id="248652" name="フリーフォーム: 図形 248651">
          <a:extLst>
            <a:ext uri="{FF2B5EF4-FFF2-40B4-BE49-F238E27FC236}">
              <a16:creationId xmlns:a16="http://schemas.microsoft.com/office/drawing/2014/main" id="{B83E7C6F-BF7F-4BD3-A2A9-B9E7AFB95A3D}"/>
            </a:ext>
          </a:extLst>
        </xdr:cNvPr>
        <xdr:cNvSpPr>
          <a:spLocks noChangeAspect="1"/>
        </xdr:cNvSpPr>
      </xdr:nvSpPr>
      <xdr:spPr>
        <a:xfrm>
          <a:off x="51800401" y="20548800"/>
          <a:ext cx="270003" cy="810001"/>
        </a:xfrm>
        <a:custGeom>
          <a:avLst/>
          <a:gdLst/>
          <a:ahLst/>
          <a:cxnLst/>
          <a:rect l="0" t="0" r="0" b="0"/>
          <a:pathLst>
            <a:path w="270003" h="810001">
              <a:moveTo>
                <a:pt x="0" y="180000"/>
              </a:moveTo>
              <a:lnTo>
                <a:pt x="17999" y="0"/>
              </a:lnTo>
              <a:lnTo>
                <a:pt x="108000" y="108000"/>
              </a:lnTo>
              <a:lnTo>
                <a:pt x="215999" y="467999"/>
              </a:lnTo>
              <a:lnTo>
                <a:pt x="270002" y="810000"/>
              </a:lnTo>
              <a:lnTo>
                <a:pt x="179998"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635403</xdr:colOff>
      <xdr:row>117</xdr:row>
      <xdr:rowOff>114450</xdr:rowOff>
    </xdr:from>
    <xdr:to>
      <xdr:col>76</xdr:col>
      <xdr:colOff>201601</xdr:colOff>
      <xdr:row>122</xdr:row>
      <xdr:rowOff>157201</xdr:rowOff>
    </xdr:to>
    <xdr:sp macro="" textlink="">
      <xdr:nvSpPr>
        <xdr:cNvPr id="248653" name="フリーフォーム: 図形 248652">
          <a:extLst>
            <a:ext uri="{FF2B5EF4-FFF2-40B4-BE49-F238E27FC236}">
              <a16:creationId xmlns:a16="http://schemas.microsoft.com/office/drawing/2014/main" id="{1344B910-6A9A-4AFA-AC29-CD908AD6867E}"/>
            </a:ext>
          </a:extLst>
        </xdr:cNvPr>
        <xdr:cNvSpPr>
          <a:spLocks noChangeAspect="1"/>
        </xdr:cNvSpPr>
      </xdr:nvSpPr>
      <xdr:spPr>
        <a:xfrm>
          <a:off x="52070403" y="204408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76</xdr:col>
      <xdr:colOff>3603</xdr:colOff>
      <xdr:row>118</xdr:row>
      <xdr:rowOff>69000</xdr:rowOff>
    </xdr:from>
    <xdr:to>
      <xdr:col>76</xdr:col>
      <xdr:colOff>525600</xdr:colOff>
      <xdr:row>123</xdr:row>
      <xdr:rowOff>3751</xdr:rowOff>
    </xdr:to>
    <xdr:sp macro="" textlink="">
      <xdr:nvSpPr>
        <xdr:cNvPr id="248654" name="フリーフォーム: 図形 248653">
          <a:extLst>
            <a:ext uri="{FF2B5EF4-FFF2-40B4-BE49-F238E27FC236}">
              <a16:creationId xmlns:a16="http://schemas.microsoft.com/office/drawing/2014/main" id="{CB2C7444-3442-46E4-BF78-5780B04F1FF5}"/>
            </a:ext>
          </a:extLst>
        </xdr:cNvPr>
        <xdr:cNvSpPr>
          <a:spLocks noChangeAspect="1"/>
        </xdr:cNvSpPr>
      </xdr:nvSpPr>
      <xdr:spPr>
        <a:xfrm>
          <a:off x="52124403" y="205668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653399</xdr:colOff>
      <xdr:row>123</xdr:row>
      <xdr:rowOff>75750</xdr:rowOff>
    </xdr:from>
    <xdr:to>
      <xdr:col>76</xdr:col>
      <xdr:colOff>237599</xdr:colOff>
      <xdr:row>127</xdr:row>
      <xdr:rowOff>163951</xdr:rowOff>
    </xdr:to>
    <xdr:sp macro="" textlink="">
      <xdr:nvSpPr>
        <xdr:cNvPr id="248655" name="フリーフォーム: 図形 248654">
          <a:extLst>
            <a:ext uri="{FF2B5EF4-FFF2-40B4-BE49-F238E27FC236}">
              <a16:creationId xmlns:a16="http://schemas.microsoft.com/office/drawing/2014/main" id="{750CFE98-93DD-427D-9F59-DAE4AE92FB71}"/>
            </a:ext>
          </a:extLst>
        </xdr:cNvPr>
        <xdr:cNvSpPr>
          <a:spLocks noChangeAspect="1"/>
        </xdr:cNvSpPr>
      </xdr:nvSpPr>
      <xdr:spPr>
        <a:xfrm>
          <a:off x="52088399" y="214308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419401</xdr:colOff>
      <xdr:row>123</xdr:row>
      <xdr:rowOff>93749</xdr:rowOff>
    </xdr:from>
    <xdr:to>
      <xdr:col>75</xdr:col>
      <xdr:colOff>653400</xdr:colOff>
      <xdr:row>128</xdr:row>
      <xdr:rowOff>118501</xdr:rowOff>
    </xdr:to>
    <xdr:sp macro="" textlink="">
      <xdr:nvSpPr>
        <xdr:cNvPr id="248656" name="フリーフォーム: 図形 248655">
          <a:extLst>
            <a:ext uri="{FF2B5EF4-FFF2-40B4-BE49-F238E27FC236}">
              <a16:creationId xmlns:a16="http://schemas.microsoft.com/office/drawing/2014/main" id="{36B5273C-6E9E-477A-A62A-FD498482155F}"/>
            </a:ext>
          </a:extLst>
        </xdr:cNvPr>
        <xdr:cNvSpPr>
          <a:spLocks noChangeAspect="1"/>
        </xdr:cNvSpPr>
      </xdr:nvSpPr>
      <xdr:spPr>
        <a:xfrm>
          <a:off x="51854401" y="21448799"/>
          <a:ext cx="233999" cy="882002"/>
        </a:xfrm>
        <a:custGeom>
          <a:avLst/>
          <a:gdLst/>
          <a:ahLst/>
          <a:cxnLst/>
          <a:rect l="0" t="0" r="0" b="0"/>
          <a:pathLst>
            <a:path w="233999" h="882002">
              <a:moveTo>
                <a:pt x="107999" y="216001"/>
              </a:moveTo>
              <a:lnTo>
                <a:pt x="216002" y="0"/>
              </a:lnTo>
              <a:lnTo>
                <a:pt x="233998" y="216001"/>
              </a:lnTo>
              <a:lnTo>
                <a:pt x="144000" y="810000"/>
              </a:lnTo>
              <a:lnTo>
                <a:pt x="54000"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75</xdr:col>
      <xdr:colOff>95399</xdr:colOff>
      <xdr:row>123</xdr:row>
      <xdr:rowOff>75750</xdr:rowOff>
    </xdr:from>
    <xdr:to>
      <xdr:col>75</xdr:col>
      <xdr:colOff>617402</xdr:colOff>
      <xdr:row>128</xdr:row>
      <xdr:rowOff>10501</xdr:rowOff>
    </xdr:to>
    <xdr:sp macro="" textlink="">
      <xdr:nvSpPr>
        <xdr:cNvPr id="248657" name="フリーフォーム: 図形 248656">
          <a:extLst>
            <a:ext uri="{FF2B5EF4-FFF2-40B4-BE49-F238E27FC236}">
              <a16:creationId xmlns:a16="http://schemas.microsoft.com/office/drawing/2014/main" id="{3D588147-7879-4F28-A66E-6498A8E3DB84}"/>
            </a:ext>
          </a:extLst>
        </xdr:cNvPr>
        <xdr:cNvSpPr>
          <a:spLocks noChangeAspect="1"/>
        </xdr:cNvSpPr>
      </xdr:nvSpPr>
      <xdr:spPr>
        <a:xfrm>
          <a:off x="51530399" y="21430800"/>
          <a:ext cx="522003" cy="792001"/>
        </a:xfrm>
        <a:custGeom>
          <a:avLst/>
          <a:gdLst/>
          <a:ahLst/>
          <a:cxnLst/>
          <a:rect l="0" t="0" r="0" b="0"/>
          <a:pathLst>
            <a:path w="522003" h="792001">
              <a:moveTo>
                <a:pt x="396000" y="72001"/>
              </a:moveTo>
              <a:lnTo>
                <a:pt x="522002" y="0"/>
              </a:lnTo>
              <a:lnTo>
                <a:pt x="324002" y="378001"/>
              </a:lnTo>
              <a:lnTo>
                <a:pt x="162002" y="666000"/>
              </a:lnTo>
              <a:lnTo>
                <a:pt x="0" y="792000"/>
              </a:lnTo>
              <a:lnTo>
                <a:pt x="36001"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82798</xdr:colOff>
      <xdr:row>117</xdr:row>
      <xdr:rowOff>42450</xdr:rowOff>
    </xdr:from>
    <xdr:to>
      <xdr:col>78</xdr:col>
      <xdr:colOff>550801</xdr:colOff>
      <xdr:row>118</xdr:row>
      <xdr:rowOff>15002</xdr:rowOff>
    </xdr:to>
    <xdr:sp macro="" textlink="">
      <xdr:nvSpPr>
        <xdr:cNvPr id="248658" name="フリーフォーム: 図形 248657">
          <a:extLst>
            <a:ext uri="{FF2B5EF4-FFF2-40B4-BE49-F238E27FC236}">
              <a16:creationId xmlns:a16="http://schemas.microsoft.com/office/drawing/2014/main" id="{994616D1-4A32-41B1-9CC8-DD90D811DC3F}"/>
            </a:ext>
          </a:extLst>
        </xdr:cNvPr>
        <xdr:cNvSpPr>
          <a:spLocks noChangeAspect="1"/>
        </xdr:cNvSpPr>
      </xdr:nvSpPr>
      <xdr:spPr>
        <a:xfrm>
          <a:off x="53575198" y="203688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622802</xdr:colOff>
      <xdr:row>117</xdr:row>
      <xdr:rowOff>42450</xdr:rowOff>
    </xdr:from>
    <xdr:to>
      <xdr:col>79</xdr:col>
      <xdr:colOff>405000</xdr:colOff>
      <xdr:row>118</xdr:row>
      <xdr:rowOff>15002</xdr:rowOff>
    </xdr:to>
    <xdr:sp macro="" textlink="">
      <xdr:nvSpPr>
        <xdr:cNvPr id="248659" name="フリーフォーム: 図形 248658">
          <a:extLst>
            <a:ext uri="{FF2B5EF4-FFF2-40B4-BE49-F238E27FC236}">
              <a16:creationId xmlns:a16="http://schemas.microsoft.com/office/drawing/2014/main" id="{711AAD0E-7431-4F77-9B22-A17E2F0D5608}"/>
            </a:ext>
          </a:extLst>
        </xdr:cNvPr>
        <xdr:cNvSpPr>
          <a:spLocks noChangeAspect="1"/>
        </xdr:cNvSpPr>
      </xdr:nvSpPr>
      <xdr:spPr>
        <a:xfrm>
          <a:off x="54115202" y="203688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188999</xdr:colOff>
      <xdr:row>117</xdr:row>
      <xdr:rowOff>114450</xdr:rowOff>
    </xdr:from>
    <xdr:to>
      <xdr:col>79</xdr:col>
      <xdr:colOff>477001</xdr:colOff>
      <xdr:row>123</xdr:row>
      <xdr:rowOff>21752</xdr:rowOff>
    </xdr:to>
    <xdr:sp macro="" textlink="">
      <xdr:nvSpPr>
        <xdr:cNvPr id="248660" name="フリーフォーム: 図形 248659">
          <a:extLst>
            <a:ext uri="{FF2B5EF4-FFF2-40B4-BE49-F238E27FC236}">
              <a16:creationId xmlns:a16="http://schemas.microsoft.com/office/drawing/2014/main" id="{6CE954FF-7B70-4AD7-97C2-5C202DCBA5D9}"/>
            </a:ext>
          </a:extLst>
        </xdr:cNvPr>
        <xdr:cNvSpPr>
          <a:spLocks noChangeAspect="1"/>
        </xdr:cNvSpPr>
      </xdr:nvSpPr>
      <xdr:spPr>
        <a:xfrm>
          <a:off x="54367199" y="204408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79</xdr:col>
      <xdr:colOff>8998</xdr:colOff>
      <xdr:row>123</xdr:row>
      <xdr:rowOff>75750</xdr:rowOff>
    </xdr:from>
    <xdr:to>
      <xdr:col>79</xdr:col>
      <xdr:colOff>297000</xdr:colOff>
      <xdr:row>128</xdr:row>
      <xdr:rowOff>136501</xdr:rowOff>
    </xdr:to>
    <xdr:sp macro="" textlink="">
      <xdr:nvSpPr>
        <xdr:cNvPr id="248661" name="フリーフォーム: 図形 248660">
          <a:extLst>
            <a:ext uri="{FF2B5EF4-FFF2-40B4-BE49-F238E27FC236}">
              <a16:creationId xmlns:a16="http://schemas.microsoft.com/office/drawing/2014/main" id="{245BC26C-6A94-456D-9D3D-8B0B2AA74B03}"/>
            </a:ext>
          </a:extLst>
        </xdr:cNvPr>
        <xdr:cNvSpPr>
          <a:spLocks noChangeAspect="1"/>
        </xdr:cNvSpPr>
      </xdr:nvSpPr>
      <xdr:spPr>
        <a:xfrm>
          <a:off x="54187198" y="214308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426597</xdr:colOff>
      <xdr:row>128</xdr:row>
      <xdr:rowOff>64500</xdr:rowOff>
    </xdr:from>
    <xdr:to>
      <xdr:col>78</xdr:col>
      <xdr:colOff>226803</xdr:colOff>
      <xdr:row>129</xdr:row>
      <xdr:rowOff>37051</xdr:rowOff>
    </xdr:to>
    <xdr:sp macro="" textlink="">
      <xdr:nvSpPr>
        <xdr:cNvPr id="248662" name="フリーフォーム: 図形 248661">
          <a:extLst>
            <a:ext uri="{FF2B5EF4-FFF2-40B4-BE49-F238E27FC236}">
              <a16:creationId xmlns:a16="http://schemas.microsoft.com/office/drawing/2014/main" id="{4502691E-878A-4003-8D21-A492C6C8F7F0}"/>
            </a:ext>
          </a:extLst>
        </xdr:cNvPr>
        <xdr:cNvSpPr>
          <a:spLocks noChangeAspect="1"/>
        </xdr:cNvSpPr>
      </xdr:nvSpPr>
      <xdr:spPr>
        <a:xfrm>
          <a:off x="53233197" y="222768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262799</xdr:colOff>
      <xdr:row>128</xdr:row>
      <xdr:rowOff>64500</xdr:rowOff>
    </xdr:from>
    <xdr:to>
      <xdr:col>79</xdr:col>
      <xdr:colOff>45003</xdr:colOff>
      <xdr:row>129</xdr:row>
      <xdr:rowOff>37051</xdr:rowOff>
    </xdr:to>
    <xdr:sp macro="" textlink="">
      <xdr:nvSpPr>
        <xdr:cNvPr id="248663" name="フリーフォーム: 図形 248662">
          <a:extLst>
            <a:ext uri="{FF2B5EF4-FFF2-40B4-BE49-F238E27FC236}">
              <a16:creationId xmlns:a16="http://schemas.microsoft.com/office/drawing/2014/main" id="{B24CAC09-1A3E-49B8-9D41-959F4EE566B5}"/>
            </a:ext>
          </a:extLst>
        </xdr:cNvPr>
        <xdr:cNvSpPr>
          <a:spLocks noChangeAspect="1"/>
        </xdr:cNvSpPr>
      </xdr:nvSpPr>
      <xdr:spPr>
        <a:xfrm>
          <a:off x="53755199" y="222768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372597</xdr:colOff>
      <xdr:row>123</xdr:row>
      <xdr:rowOff>75750</xdr:rowOff>
    </xdr:from>
    <xdr:to>
      <xdr:col>77</xdr:col>
      <xdr:colOff>660599</xdr:colOff>
      <xdr:row>128</xdr:row>
      <xdr:rowOff>136501</xdr:rowOff>
    </xdr:to>
    <xdr:sp macro="" textlink="">
      <xdr:nvSpPr>
        <xdr:cNvPr id="248664" name="フリーフォーム: 図形 248663">
          <a:extLst>
            <a:ext uri="{FF2B5EF4-FFF2-40B4-BE49-F238E27FC236}">
              <a16:creationId xmlns:a16="http://schemas.microsoft.com/office/drawing/2014/main" id="{8E516DB8-3626-4900-95B9-39D5AFAB20A4}"/>
            </a:ext>
          </a:extLst>
        </xdr:cNvPr>
        <xdr:cNvSpPr>
          <a:spLocks noChangeAspect="1"/>
        </xdr:cNvSpPr>
      </xdr:nvSpPr>
      <xdr:spPr>
        <a:xfrm>
          <a:off x="53179197" y="214308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117</xdr:row>
      <xdr:rowOff>114450</xdr:rowOff>
    </xdr:from>
    <xdr:to>
      <xdr:col>78</xdr:col>
      <xdr:colOff>118803</xdr:colOff>
      <xdr:row>123</xdr:row>
      <xdr:rowOff>21752</xdr:rowOff>
    </xdr:to>
    <xdr:sp macro="" textlink="">
      <xdr:nvSpPr>
        <xdr:cNvPr id="248665" name="フリーフォーム: 図形 248664">
          <a:extLst>
            <a:ext uri="{FF2B5EF4-FFF2-40B4-BE49-F238E27FC236}">
              <a16:creationId xmlns:a16="http://schemas.microsoft.com/office/drawing/2014/main" id="{E5614EC3-65F7-49DC-AC37-949753980141}"/>
            </a:ext>
          </a:extLst>
        </xdr:cNvPr>
        <xdr:cNvSpPr>
          <a:spLocks noChangeAspect="1"/>
        </xdr:cNvSpPr>
      </xdr:nvSpPr>
      <xdr:spPr>
        <a:xfrm>
          <a:off x="53359199" y="204408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624601</xdr:colOff>
      <xdr:row>122</xdr:row>
      <xdr:rowOff>139199</xdr:rowOff>
    </xdr:from>
    <xdr:to>
      <xdr:col>78</xdr:col>
      <xdr:colOff>388802</xdr:colOff>
      <xdr:row>123</xdr:row>
      <xdr:rowOff>111751</xdr:rowOff>
    </xdr:to>
    <xdr:sp macro="" textlink="">
      <xdr:nvSpPr>
        <xdr:cNvPr id="248666" name="フリーフォーム: 図形 248665">
          <a:extLst>
            <a:ext uri="{FF2B5EF4-FFF2-40B4-BE49-F238E27FC236}">
              <a16:creationId xmlns:a16="http://schemas.microsoft.com/office/drawing/2014/main" id="{7D7AFAA3-EBF6-407C-8BD8-9DEB65962078}"/>
            </a:ext>
          </a:extLst>
        </xdr:cNvPr>
        <xdr:cNvSpPr>
          <a:spLocks noChangeAspect="1"/>
        </xdr:cNvSpPr>
      </xdr:nvSpPr>
      <xdr:spPr>
        <a:xfrm>
          <a:off x="53431201" y="213227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442801</xdr:colOff>
      <xdr:row>122</xdr:row>
      <xdr:rowOff>139199</xdr:rowOff>
    </xdr:from>
    <xdr:to>
      <xdr:col>79</xdr:col>
      <xdr:colOff>207002</xdr:colOff>
      <xdr:row>123</xdr:row>
      <xdr:rowOff>111751</xdr:rowOff>
    </xdr:to>
    <xdr:sp macro="" textlink="">
      <xdr:nvSpPr>
        <xdr:cNvPr id="248667" name="フリーフォーム: 図形 248666">
          <a:extLst>
            <a:ext uri="{FF2B5EF4-FFF2-40B4-BE49-F238E27FC236}">
              <a16:creationId xmlns:a16="http://schemas.microsoft.com/office/drawing/2014/main" id="{89FF2C02-1495-4BB4-A5BE-0E1BCB1DBEA4}"/>
            </a:ext>
          </a:extLst>
        </xdr:cNvPr>
        <xdr:cNvSpPr>
          <a:spLocks noChangeAspect="1"/>
        </xdr:cNvSpPr>
      </xdr:nvSpPr>
      <xdr:spPr>
        <a:xfrm>
          <a:off x="53935201" y="213227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136798</xdr:colOff>
      <xdr:row>118</xdr:row>
      <xdr:rowOff>51000</xdr:rowOff>
    </xdr:from>
    <xdr:to>
      <xdr:col>78</xdr:col>
      <xdr:colOff>406804</xdr:colOff>
      <xdr:row>123</xdr:row>
      <xdr:rowOff>3751</xdr:rowOff>
    </xdr:to>
    <xdr:sp macro="" textlink="">
      <xdr:nvSpPr>
        <xdr:cNvPr id="248668" name="フリーフォーム: 図形 248667">
          <a:extLst>
            <a:ext uri="{FF2B5EF4-FFF2-40B4-BE49-F238E27FC236}">
              <a16:creationId xmlns:a16="http://schemas.microsoft.com/office/drawing/2014/main" id="{52817F36-C818-4D73-BC46-77772FAC6041}"/>
            </a:ext>
          </a:extLst>
        </xdr:cNvPr>
        <xdr:cNvSpPr>
          <a:spLocks noChangeAspect="1"/>
        </xdr:cNvSpPr>
      </xdr:nvSpPr>
      <xdr:spPr>
        <a:xfrm>
          <a:off x="53629198" y="205488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406803</xdr:colOff>
      <xdr:row>117</xdr:row>
      <xdr:rowOff>114450</xdr:rowOff>
    </xdr:from>
    <xdr:to>
      <xdr:col>78</xdr:col>
      <xdr:colOff>658801</xdr:colOff>
      <xdr:row>122</xdr:row>
      <xdr:rowOff>157201</xdr:rowOff>
    </xdr:to>
    <xdr:sp macro="" textlink="">
      <xdr:nvSpPr>
        <xdr:cNvPr id="248669" name="フリーフォーム: 図形 248668">
          <a:extLst>
            <a:ext uri="{FF2B5EF4-FFF2-40B4-BE49-F238E27FC236}">
              <a16:creationId xmlns:a16="http://schemas.microsoft.com/office/drawing/2014/main" id="{460299CC-8ED3-4629-B572-1A9A12C4CD0E}"/>
            </a:ext>
          </a:extLst>
        </xdr:cNvPr>
        <xdr:cNvSpPr>
          <a:spLocks noChangeAspect="1"/>
        </xdr:cNvSpPr>
      </xdr:nvSpPr>
      <xdr:spPr>
        <a:xfrm>
          <a:off x="53899203" y="204408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460803</xdr:colOff>
      <xdr:row>118</xdr:row>
      <xdr:rowOff>69000</xdr:rowOff>
    </xdr:from>
    <xdr:to>
      <xdr:col>79</xdr:col>
      <xdr:colOff>297000</xdr:colOff>
      <xdr:row>123</xdr:row>
      <xdr:rowOff>3751</xdr:rowOff>
    </xdr:to>
    <xdr:sp macro="" textlink="">
      <xdr:nvSpPr>
        <xdr:cNvPr id="248670" name="フリーフォーム: 図形 248669">
          <a:extLst>
            <a:ext uri="{FF2B5EF4-FFF2-40B4-BE49-F238E27FC236}">
              <a16:creationId xmlns:a16="http://schemas.microsoft.com/office/drawing/2014/main" id="{43D3D7C1-5284-4E99-A46B-A2646D686020}"/>
            </a:ext>
          </a:extLst>
        </xdr:cNvPr>
        <xdr:cNvSpPr>
          <a:spLocks noChangeAspect="1"/>
        </xdr:cNvSpPr>
      </xdr:nvSpPr>
      <xdr:spPr>
        <a:xfrm>
          <a:off x="53953203" y="205668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424799</xdr:colOff>
      <xdr:row>123</xdr:row>
      <xdr:rowOff>75750</xdr:rowOff>
    </xdr:from>
    <xdr:to>
      <xdr:col>79</xdr:col>
      <xdr:colOff>8999</xdr:colOff>
      <xdr:row>127</xdr:row>
      <xdr:rowOff>163951</xdr:rowOff>
    </xdr:to>
    <xdr:sp macro="" textlink="">
      <xdr:nvSpPr>
        <xdr:cNvPr id="248671" name="フリーフォーム: 図形 248670">
          <a:extLst>
            <a:ext uri="{FF2B5EF4-FFF2-40B4-BE49-F238E27FC236}">
              <a16:creationId xmlns:a16="http://schemas.microsoft.com/office/drawing/2014/main" id="{80E7CDAB-32A5-4831-B083-632E3E96FC3D}"/>
            </a:ext>
          </a:extLst>
        </xdr:cNvPr>
        <xdr:cNvSpPr>
          <a:spLocks noChangeAspect="1"/>
        </xdr:cNvSpPr>
      </xdr:nvSpPr>
      <xdr:spPr>
        <a:xfrm>
          <a:off x="53917199" y="214308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78</xdr:col>
      <xdr:colOff>190798</xdr:colOff>
      <xdr:row>123</xdr:row>
      <xdr:rowOff>93749</xdr:rowOff>
    </xdr:from>
    <xdr:to>
      <xdr:col>78</xdr:col>
      <xdr:colOff>424800</xdr:colOff>
      <xdr:row>128</xdr:row>
      <xdr:rowOff>118501</xdr:rowOff>
    </xdr:to>
    <xdr:sp macro="" textlink="">
      <xdr:nvSpPr>
        <xdr:cNvPr id="248672" name="フリーフォーム: 図形 248671">
          <a:extLst>
            <a:ext uri="{FF2B5EF4-FFF2-40B4-BE49-F238E27FC236}">
              <a16:creationId xmlns:a16="http://schemas.microsoft.com/office/drawing/2014/main" id="{2BE391C7-B974-4179-B0A2-577BDDC8E717}"/>
            </a:ext>
          </a:extLst>
        </xdr:cNvPr>
        <xdr:cNvSpPr>
          <a:spLocks noChangeAspect="1"/>
        </xdr:cNvSpPr>
      </xdr:nvSpPr>
      <xdr:spPr>
        <a:xfrm>
          <a:off x="53683198" y="214487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77</xdr:col>
      <xdr:colOff>552599</xdr:colOff>
      <xdr:row>123</xdr:row>
      <xdr:rowOff>75750</xdr:rowOff>
    </xdr:from>
    <xdr:to>
      <xdr:col>78</xdr:col>
      <xdr:colOff>388802</xdr:colOff>
      <xdr:row>128</xdr:row>
      <xdr:rowOff>10501</xdr:rowOff>
    </xdr:to>
    <xdr:sp macro="" textlink="">
      <xdr:nvSpPr>
        <xdr:cNvPr id="248673" name="フリーフォーム: 図形 248672">
          <a:extLst>
            <a:ext uri="{FF2B5EF4-FFF2-40B4-BE49-F238E27FC236}">
              <a16:creationId xmlns:a16="http://schemas.microsoft.com/office/drawing/2014/main" id="{8ABF6F76-AFD3-4877-B0A8-E790D6353C38}"/>
            </a:ext>
          </a:extLst>
        </xdr:cNvPr>
        <xdr:cNvSpPr>
          <a:spLocks noChangeAspect="1"/>
        </xdr:cNvSpPr>
      </xdr:nvSpPr>
      <xdr:spPr>
        <a:xfrm>
          <a:off x="53359199" y="214308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539998</xdr:colOff>
      <xdr:row>117</xdr:row>
      <xdr:rowOff>42450</xdr:rowOff>
    </xdr:from>
    <xdr:to>
      <xdr:col>81</xdr:col>
      <xdr:colOff>322201</xdr:colOff>
      <xdr:row>118</xdr:row>
      <xdr:rowOff>15002</xdr:rowOff>
    </xdr:to>
    <xdr:sp macro="" textlink="">
      <xdr:nvSpPr>
        <xdr:cNvPr id="248674" name="フリーフォーム: 図形 248673">
          <a:extLst>
            <a:ext uri="{FF2B5EF4-FFF2-40B4-BE49-F238E27FC236}">
              <a16:creationId xmlns:a16="http://schemas.microsoft.com/office/drawing/2014/main" id="{DAB87054-6E44-4689-8F7E-00E21FED6DF4}"/>
            </a:ext>
          </a:extLst>
        </xdr:cNvPr>
        <xdr:cNvSpPr>
          <a:spLocks noChangeAspect="1"/>
        </xdr:cNvSpPr>
      </xdr:nvSpPr>
      <xdr:spPr>
        <a:xfrm>
          <a:off x="55403998" y="203688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394202</xdr:colOff>
      <xdr:row>117</xdr:row>
      <xdr:rowOff>42450</xdr:rowOff>
    </xdr:from>
    <xdr:to>
      <xdr:col>82</xdr:col>
      <xdr:colOff>176400</xdr:colOff>
      <xdr:row>118</xdr:row>
      <xdr:rowOff>15002</xdr:rowOff>
    </xdr:to>
    <xdr:sp macro="" textlink="">
      <xdr:nvSpPr>
        <xdr:cNvPr id="248675" name="フリーフォーム: 図形 248674">
          <a:extLst>
            <a:ext uri="{FF2B5EF4-FFF2-40B4-BE49-F238E27FC236}">
              <a16:creationId xmlns:a16="http://schemas.microsoft.com/office/drawing/2014/main" id="{3E2FFEB5-41A0-4308-86E9-4A33644390A6}"/>
            </a:ext>
          </a:extLst>
        </xdr:cNvPr>
        <xdr:cNvSpPr>
          <a:spLocks noChangeAspect="1"/>
        </xdr:cNvSpPr>
      </xdr:nvSpPr>
      <xdr:spPr>
        <a:xfrm>
          <a:off x="55944002" y="203688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646199</xdr:colOff>
      <xdr:row>117</xdr:row>
      <xdr:rowOff>114450</xdr:rowOff>
    </xdr:from>
    <xdr:to>
      <xdr:col>82</xdr:col>
      <xdr:colOff>248401</xdr:colOff>
      <xdr:row>123</xdr:row>
      <xdr:rowOff>21752</xdr:rowOff>
    </xdr:to>
    <xdr:sp macro="" textlink="">
      <xdr:nvSpPr>
        <xdr:cNvPr id="248676" name="フリーフォーム: 図形 248675">
          <a:extLst>
            <a:ext uri="{FF2B5EF4-FFF2-40B4-BE49-F238E27FC236}">
              <a16:creationId xmlns:a16="http://schemas.microsoft.com/office/drawing/2014/main" id="{4CEE3257-DF32-4B74-BF2F-E5D4D31596AA}"/>
            </a:ext>
          </a:extLst>
        </xdr:cNvPr>
        <xdr:cNvSpPr>
          <a:spLocks noChangeAspect="1"/>
        </xdr:cNvSpPr>
      </xdr:nvSpPr>
      <xdr:spPr>
        <a:xfrm>
          <a:off x="56195999" y="204408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466198</xdr:colOff>
      <xdr:row>123</xdr:row>
      <xdr:rowOff>75750</xdr:rowOff>
    </xdr:from>
    <xdr:to>
      <xdr:col>82</xdr:col>
      <xdr:colOff>68400</xdr:colOff>
      <xdr:row>128</xdr:row>
      <xdr:rowOff>136501</xdr:rowOff>
    </xdr:to>
    <xdr:sp macro="" textlink="">
      <xdr:nvSpPr>
        <xdr:cNvPr id="248677" name="フリーフォーム: 図形 248676">
          <a:extLst>
            <a:ext uri="{FF2B5EF4-FFF2-40B4-BE49-F238E27FC236}">
              <a16:creationId xmlns:a16="http://schemas.microsoft.com/office/drawing/2014/main" id="{74DE6860-BC91-43AE-83F6-3AD96B438D4C}"/>
            </a:ext>
          </a:extLst>
        </xdr:cNvPr>
        <xdr:cNvSpPr>
          <a:spLocks noChangeAspect="1"/>
        </xdr:cNvSpPr>
      </xdr:nvSpPr>
      <xdr:spPr>
        <a:xfrm>
          <a:off x="56015998" y="214308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197997</xdr:colOff>
      <xdr:row>128</xdr:row>
      <xdr:rowOff>64500</xdr:rowOff>
    </xdr:from>
    <xdr:to>
      <xdr:col>80</xdr:col>
      <xdr:colOff>684003</xdr:colOff>
      <xdr:row>129</xdr:row>
      <xdr:rowOff>37051</xdr:rowOff>
    </xdr:to>
    <xdr:sp macro="" textlink="">
      <xdr:nvSpPr>
        <xdr:cNvPr id="248678" name="フリーフォーム: 図形 248677">
          <a:extLst>
            <a:ext uri="{FF2B5EF4-FFF2-40B4-BE49-F238E27FC236}">
              <a16:creationId xmlns:a16="http://schemas.microsoft.com/office/drawing/2014/main" id="{0C5A115B-5588-476E-A2EA-F20E40702C0D}"/>
            </a:ext>
          </a:extLst>
        </xdr:cNvPr>
        <xdr:cNvSpPr>
          <a:spLocks noChangeAspect="1"/>
        </xdr:cNvSpPr>
      </xdr:nvSpPr>
      <xdr:spPr>
        <a:xfrm>
          <a:off x="55061997" y="222768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34199</xdr:colOff>
      <xdr:row>128</xdr:row>
      <xdr:rowOff>64500</xdr:rowOff>
    </xdr:from>
    <xdr:to>
      <xdr:col>81</xdr:col>
      <xdr:colOff>502203</xdr:colOff>
      <xdr:row>129</xdr:row>
      <xdr:rowOff>37051</xdr:rowOff>
    </xdr:to>
    <xdr:sp macro="" textlink="">
      <xdr:nvSpPr>
        <xdr:cNvPr id="248679" name="フリーフォーム: 図形 248678">
          <a:extLst>
            <a:ext uri="{FF2B5EF4-FFF2-40B4-BE49-F238E27FC236}">
              <a16:creationId xmlns:a16="http://schemas.microsoft.com/office/drawing/2014/main" id="{3B4EAABE-8D27-4DA5-AE50-0FE6DF47EA1F}"/>
            </a:ext>
          </a:extLst>
        </xdr:cNvPr>
        <xdr:cNvSpPr>
          <a:spLocks noChangeAspect="1"/>
        </xdr:cNvSpPr>
      </xdr:nvSpPr>
      <xdr:spPr>
        <a:xfrm>
          <a:off x="55583999" y="222768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143997</xdr:colOff>
      <xdr:row>123</xdr:row>
      <xdr:rowOff>75750</xdr:rowOff>
    </xdr:from>
    <xdr:to>
      <xdr:col>80</xdr:col>
      <xdr:colOff>431999</xdr:colOff>
      <xdr:row>128</xdr:row>
      <xdr:rowOff>136501</xdr:rowOff>
    </xdr:to>
    <xdr:sp macro="" textlink="">
      <xdr:nvSpPr>
        <xdr:cNvPr id="248680" name="フリーフォーム: 図形 248679">
          <a:extLst>
            <a:ext uri="{FF2B5EF4-FFF2-40B4-BE49-F238E27FC236}">
              <a16:creationId xmlns:a16="http://schemas.microsoft.com/office/drawing/2014/main" id="{D2F85EE5-A3ED-4F8D-98B6-F9494F1E4152}"/>
            </a:ext>
          </a:extLst>
        </xdr:cNvPr>
        <xdr:cNvSpPr>
          <a:spLocks noChangeAspect="1"/>
        </xdr:cNvSpPr>
      </xdr:nvSpPr>
      <xdr:spPr>
        <a:xfrm>
          <a:off x="55007997" y="214308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117</xdr:row>
      <xdr:rowOff>114450</xdr:rowOff>
    </xdr:from>
    <xdr:to>
      <xdr:col>80</xdr:col>
      <xdr:colOff>576003</xdr:colOff>
      <xdr:row>123</xdr:row>
      <xdr:rowOff>21752</xdr:rowOff>
    </xdr:to>
    <xdr:sp macro="" textlink="">
      <xdr:nvSpPr>
        <xdr:cNvPr id="248681" name="フリーフォーム: 図形 248680">
          <a:extLst>
            <a:ext uri="{FF2B5EF4-FFF2-40B4-BE49-F238E27FC236}">
              <a16:creationId xmlns:a16="http://schemas.microsoft.com/office/drawing/2014/main" id="{70DCDED4-C57E-46A5-96C2-97E1AF3282F9}"/>
            </a:ext>
          </a:extLst>
        </xdr:cNvPr>
        <xdr:cNvSpPr>
          <a:spLocks noChangeAspect="1"/>
        </xdr:cNvSpPr>
      </xdr:nvSpPr>
      <xdr:spPr>
        <a:xfrm>
          <a:off x="55187999" y="204408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396001</xdr:colOff>
      <xdr:row>122</xdr:row>
      <xdr:rowOff>139199</xdr:rowOff>
    </xdr:from>
    <xdr:to>
      <xdr:col>81</xdr:col>
      <xdr:colOff>160202</xdr:colOff>
      <xdr:row>123</xdr:row>
      <xdr:rowOff>111751</xdr:rowOff>
    </xdr:to>
    <xdr:sp macro="" textlink="">
      <xdr:nvSpPr>
        <xdr:cNvPr id="248682" name="フリーフォーム: 図形 248681">
          <a:extLst>
            <a:ext uri="{FF2B5EF4-FFF2-40B4-BE49-F238E27FC236}">
              <a16:creationId xmlns:a16="http://schemas.microsoft.com/office/drawing/2014/main" id="{E1D9A77D-470C-45DD-A4D3-7C8CFD1E9502}"/>
            </a:ext>
          </a:extLst>
        </xdr:cNvPr>
        <xdr:cNvSpPr>
          <a:spLocks noChangeAspect="1"/>
        </xdr:cNvSpPr>
      </xdr:nvSpPr>
      <xdr:spPr>
        <a:xfrm>
          <a:off x="55260001" y="213227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214201</xdr:colOff>
      <xdr:row>122</xdr:row>
      <xdr:rowOff>139199</xdr:rowOff>
    </xdr:from>
    <xdr:to>
      <xdr:col>81</xdr:col>
      <xdr:colOff>664202</xdr:colOff>
      <xdr:row>123</xdr:row>
      <xdr:rowOff>111751</xdr:rowOff>
    </xdr:to>
    <xdr:sp macro="" textlink="">
      <xdr:nvSpPr>
        <xdr:cNvPr id="248683" name="フリーフォーム: 図形 248682">
          <a:extLst>
            <a:ext uri="{FF2B5EF4-FFF2-40B4-BE49-F238E27FC236}">
              <a16:creationId xmlns:a16="http://schemas.microsoft.com/office/drawing/2014/main" id="{A838507B-90CA-4EB3-9794-C1B1C301AAB3}"/>
            </a:ext>
          </a:extLst>
        </xdr:cNvPr>
        <xdr:cNvSpPr>
          <a:spLocks noChangeAspect="1"/>
        </xdr:cNvSpPr>
      </xdr:nvSpPr>
      <xdr:spPr>
        <a:xfrm>
          <a:off x="55764001" y="213227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593998</xdr:colOff>
      <xdr:row>118</xdr:row>
      <xdr:rowOff>51000</xdr:rowOff>
    </xdr:from>
    <xdr:to>
      <xdr:col>81</xdr:col>
      <xdr:colOff>178204</xdr:colOff>
      <xdr:row>123</xdr:row>
      <xdr:rowOff>3751</xdr:rowOff>
    </xdr:to>
    <xdr:sp macro="" textlink="">
      <xdr:nvSpPr>
        <xdr:cNvPr id="248684" name="フリーフォーム: 図形 248683">
          <a:extLst>
            <a:ext uri="{FF2B5EF4-FFF2-40B4-BE49-F238E27FC236}">
              <a16:creationId xmlns:a16="http://schemas.microsoft.com/office/drawing/2014/main" id="{F707EF0A-3D41-45D4-97A0-3BE906053B3B}"/>
            </a:ext>
          </a:extLst>
        </xdr:cNvPr>
        <xdr:cNvSpPr>
          <a:spLocks noChangeAspect="1"/>
        </xdr:cNvSpPr>
      </xdr:nvSpPr>
      <xdr:spPr>
        <a:xfrm>
          <a:off x="55457998" y="205488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178203</xdr:colOff>
      <xdr:row>117</xdr:row>
      <xdr:rowOff>114450</xdr:rowOff>
    </xdr:from>
    <xdr:to>
      <xdr:col>81</xdr:col>
      <xdr:colOff>430201</xdr:colOff>
      <xdr:row>122</xdr:row>
      <xdr:rowOff>157201</xdr:rowOff>
    </xdr:to>
    <xdr:sp macro="" textlink="">
      <xdr:nvSpPr>
        <xdr:cNvPr id="248685" name="フリーフォーム: 図形 248684">
          <a:extLst>
            <a:ext uri="{FF2B5EF4-FFF2-40B4-BE49-F238E27FC236}">
              <a16:creationId xmlns:a16="http://schemas.microsoft.com/office/drawing/2014/main" id="{C10514FC-980C-43FE-9587-96658DA28554}"/>
            </a:ext>
          </a:extLst>
        </xdr:cNvPr>
        <xdr:cNvSpPr>
          <a:spLocks noChangeAspect="1"/>
        </xdr:cNvSpPr>
      </xdr:nvSpPr>
      <xdr:spPr>
        <a:xfrm>
          <a:off x="55728003" y="204408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232203</xdr:colOff>
      <xdr:row>118</xdr:row>
      <xdr:rowOff>69000</xdr:rowOff>
    </xdr:from>
    <xdr:to>
      <xdr:col>82</xdr:col>
      <xdr:colOff>68400</xdr:colOff>
      <xdr:row>123</xdr:row>
      <xdr:rowOff>3751</xdr:rowOff>
    </xdr:to>
    <xdr:sp macro="" textlink="">
      <xdr:nvSpPr>
        <xdr:cNvPr id="248686" name="フリーフォーム: 図形 248685">
          <a:extLst>
            <a:ext uri="{FF2B5EF4-FFF2-40B4-BE49-F238E27FC236}">
              <a16:creationId xmlns:a16="http://schemas.microsoft.com/office/drawing/2014/main" id="{13920517-2E1E-4177-AE89-3CA97F3BD1F0}"/>
            </a:ext>
          </a:extLst>
        </xdr:cNvPr>
        <xdr:cNvSpPr>
          <a:spLocks noChangeAspect="1"/>
        </xdr:cNvSpPr>
      </xdr:nvSpPr>
      <xdr:spPr>
        <a:xfrm>
          <a:off x="55782003" y="205668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81</xdr:col>
      <xdr:colOff>196199</xdr:colOff>
      <xdr:row>123</xdr:row>
      <xdr:rowOff>75750</xdr:rowOff>
    </xdr:from>
    <xdr:to>
      <xdr:col>81</xdr:col>
      <xdr:colOff>466199</xdr:colOff>
      <xdr:row>127</xdr:row>
      <xdr:rowOff>163951</xdr:rowOff>
    </xdr:to>
    <xdr:sp macro="" textlink="">
      <xdr:nvSpPr>
        <xdr:cNvPr id="248687" name="フリーフォーム: 図形 248686">
          <a:extLst>
            <a:ext uri="{FF2B5EF4-FFF2-40B4-BE49-F238E27FC236}">
              <a16:creationId xmlns:a16="http://schemas.microsoft.com/office/drawing/2014/main" id="{F5712493-6A29-4E0B-AAB0-AD67397A1E23}"/>
            </a:ext>
          </a:extLst>
        </xdr:cNvPr>
        <xdr:cNvSpPr>
          <a:spLocks noChangeAspect="1"/>
        </xdr:cNvSpPr>
      </xdr:nvSpPr>
      <xdr:spPr>
        <a:xfrm>
          <a:off x="55745999" y="214308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647998</xdr:colOff>
      <xdr:row>123</xdr:row>
      <xdr:rowOff>93749</xdr:rowOff>
    </xdr:from>
    <xdr:to>
      <xdr:col>81</xdr:col>
      <xdr:colOff>196200</xdr:colOff>
      <xdr:row>128</xdr:row>
      <xdr:rowOff>118501</xdr:rowOff>
    </xdr:to>
    <xdr:sp macro="" textlink="">
      <xdr:nvSpPr>
        <xdr:cNvPr id="248688" name="フリーフォーム: 図形 248687">
          <a:extLst>
            <a:ext uri="{FF2B5EF4-FFF2-40B4-BE49-F238E27FC236}">
              <a16:creationId xmlns:a16="http://schemas.microsoft.com/office/drawing/2014/main" id="{E0F31C38-DB8C-4314-BBC7-E6E61C4C675D}"/>
            </a:ext>
          </a:extLst>
        </xdr:cNvPr>
        <xdr:cNvSpPr>
          <a:spLocks noChangeAspect="1"/>
        </xdr:cNvSpPr>
      </xdr:nvSpPr>
      <xdr:spPr>
        <a:xfrm>
          <a:off x="55511998" y="214487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80</xdr:col>
      <xdr:colOff>323999</xdr:colOff>
      <xdr:row>123</xdr:row>
      <xdr:rowOff>75750</xdr:rowOff>
    </xdr:from>
    <xdr:to>
      <xdr:col>81</xdr:col>
      <xdr:colOff>160202</xdr:colOff>
      <xdr:row>128</xdr:row>
      <xdr:rowOff>10501</xdr:rowOff>
    </xdr:to>
    <xdr:sp macro="" textlink="">
      <xdr:nvSpPr>
        <xdr:cNvPr id="248689" name="フリーフォーム: 図形 248688">
          <a:extLst>
            <a:ext uri="{FF2B5EF4-FFF2-40B4-BE49-F238E27FC236}">
              <a16:creationId xmlns:a16="http://schemas.microsoft.com/office/drawing/2014/main" id="{EF615B9E-E2AC-456D-A902-3CF376E97647}"/>
            </a:ext>
          </a:extLst>
        </xdr:cNvPr>
        <xdr:cNvSpPr>
          <a:spLocks noChangeAspect="1"/>
        </xdr:cNvSpPr>
      </xdr:nvSpPr>
      <xdr:spPr>
        <a:xfrm>
          <a:off x="55187999" y="214308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311398</xdr:colOff>
      <xdr:row>117</xdr:row>
      <xdr:rowOff>42450</xdr:rowOff>
    </xdr:from>
    <xdr:to>
      <xdr:col>84</xdr:col>
      <xdr:colOff>93601</xdr:colOff>
      <xdr:row>118</xdr:row>
      <xdr:rowOff>15002</xdr:rowOff>
    </xdr:to>
    <xdr:sp macro="" textlink="">
      <xdr:nvSpPr>
        <xdr:cNvPr id="248690" name="フリーフォーム: 図形 248689">
          <a:extLst>
            <a:ext uri="{FF2B5EF4-FFF2-40B4-BE49-F238E27FC236}">
              <a16:creationId xmlns:a16="http://schemas.microsoft.com/office/drawing/2014/main" id="{76658C32-7B7A-4B8F-AD23-CC0C983BE735}"/>
            </a:ext>
          </a:extLst>
        </xdr:cNvPr>
        <xdr:cNvSpPr>
          <a:spLocks noChangeAspect="1"/>
        </xdr:cNvSpPr>
      </xdr:nvSpPr>
      <xdr:spPr>
        <a:xfrm>
          <a:off x="57232798" y="20368800"/>
          <a:ext cx="468003" cy="144002"/>
        </a:xfrm>
        <a:custGeom>
          <a:avLst/>
          <a:gdLst/>
          <a:ahLst/>
          <a:cxnLst/>
          <a:rect l="0" t="0" r="0" b="0"/>
          <a:pathLst>
            <a:path w="468003" h="144002">
              <a:moveTo>
                <a:pt x="72002" y="0"/>
              </a:moveTo>
              <a:lnTo>
                <a:pt x="432005" y="0"/>
              </a:lnTo>
              <a:lnTo>
                <a:pt x="468002" y="35999"/>
              </a:lnTo>
              <a:lnTo>
                <a:pt x="360003" y="144001"/>
              </a:lnTo>
              <a:lnTo>
                <a:pt x="72002"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165602</xdr:colOff>
      <xdr:row>117</xdr:row>
      <xdr:rowOff>42450</xdr:rowOff>
    </xdr:from>
    <xdr:to>
      <xdr:col>84</xdr:col>
      <xdr:colOff>633600</xdr:colOff>
      <xdr:row>118</xdr:row>
      <xdr:rowOff>15002</xdr:rowOff>
    </xdr:to>
    <xdr:sp macro="" textlink="">
      <xdr:nvSpPr>
        <xdr:cNvPr id="248691" name="フリーフォーム: 図形 248690">
          <a:extLst>
            <a:ext uri="{FF2B5EF4-FFF2-40B4-BE49-F238E27FC236}">
              <a16:creationId xmlns:a16="http://schemas.microsoft.com/office/drawing/2014/main" id="{9FE0F72B-7C5F-461D-9953-9598CFE9AFF4}"/>
            </a:ext>
          </a:extLst>
        </xdr:cNvPr>
        <xdr:cNvSpPr>
          <a:spLocks noChangeAspect="1"/>
        </xdr:cNvSpPr>
      </xdr:nvSpPr>
      <xdr:spPr>
        <a:xfrm>
          <a:off x="57772802" y="20368800"/>
          <a:ext cx="467998" cy="144002"/>
        </a:xfrm>
        <a:custGeom>
          <a:avLst/>
          <a:gdLst/>
          <a:ahLst/>
          <a:cxnLst/>
          <a:rect l="0" t="0" r="0" b="0"/>
          <a:pathLst>
            <a:path w="467998" h="144002">
              <a:moveTo>
                <a:pt x="71996" y="0"/>
              </a:moveTo>
              <a:lnTo>
                <a:pt x="431999" y="0"/>
              </a:lnTo>
              <a:lnTo>
                <a:pt x="467997" y="35999"/>
              </a:lnTo>
              <a:lnTo>
                <a:pt x="359997" y="144001"/>
              </a:lnTo>
              <a:lnTo>
                <a:pt x="89998" y="144001"/>
              </a:lnTo>
              <a:lnTo>
                <a:pt x="0" y="35999"/>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417599</xdr:colOff>
      <xdr:row>117</xdr:row>
      <xdr:rowOff>114450</xdr:rowOff>
    </xdr:from>
    <xdr:to>
      <xdr:col>85</xdr:col>
      <xdr:colOff>19801</xdr:colOff>
      <xdr:row>123</xdr:row>
      <xdr:rowOff>21752</xdr:rowOff>
    </xdr:to>
    <xdr:sp macro="" textlink="">
      <xdr:nvSpPr>
        <xdr:cNvPr id="248692" name="フリーフォーム: 図形 248691">
          <a:extLst>
            <a:ext uri="{FF2B5EF4-FFF2-40B4-BE49-F238E27FC236}">
              <a16:creationId xmlns:a16="http://schemas.microsoft.com/office/drawing/2014/main" id="{D6221259-4F45-4C57-A83A-AA1319F0E003}"/>
            </a:ext>
          </a:extLst>
        </xdr:cNvPr>
        <xdr:cNvSpPr>
          <a:spLocks noChangeAspect="1"/>
        </xdr:cNvSpPr>
      </xdr:nvSpPr>
      <xdr:spPr>
        <a:xfrm>
          <a:off x="58024799" y="20440800"/>
          <a:ext cx="288002" cy="936002"/>
        </a:xfrm>
        <a:custGeom>
          <a:avLst/>
          <a:gdLst/>
          <a:ahLst/>
          <a:cxnLst/>
          <a:rect l="0" t="0" r="0" b="0"/>
          <a:pathLst>
            <a:path w="288002" h="936002">
              <a:moveTo>
                <a:pt x="144004" y="108000"/>
              </a:moveTo>
              <a:lnTo>
                <a:pt x="252004" y="0"/>
              </a:lnTo>
              <a:lnTo>
                <a:pt x="288001" y="72001"/>
              </a:lnTo>
              <a:lnTo>
                <a:pt x="144004" y="864000"/>
              </a:lnTo>
              <a:lnTo>
                <a:pt x="54000"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237598</xdr:colOff>
      <xdr:row>123</xdr:row>
      <xdr:rowOff>75750</xdr:rowOff>
    </xdr:from>
    <xdr:to>
      <xdr:col>84</xdr:col>
      <xdr:colOff>525600</xdr:colOff>
      <xdr:row>128</xdr:row>
      <xdr:rowOff>136501</xdr:rowOff>
    </xdr:to>
    <xdr:sp macro="" textlink="">
      <xdr:nvSpPr>
        <xdr:cNvPr id="248693" name="フリーフォーム: 図形 248692">
          <a:extLst>
            <a:ext uri="{FF2B5EF4-FFF2-40B4-BE49-F238E27FC236}">
              <a16:creationId xmlns:a16="http://schemas.microsoft.com/office/drawing/2014/main" id="{2BEEFAF3-B97B-4E21-947F-0380CCF6E3B8}"/>
            </a:ext>
          </a:extLst>
        </xdr:cNvPr>
        <xdr:cNvSpPr>
          <a:spLocks noChangeAspect="1"/>
        </xdr:cNvSpPr>
      </xdr:nvSpPr>
      <xdr:spPr>
        <a:xfrm>
          <a:off x="57844798" y="21430800"/>
          <a:ext cx="288002" cy="918001"/>
        </a:xfrm>
        <a:custGeom>
          <a:avLst/>
          <a:gdLst/>
          <a:ahLst/>
          <a:cxnLst/>
          <a:rect l="0" t="0" r="0" b="0"/>
          <a:pathLst>
            <a:path w="288002" h="918001">
              <a:moveTo>
                <a:pt x="144004" y="72001"/>
              </a:moveTo>
              <a:lnTo>
                <a:pt x="215999" y="0"/>
              </a:lnTo>
              <a:lnTo>
                <a:pt x="288001" y="54000"/>
              </a:lnTo>
              <a:lnTo>
                <a:pt x="144004" y="846000"/>
              </a:lnTo>
              <a:lnTo>
                <a:pt x="72002" y="918000"/>
              </a:lnTo>
              <a:lnTo>
                <a:pt x="0" y="810001"/>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655197</xdr:colOff>
      <xdr:row>128</xdr:row>
      <xdr:rowOff>64500</xdr:rowOff>
    </xdr:from>
    <xdr:to>
      <xdr:col>83</xdr:col>
      <xdr:colOff>455403</xdr:colOff>
      <xdr:row>129</xdr:row>
      <xdr:rowOff>37051</xdr:rowOff>
    </xdr:to>
    <xdr:sp macro="" textlink="">
      <xdr:nvSpPr>
        <xdr:cNvPr id="248694" name="フリーフォーム: 図形 248693">
          <a:extLst>
            <a:ext uri="{FF2B5EF4-FFF2-40B4-BE49-F238E27FC236}">
              <a16:creationId xmlns:a16="http://schemas.microsoft.com/office/drawing/2014/main" id="{36DC6E83-4A4B-47B5-8104-3F0892FB3F2A}"/>
            </a:ext>
          </a:extLst>
        </xdr:cNvPr>
        <xdr:cNvSpPr>
          <a:spLocks noChangeAspect="1"/>
        </xdr:cNvSpPr>
      </xdr:nvSpPr>
      <xdr:spPr>
        <a:xfrm>
          <a:off x="56890797" y="22276800"/>
          <a:ext cx="486006" cy="144001"/>
        </a:xfrm>
        <a:custGeom>
          <a:avLst/>
          <a:gdLst/>
          <a:ahLst/>
          <a:cxnLst/>
          <a:rect l="0" t="0" r="0" b="0"/>
          <a:pathLst>
            <a:path w="486006" h="144001">
              <a:moveTo>
                <a:pt x="126002" y="0"/>
              </a:moveTo>
              <a:lnTo>
                <a:pt x="396001" y="0"/>
              </a:lnTo>
              <a:lnTo>
                <a:pt x="486005" y="108000"/>
              </a:lnTo>
              <a:lnTo>
                <a:pt x="414003" y="144000"/>
              </a:lnTo>
              <a:lnTo>
                <a:pt x="54000"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491399</xdr:colOff>
      <xdr:row>128</xdr:row>
      <xdr:rowOff>64500</xdr:rowOff>
    </xdr:from>
    <xdr:to>
      <xdr:col>84</xdr:col>
      <xdr:colOff>273603</xdr:colOff>
      <xdr:row>129</xdr:row>
      <xdr:rowOff>37051</xdr:rowOff>
    </xdr:to>
    <xdr:sp macro="" textlink="">
      <xdr:nvSpPr>
        <xdr:cNvPr id="248695" name="フリーフォーム: 図形 248694">
          <a:extLst>
            <a:ext uri="{FF2B5EF4-FFF2-40B4-BE49-F238E27FC236}">
              <a16:creationId xmlns:a16="http://schemas.microsoft.com/office/drawing/2014/main" id="{26576A2C-12B4-4B8E-A639-AC8B3D822CCA}"/>
            </a:ext>
          </a:extLst>
        </xdr:cNvPr>
        <xdr:cNvSpPr>
          <a:spLocks noChangeAspect="1"/>
        </xdr:cNvSpPr>
      </xdr:nvSpPr>
      <xdr:spPr>
        <a:xfrm>
          <a:off x="57412799" y="22276800"/>
          <a:ext cx="468004" cy="144001"/>
        </a:xfrm>
        <a:custGeom>
          <a:avLst/>
          <a:gdLst/>
          <a:ahLst/>
          <a:cxnLst/>
          <a:rect l="0" t="0" r="0" b="0"/>
          <a:pathLst>
            <a:path w="468004" h="144001">
              <a:moveTo>
                <a:pt x="144004" y="0"/>
              </a:moveTo>
              <a:lnTo>
                <a:pt x="396001" y="0"/>
              </a:lnTo>
              <a:lnTo>
                <a:pt x="468003" y="108000"/>
              </a:lnTo>
              <a:lnTo>
                <a:pt x="431999" y="144000"/>
              </a:lnTo>
              <a:lnTo>
                <a:pt x="35998" y="144000"/>
              </a:lnTo>
              <a:lnTo>
                <a:pt x="0" y="108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82</xdr:col>
      <xdr:colOff>601197</xdr:colOff>
      <xdr:row>123</xdr:row>
      <xdr:rowOff>75750</xdr:rowOff>
    </xdr:from>
    <xdr:to>
      <xdr:col>83</xdr:col>
      <xdr:colOff>203399</xdr:colOff>
      <xdr:row>128</xdr:row>
      <xdr:rowOff>136501</xdr:rowOff>
    </xdr:to>
    <xdr:sp macro="" textlink="">
      <xdr:nvSpPr>
        <xdr:cNvPr id="248696" name="フリーフォーム: 図形 248695">
          <a:extLst>
            <a:ext uri="{FF2B5EF4-FFF2-40B4-BE49-F238E27FC236}">
              <a16:creationId xmlns:a16="http://schemas.microsoft.com/office/drawing/2014/main" id="{F12128C9-4948-4B24-9F3F-4B821F965E81}"/>
            </a:ext>
          </a:extLst>
        </xdr:cNvPr>
        <xdr:cNvSpPr>
          <a:spLocks noChangeAspect="1"/>
        </xdr:cNvSpPr>
      </xdr:nvSpPr>
      <xdr:spPr>
        <a:xfrm>
          <a:off x="56836797" y="21430800"/>
          <a:ext cx="288002" cy="918001"/>
        </a:xfrm>
        <a:custGeom>
          <a:avLst/>
          <a:gdLst/>
          <a:ahLst/>
          <a:cxnLst/>
          <a:rect l="0" t="0" r="0" b="0"/>
          <a:pathLst>
            <a:path w="288002" h="918001">
              <a:moveTo>
                <a:pt x="144004" y="54000"/>
              </a:moveTo>
              <a:lnTo>
                <a:pt x="216006" y="0"/>
              </a:lnTo>
              <a:lnTo>
                <a:pt x="288001" y="72001"/>
              </a:lnTo>
              <a:lnTo>
                <a:pt x="144004" y="810001"/>
              </a:lnTo>
              <a:lnTo>
                <a:pt x="36004" y="918000"/>
              </a:lnTo>
              <a:lnTo>
                <a:pt x="0" y="846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117</xdr:row>
      <xdr:rowOff>114450</xdr:rowOff>
    </xdr:from>
    <xdr:to>
      <xdr:col>83</xdr:col>
      <xdr:colOff>347403</xdr:colOff>
      <xdr:row>123</xdr:row>
      <xdr:rowOff>21752</xdr:rowOff>
    </xdr:to>
    <xdr:sp macro="" textlink="">
      <xdr:nvSpPr>
        <xdr:cNvPr id="248697" name="フリーフォーム: 図形 248696">
          <a:extLst>
            <a:ext uri="{FF2B5EF4-FFF2-40B4-BE49-F238E27FC236}">
              <a16:creationId xmlns:a16="http://schemas.microsoft.com/office/drawing/2014/main" id="{66E18D2B-4DAA-4C68-A3B2-A5E970D7B812}"/>
            </a:ext>
          </a:extLst>
        </xdr:cNvPr>
        <xdr:cNvSpPr>
          <a:spLocks noChangeAspect="1"/>
        </xdr:cNvSpPr>
      </xdr:nvSpPr>
      <xdr:spPr>
        <a:xfrm>
          <a:off x="57016799" y="20440800"/>
          <a:ext cx="252004" cy="936002"/>
        </a:xfrm>
        <a:custGeom>
          <a:avLst/>
          <a:gdLst/>
          <a:ahLst/>
          <a:cxnLst/>
          <a:rect l="0" t="0" r="0" b="0"/>
          <a:pathLst>
            <a:path w="252004" h="936002">
              <a:moveTo>
                <a:pt x="126001" y="72001"/>
              </a:moveTo>
              <a:lnTo>
                <a:pt x="180001" y="0"/>
              </a:lnTo>
              <a:lnTo>
                <a:pt x="252003" y="108000"/>
              </a:lnTo>
              <a:lnTo>
                <a:pt x="144003" y="846000"/>
              </a:lnTo>
              <a:lnTo>
                <a:pt x="36004" y="936001"/>
              </a:lnTo>
              <a:lnTo>
                <a:pt x="0" y="864000"/>
              </a:lnTo>
              <a:close/>
            </a:path>
          </a:pathLst>
        </a:custGeom>
        <a:solidFill>
          <a:srgbClr val="E4EFFF"/>
        </a:solidFill>
        <a:ln w="9525">
          <a:solidFill>
            <a:srgbClr val="E4EF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167401</xdr:colOff>
      <xdr:row>122</xdr:row>
      <xdr:rowOff>139199</xdr:rowOff>
    </xdr:from>
    <xdr:to>
      <xdr:col>83</xdr:col>
      <xdr:colOff>617402</xdr:colOff>
      <xdr:row>123</xdr:row>
      <xdr:rowOff>111751</xdr:rowOff>
    </xdr:to>
    <xdr:sp macro="" textlink="">
      <xdr:nvSpPr>
        <xdr:cNvPr id="248698" name="フリーフォーム: 図形 248697">
          <a:extLst>
            <a:ext uri="{FF2B5EF4-FFF2-40B4-BE49-F238E27FC236}">
              <a16:creationId xmlns:a16="http://schemas.microsoft.com/office/drawing/2014/main" id="{64B8E3FA-DA45-426E-8C2F-50750C9DA316}"/>
            </a:ext>
          </a:extLst>
        </xdr:cNvPr>
        <xdr:cNvSpPr>
          <a:spLocks noChangeAspect="1"/>
        </xdr:cNvSpPr>
      </xdr:nvSpPr>
      <xdr:spPr>
        <a:xfrm>
          <a:off x="57088801" y="21322799"/>
          <a:ext cx="450001" cy="144002"/>
        </a:xfrm>
        <a:custGeom>
          <a:avLst/>
          <a:gdLst/>
          <a:ahLst/>
          <a:cxnLst/>
          <a:rect l="0" t="0" r="0" b="0"/>
          <a:pathLst>
            <a:path w="450001" h="144002">
              <a:moveTo>
                <a:pt x="89997" y="0"/>
              </a:moveTo>
              <a:lnTo>
                <a:pt x="359996" y="0"/>
              </a:lnTo>
              <a:lnTo>
                <a:pt x="450000" y="72001"/>
              </a:lnTo>
              <a:lnTo>
                <a:pt x="323998" y="144001"/>
              </a:lnTo>
              <a:lnTo>
                <a:pt x="72001"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671401</xdr:colOff>
      <xdr:row>122</xdr:row>
      <xdr:rowOff>139199</xdr:rowOff>
    </xdr:from>
    <xdr:to>
      <xdr:col>84</xdr:col>
      <xdr:colOff>435602</xdr:colOff>
      <xdr:row>123</xdr:row>
      <xdr:rowOff>111751</xdr:rowOff>
    </xdr:to>
    <xdr:sp macro="" textlink="">
      <xdr:nvSpPr>
        <xdr:cNvPr id="248699" name="フリーフォーム: 図形 248698">
          <a:extLst>
            <a:ext uri="{FF2B5EF4-FFF2-40B4-BE49-F238E27FC236}">
              <a16:creationId xmlns:a16="http://schemas.microsoft.com/office/drawing/2014/main" id="{22619373-AF76-40D9-A9EC-EF1947EAE30E}"/>
            </a:ext>
          </a:extLst>
        </xdr:cNvPr>
        <xdr:cNvSpPr>
          <a:spLocks noChangeAspect="1"/>
        </xdr:cNvSpPr>
      </xdr:nvSpPr>
      <xdr:spPr>
        <a:xfrm>
          <a:off x="57592801" y="21322799"/>
          <a:ext cx="450001" cy="144002"/>
        </a:xfrm>
        <a:custGeom>
          <a:avLst/>
          <a:gdLst/>
          <a:ahLst/>
          <a:cxnLst/>
          <a:rect l="0" t="0" r="0" b="0"/>
          <a:pathLst>
            <a:path w="450001" h="144002">
              <a:moveTo>
                <a:pt x="143997" y="0"/>
              </a:moveTo>
              <a:lnTo>
                <a:pt x="396001" y="0"/>
              </a:lnTo>
              <a:lnTo>
                <a:pt x="450000" y="72001"/>
              </a:lnTo>
              <a:lnTo>
                <a:pt x="359997" y="144001"/>
              </a:lnTo>
              <a:lnTo>
                <a:pt x="89997" y="144001"/>
              </a:lnTo>
              <a:lnTo>
                <a:pt x="0" y="72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365398</xdr:colOff>
      <xdr:row>118</xdr:row>
      <xdr:rowOff>51000</xdr:rowOff>
    </xdr:from>
    <xdr:to>
      <xdr:col>83</xdr:col>
      <xdr:colOff>635404</xdr:colOff>
      <xdr:row>123</xdr:row>
      <xdr:rowOff>3751</xdr:rowOff>
    </xdr:to>
    <xdr:sp macro="" textlink="">
      <xdr:nvSpPr>
        <xdr:cNvPr id="248700" name="フリーフォーム: 図形 248699">
          <a:extLst>
            <a:ext uri="{FF2B5EF4-FFF2-40B4-BE49-F238E27FC236}">
              <a16:creationId xmlns:a16="http://schemas.microsoft.com/office/drawing/2014/main" id="{01AF2816-599E-435E-A1CB-15800D2E1FF7}"/>
            </a:ext>
          </a:extLst>
        </xdr:cNvPr>
        <xdr:cNvSpPr>
          <a:spLocks noChangeAspect="1"/>
        </xdr:cNvSpPr>
      </xdr:nvSpPr>
      <xdr:spPr>
        <a:xfrm>
          <a:off x="57286798" y="20548800"/>
          <a:ext cx="270006" cy="810001"/>
        </a:xfrm>
        <a:custGeom>
          <a:avLst/>
          <a:gdLst/>
          <a:ahLst/>
          <a:cxnLst/>
          <a:rect l="0" t="0" r="0" b="0"/>
          <a:pathLst>
            <a:path w="270006" h="810001">
              <a:moveTo>
                <a:pt x="0" y="180000"/>
              </a:moveTo>
              <a:lnTo>
                <a:pt x="18002" y="0"/>
              </a:lnTo>
              <a:lnTo>
                <a:pt x="107999" y="108000"/>
              </a:lnTo>
              <a:lnTo>
                <a:pt x="215999" y="467999"/>
              </a:lnTo>
              <a:lnTo>
                <a:pt x="270005" y="810000"/>
              </a:lnTo>
              <a:lnTo>
                <a:pt x="180001" y="738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635403</xdr:colOff>
      <xdr:row>117</xdr:row>
      <xdr:rowOff>114450</xdr:rowOff>
    </xdr:from>
    <xdr:to>
      <xdr:col>84</xdr:col>
      <xdr:colOff>201601</xdr:colOff>
      <xdr:row>122</xdr:row>
      <xdr:rowOff>157201</xdr:rowOff>
    </xdr:to>
    <xdr:sp macro="" textlink="">
      <xdr:nvSpPr>
        <xdr:cNvPr id="248701" name="フリーフォーム: 図形 248700">
          <a:extLst>
            <a:ext uri="{FF2B5EF4-FFF2-40B4-BE49-F238E27FC236}">
              <a16:creationId xmlns:a16="http://schemas.microsoft.com/office/drawing/2014/main" id="{C6FD9B5D-8046-45FE-A25D-1F3B3D84DD41}"/>
            </a:ext>
          </a:extLst>
        </xdr:cNvPr>
        <xdr:cNvSpPr>
          <a:spLocks noChangeAspect="1"/>
        </xdr:cNvSpPr>
      </xdr:nvSpPr>
      <xdr:spPr>
        <a:xfrm>
          <a:off x="57556803" y="20440800"/>
          <a:ext cx="251998" cy="900001"/>
        </a:xfrm>
        <a:custGeom>
          <a:avLst/>
          <a:gdLst/>
          <a:ahLst/>
          <a:cxnLst/>
          <a:rect l="0" t="0" r="0" b="0"/>
          <a:pathLst>
            <a:path w="251998" h="900001">
              <a:moveTo>
                <a:pt x="108000" y="72001"/>
              </a:moveTo>
              <a:lnTo>
                <a:pt x="179995" y="0"/>
              </a:lnTo>
              <a:lnTo>
                <a:pt x="251997" y="90000"/>
              </a:lnTo>
              <a:lnTo>
                <a:pt x="125995" y="684000"/>
              </a:lnTo>
              <a:lnTo>
                <a:pt x="17996" y="900000"/>
              </a:lnTo>
              <a:lnTo>
                <a:pt x="0" y="68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84</xdr:col>
      <xdr:colOff>3603</xdr:colOff>
      <xdr:row>118</xdr:row>
      <xdr:rowOff>69000</xdr:rowOff>
    </xdr:from>
    <xdr:to>
      <xdr:col>84</xdr:col>
      <xdr:colOff>525600</xdr:colOff>
      <xdr:row>123</xdr:row>
      <xdr:rowOff>3751</xdr:rowOff>
    </xdr:to>
    <xdr:sp macro="" textlink="">
      <xdr:nvSpPr>
        <xdr:cNvPr id="248702" name="フリーフォーム: 図形 248701">
          <a:extLst>
            <a:ext uri="{FF2B5EF4-FFF2-40B4-BE49-F238E27FC236}">
              <a16:creationId xmlns:a16="http://schemas.microsoft.com/office/drawing/2014/main" id="{F2837802-AF6F-409E-8391-629268F3E805}"/>
            </a:ext>
          </a:extLst>
        </xdr:cNvPr>
        <xdr:cNvSpPr>
          <a:spLocks noChangeAspect="1"/>
        </xdr:cNvSpPr>
      </xdr:nvSpPr>
      <xdr:spPr>
        <a:xfrm>
          <a:off x="57610803" y="20566800"/>
          <a:ext cx="521997" cy="792001"/>
        </a:xfrm>
        <a:custGeom>
          <a:avLst/>
          <a:gdLst/>
          <a:ahLst/>
          <a:cxnLst/>
          <a:rect l="0" t="0" r="0" b="0"/>
          <a:pathLst>
            <a:path w="521997" h="792001">
              <a:moveTo>
                <a:pt x="377999" y="126001"/>
              </a:moveTo>
              <a:lnTo>
                <a:pt x="521996" y="0"/>
              </a:lnTo>
              <a:lnTo>
                <a:pt x="485998" y="198001"/>
              </a:lnTo>
              <a:lnTo>
                <a:pt x="89997" y="738000"/>
              </a:lnTo>
              <a:lnTo>
                <a:pt x="0" y="792000"/>
              </a:lnTo>
              <a:lnTo>
                <a:pt x="197997" y="378001"/>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653399</xdr:colOff>
      <xdr:row>123</xdr:row>
      <xdr:rowOff>75750</xdr:rowOff>
    </xdr:from>
    <xdr:to>
      <xdr:col>84</xdr:col>
      <xdr:colOff>237599</xdr:colOff>
      <xdr:row>127</xdr:row>
      <xdr:rowOff>163951</xdr:rowOff>
    </xdr:to>
    <xdr:sp macro="" textlink="">
      <xdr:nvSpPr>
        <xdr:cNvPr id="248703" name="フリーフォーム: 図形 248702">
          <a:extLst>
            <a:ext uri="{FF2B5EF4-FFF2-40B4-BE49-F238E27FC236}">
              <a16:creationId xmlns:a16="http://schemas.microsoft.com/office/drawing/2014/main" id="{250A581A-2D70-4E7B-A800-2AA1DE651C48}"/>
            </a:ext>
          </a:extLst>
        </xdr:cNvPr>
        <xdr:cNvSpPr>
          <a:spLocks noChangeAspect="1"/>
        </xdr:cNvSpPr>
      </xdr:nvSpPr>
      <xdr:spPr>
        <a:xfrm>
          <a:off x="57574799" y="21430800"/>
          <a:ext cx="270000" cy="774001"/>
        </a:xfrm>
        <a:custGeom>
          <a:avLst/>
          <a:gdLst/>
          <a:ahLst/>
          <a:cxnLst/>
          <a:rect l="0" t="0" r="0" b="0"/>
          <a:pathLst>
            <a:path w="270000" h="774001">
              <a:moveTo>
                <a:pt x="54000" y="342000"/>
              </a:moveTo>
              <a:lnTo>
                <a:pt x="0" y="0"/>
              </a:lnTo>
              <a:lnTo>
                <a:pt x="90004" y="72001"/>
              </a:lnTo>
              <a:lnTo>
                <a:pt x="269999" y="630001"/>
              </a:lnTo>
              <a:lnTo>
                <a:pt x="234001" y="774000"/>
              </a:lnTo>
              <a:lnTo>
                <a:pt x="144003" y="666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419398</xdr:colOff>
      <xdr:row>123</xdr:row>
      <xdr:rowOff>93749</xdr:rowOff>
    </xdr:from>
    <xdr:to>
      <xdr:col>83</xdr:col>
      <xdr:colOff>653400</xdr:colOff>
      <xdr:row>128</xdr:row>
      <xdr:rowOff>118501</xdr:rowOff>
    </xdr:to>
    <xdr:sp macro="" textlink="">
      <xdr:nvSpPr>
        <xdr:cNvPr id="248704" name="フリーフォーム: 図形 248703">
          <a:extLst>
            <a:ext uri="{FF2B5EF4-FFF2-40B4-BE49-F238E27FC236}">
              <a16:creationId xmlns:a16="http://schemas.microsoft.com/office/drawing/2014/main" id="{081260A1-6A73-44DB-9CFD-94586ECA9C7C}"/>
            </a:ext>
          </a:extLst>
        </xdr:cNvPr>
        <xdr:cNvSpPr>
          <a:spLocks noChangeAspect="1"/>
        </xdr:cNvSpPr>
      </xdr:nvSpPr>
      <xdr:spPr>
        <a:xfrm>
          <a:off x="57340798" y="21448799"/>
          <a:ext cx="234002" cy="882002"/>
        </a:xfrm>
        <a:custGeom>
          <a:avLst/>
          <a:gdLst/>
          <a:ahLst/>
          <a:cxnLst/>
          <a:rect l="0" t="0" r="0" b="0"/>
          <a:pathLst>
            <a:path w="234002" h="882002">
              <a:moveTo>
                <a:pt x="107999" y="216001"/>
              </a:moveTo>
              <a:lnTo>
                <a:pt x="216005" y="0"/>
              </a:lnTo>
              <a:lnTo>
                <a:pt x="234001" y="216001"/>
              </a:lnTo>
              <a:lnTo>
                <a:pt x="144003" y="810000"/>
              </a:lnTo>
              <a:lnTo>
                <a:pt x="53999" y="882001"/>
              </a:lnTo>
              <a:lnTo>
                <a:pt x="0" y="810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absolute">
    <xdr:from>
      <xdr:col>83</xdr:col>
      <xdr:colOff>95399</xdr:colOff>
      <xdr:row>123</xdr:row>
      <xdr:rowOff>75750</xdr:rowOff>
    </xdr:from>
    <xdr:to>
      <xdr:col>83</xdr:col>
      <xdr:colOff>617402</xdr:colOff>
      <xdr:row>128</xdr:row>
      <xdr:rowOff>10501</xdr:rowOff>
    </xdr:to>
    <xdr:sp macro="" textlink="">
      <xdr:nvSpPr>
        <xdr:cNvPr id="248705" name="フリーフォーム: 図形 248704">
          <a:extLst>
            <a:ext uri="{FF2B5EF4-FFF2-40B4-BE49-F238E27FC236}">
              <a16:creationId xmlns:a16="http://schemas.microsoft.com/office/drawing/2014/main" id="{E8105AC4-2F20-4CF4-A4DE-74647F1D1717}"/>
            </a:ext>
          </a:extLst>
        </xdr:cNvPr>
        <xdr:cNvSpPr>
          <a:spLocks noChangeAspect="1"/>
        </xdr:cNvSpPr>
      </xdr:nvSpPr>
      <xdr:spPr>
        <a:xfrm>
          <a:off x="57016799" y="21430800"/>
          <a:ext cx="522003" cy="792001"/>
        </a:xfrm>
        <a:custGeom>
          <a:avLst/>
          <a:gdLst/>
          <a:ahLst/>
          <a:cxnLst/>
          <a:rect l="0" t="0" r="0" b="0"/>
          <a:pathLst>
            <a:path w="522003" h="792001">
              <a:moveTo>
                <a:pt x="396000" y="72001"/>
              </a:moveTo>
              <a:lnTo>
                <a:pt x="522002" y="0"/>
              </a:lnTo>
              <a:lnTo>
                <a:pt x="323999" y="378001"/>
              </a:lnTo>
              <a:lnTo>
                <a:pt x="161999" y="666000"/>
              </a:lnTo>
              <a:lnTo>
                <a:pt x="0" y="792000"/>
              </a:lnTo>
              <a:lnTo>
                <a:pt x="36004" y="594000"/>
              </a:lnTo>
              <a:close/>
            </a:path>
          </a:pathLst>
        </a:custGeom>
        <a:solidFill>
          <a:srgbClr val="FF0000"/>
        </a:solidFill>
        <a:ln w="95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333375</xdr:colOff>
      <xdr:row>2</xdr:row>
      <xdr:rowOff>0</xdr:rowOff>
    </xdr:from>
    <xdr:to>
      <xdr:col>8</xdr:col>
      <xdr:colOff>209550</xdr:colOff>
      <xdr:row>24</xdr:row>
      <xdr:rowOff>85726</xdr:rowOff>
    </xdr:to>
    <xdr:sp macro="" textlink="">
      <xdr:nvSpPr>
        <xdr:cNvPr id="2" name="テキスト ボックス 1">
          <a:extLst>
            <a:ext uri="{FF2B5EF4-FFF2-40B4-BE49-F238E27FC236}">
              <a16:creationId xmlns:a16="http://schemas.microsoft.com/office/drawing/2014/main" id="{F50FFFBB-8E78-44D5-90E1-14E7E69F4EA4}"/>
            </a:ext>
          </a:extLst>
        </xdr:cNvPr>
        <xdr:cNvSpPr txBox="1"/>
      </xdr:nvSpPr>
      <xdr:spPr>
        <a:xfrm>
          <a:off x="333375" y="342900"/>
          <a:ext cx="5362575" cy="3857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The MIT License</a:t>
          </a:r>
        </a:p>
        <a:p>
          <a:r>
            <a:rPr kumimoji="1" lang="en-US" altLang="ja-JP" sz="1100"/>
            <a:t>SPDX short identifier: MIT</a:t>
          </a:r>
        </a:p>
        <a:p>
          <a:endParaRPr kumimoji="1" lang="en-US" altLang="ja-JP" sz="1100"/>
        </a:p>
        <a:p>
          <a:r>
            <a:rPr kumimoji="1" lang="en-US" altLang="ja-JP" sz="1100"/>
            <a:t>Copyright 2019 BotanicFields, Inc.</a:t>
          </a:r>
        </a:p>
        <a:p>
          <a:endParaRPr kumimoji="1" lang="en-US" altLang="ja-JP" sz="1100"/>
        </a:p>
        <a:p>
          <a:r>
            <a:rPr kumimoji="1" lang="en-US" altLang="ja-JP" sz="1100"/>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endParaRPr kumimoji="1" lang="en-US" altLang="ja-JP" sz="1100"/>
        </a:p>
        <a:p>
          <a:r>
            <a:rPr kumimoji="1" lang="en-US" altLang="ja-JP" sz="1100"/>
            <a:t>The above copyright notice and this permission notice shall be included in all copies or substantial portions of the Software.</a:t>
          </a:r>
        </a:p>
        <a:p>
          <a:endParaRPr kumimoji="1" lang="en-US" altLang="ja-JP" sz="1100"/>
        </a:p>
        <a:p>
          <a:r>
            <a:rPr kumimoji="1" lang="en-US" altLang="ja-JP" sz="1100"/>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85296"/>
      </a:hlink>
      <a:folHlink>
        <a:srgbClr val="993366"/>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9E360C-D4EC-4C8F-AEAC-5B3ABE3401F3}">
  <sheetPr codeName="Sheet2"/>
  <dimension ref="A15:AQ277"/>
  <sheetViews>
    <sheetView showGridLines="0" tabSelected="1" zoomScaleNormal="100" workbookViewId="0">
      <pane ySplit="21" topLeftCell="A92" activePane="bottomLeft" state="frozen"/>
      <selection pane="bottomLeft" activeCell="E17" sqref="E17"/>
    </sheetView>
  </sheetViews>
  <sheetFormatPr defaultRowHeight="13.5" x14ac:dyDescent="0.15"/>
  <cols>
    <col min="1" max="1" width="1.25" customWidth="1"/>
    <col min="2" max="4" width="8.75" customWidth="1"/>
    <col min="5" max="20" width="3.75" customWidth="1"/>
    <col min="21" max="25" width="8.75" customWidth="1"/>
    <col min="26" max="41" width="3.75" customWidth="1"/>
    <col min="43" max="43" width="28.25" customWidth="1"/>
  </cols>
  <sheetData>
    <row r="15" spans="1:41" ht="18" x14ac:dyDescent="0.15">
      <c r="T15" s="4"/>
    </row>
    <row r="16" spans="1:41" ht="18" x14ac:dyDescent="0.3">
      <c r="A16" s="6"/>
      <c r="B16" s="7"/>
      <c r="C16" s="4"/>
      <c r="D16" s="5" t="s">
        <v>67</v>
      </c>
      <c r="E16" s="8">
        <v>40</v>
      </c>
      <c r="F16" s="9" t="str">
        <f>DEC2HEX(F17,2)</f>
        <v>41</v>
      </c>
      <c r="G16" s="9" t="str">
        <f t="shared" ref="G16:L16" si="0">DEC2HEX(G17,2)</f>
        <v>42</v>
      </c>
      <c r="H16" s="9" t="str">
        <f t="shared" si="0"/>
        <v>43</v>
      </c>
      <c r="I16" s="9" t="str">
        <f t="shared" si="0"/>
        <v>44</v>
      </c>
      <c r="J16" s="9" t="str">
        <f t="shared" si="0"/>
        <v>45</v>
      </c>
      <c r="K16" s="9" t="str">
        <f t="shared" si="0"/>
        <v>46</v>
      </c>
      <c r="L16" s="9" t="str">
        <f t="shared" si="0"/>
        <v>47</v>
      </c>
      <c r="M16" s="7"/>
      <c r="N16" s="7"/>
      <c r="O16" s="7"/>
      <c r="P16" s="7"/>
      <c r="Q16" s="7"/>
      <c r="R16" s="7"/>
      <c r="S16" s="26" t="s">
        <v>165</v>
      </c>
      <c r="T16" s="4"/>
      <c r="U16" s="7"/>
      <c r="V16" s="7"/>
      <c r="W16" s="7"/>
      <c r="X16" s="7"/>
      <c r="Y16" s="7"/>
      <c r="Z16" s="7"/>
      <c r="AA16" s="7"/>
      <c r="AB16" s="7"/>
      <c r="AC16" s="7"/>
      <c r="AD16" s="7"/>
      <c r="AE16" s="7"/>
      <c r="AF16" s="7"/>
      <c r="AG16" s="7"/>
      <c r="AH16" s="7"/>
      <c r="AI16" s="7"/>
      <c r="AJ16" s="7"/>
      <c r="AK16" s="7"/>
      <c r="AL16" s="7"/>
      <c r="AM16" s="7"/>
      <c r="AN16" s="7"/>
      <c r="AO16" s="11" t="s">
        <v>65</v>
      </c>
    </row>
    <row r="17" spans="1:43" ht="18" x14ac:dyDescent="0.15">
      <c r="A17" s="6"/>
      <c r="B17" s="7"/>
      <c r="C17" s="7"/>
      <c r="D17" s="4" t="s">
        <v>68</v>
      </c>
      <c r="E17" s="12">
        <f t="shared" ref="E17" si="1">HEX2DEC(E16)</f>
        <v>64</v>
      </c>
      <c r="F17" s="12">
        <f>E17+1</f>
        <v>65</v>
      </c>
      <c r="G17" s="12">
        <f t="shared" ref="G17:L17" si="2">F17+1</f>
        <v>66</v>
      </c>
      <c r="H17" s="12">
        <f t="shared" si="2"/>
        <v>67</v>
      </c>
      <c r="I17" s="12">
        <f t="shared" si="2"/>
        <v>68</v>
      </c>
      <c r="J17" s="12">
        <f t="shared" si="2"/>
        <v>69</v>
      </c>
      <c r="K17" s="12">
        <f t="shared" si="2"/>
        <v>70</v>
      </c>
      <c r="L17" s="12">
        <f t="shared" si="2"/>
        <v>71</v>
      </c>
      <c r="M17" s="7"/>
      <c r="N17" s="7"/>
      <c r="O17" s="7"/>
      <c r="P17" s="7"/>
      <c r="Q17" s="7"/>
      <c r="R17" s="7"/>
      <c r="S17" s="4" t="s">
        <v>66</v>
      </c>
      <c r="T17" s="10" t="s">
        <v>185</v>
      </c>
      <c r="U17" s="7"/>
      <c r="V17" s="7"/>
      <c r="W17" s="7"/>
      <c r="X17" s="7"/>
      <c r="Y17" s="7"/>
      <c r="Z17" s="7"/>
      <c r="AA17" s="7"/>
      <c r="AB17" s="7"/>
      <c r="AC17" s="7"/>
      <c r="AD17" s="7"/>
      <c r="AE17" s="7"/>
      <c r="AF17" s="7"/>
      <c r="AG17" s="7"/>
      <c r="AH17" s="7"/>
      <c r="AI17" s="7"/>
      <c r="AJ17" s="7"/>
      <c r="AK17" s="7"/>
      <c r="AL17" s="7"/>
      <c r="AM17" s="7"/>
      <c r="AN17" s="7"/>
      <c r="AO17" s="4" t="s">
        <v>180</v>
      </c>
    </row>
    <row r="18" spans="1:43" ht="18" x14ac:dyDescent="0.15">
      <c r="A18" s="6"/>
      <c r="B18" s="13" t="s">
        <v>64</v>
      </c>
      <c r="C18" s="7"/>
      <c r="D18" s="7"/>
      <c r="E18" s="14"/>
      <c r="F18" s="14"/>
      <c r="G18" s="14"/>
      <c r="H18" s="14"/>
      <c r="I18" s="14"/>
      <c r="J18" s="14"/>
      <c r="K18" s="14"/>
      <c r="L18" s="14"/>
      <c r="M18" s="14"/>
      <c r="N18" s="14"/>
      <c r="O18" s="14"/>
      <c r="P18" s="14"/>
      <c r="Q18" s="14"/>
      <c r="R18" s="14"/>
      <c r="S18" s="14"/>
      <c r="T18" s="14"/>
      <c r="U18" s="15"/>
      <c r="V18" s="7"/>
      <c r="W18" s="7"/>
      <c r="X18" s="7"/>
      <c r="Y18" s="7"/>
      <c r="Z18" s="14"/>
      <c r="AA18" s="14"/>
      <c r="AB18" s="14"/>
      <c r="AC18" s="14"/>
      <c r="AD18" s="14"/>
      <c r="AE18" s="14"/>
      <c r="AF18" s="14"/>
      <c r="AG18" s="14"/>
      <c r="AH18" s="14"/>
      <c r="AI18" s="14"/>
      <c r="AJ18" s="14"/>
      <c r="AK18" s="14"/>
      <c r="AL18" s="14"/>
      <c r="AM18" s="14"/>
      <c r="AN18" s="14"/>
      <c r="AO18" s="14"/>
    </row>
    <row r="19" spans="1:43" ht="18" x14ac:dyDescent="0.15">
      <c r="A19" s="6"/>
      <c r="B19" s="7"/>
      <c r="C19" s="7"/>
      <c r="D19" s="4" t="s">
        <v>53</v>
      </c>
      <c r="E19" s="16">
        <f>2^E20</f>
        <v>4</v>
      </c>
      <c r="F19" s="16">
        <f t="shared" ref="F19:T19" si="3">2^F20</f>
        <v>32</v>
      </c>
      <c r="G19" s="16">
        <f t="shared" si="3"/>
        <v>64</v>
      </c>
      <c r="H19" s="16">
        <f t="shared" si="3"/>
        <v>32768</v>
      </c>
      <c r="I19" s="16">
        <f t="shared" si="3"/>
        <v>1024</v>
      </c>
      <c r="J19" s="16">
        <f t="shared" si="3"/>
        <v>8192</v>
      </c>
      <c r="K19" s="16">
        <f t="shared" si="3"/>
        <v>512</v>
      </c>
      <c r="L19" s="16">
        <f t="shared" si="3"/>
        <v>1</v>
      </c>
      <c r="M19" s="16">
        <f t="shared" si="3"/>
        <v>256</v>
      </c>
      <c r="N19" s="16">
        <f t="shared" si="3"/>
        <v>128</v>
      </c>
      <c r="O19" s="16">
        <f t="shared" si="3"/>
        <v>2</v>
      </c>
      <c r="P19" s="16">
        <f t="shared" si="3"/>
        <v>8</v>
      </c>
      <c r="Q19" s="16">
        <f t="shared" si="3"/>
        <v>16</v>
      </c>
      <c r="R19" s="16">
        <f t="shared" si="3"/>
        <v>16384</v>
      </c>
      <c r="S19" s="16">
        <f t="shared" si="3"/>
        <v>4096</v>
      </c>
      <c r="T19" s="16">
        <f t="shared" si="3"/>
        <v>2048</v>
      </c>
      <c r="U19" s="17"/>
      <c r="V19" s="7"/>
      <c r="W19" s="7"/>
      <c r="X19" s="7"/>
      <c r="Y19" s="4" t="s">
        <v>54</v>
      </c>
      <c r="Z19" s="16">
        <f>2^Z20</f>
        <v>4</v>
      </c>
      <c r="AA19" s="16">
        <f t="shared" ref="AA19" si="4">2^AA20</f>
        <v>32</v>
      </c>
      <c r="AB19" s="16">
        <f t="shared" ref="AB19" si="5">2^AB20</f>
        <v>64</v>
      </c>
      <c r="AC19" s="16">
        <f t="shared" ref="AC19" si="6">2^AC20</f>
        <v>32768</v>
      </c>
      <c r="AD19" s="16">
        <f t="shared" ref="AD19" si="7">2^AD20</f>
        <v>1024</v>
      </c>
      <c r="AE19" s="16">
        <f t="shared" ref="AE19" si="8">2^AE20</f>
        <v>8192</v>
      </c>
      <c r="AF19" s="16">
        <f t="shared" ref="AF19" si="9">2^AF20</f>
        <v>512</v>
      </c>
      <c r="AG19" s="16">
        <f t="shared" ref="AG19" si="10">2^AG20</f>
        <v>1</v>
      </c>
      <c r="AH19" s="16">
        <f t="shared" ref="AH19" si="11">2^AH20</f>
        <v>256</v>
      </c>
      <c r="AI19" s="16">
        <f t="shared" ref="AI19" si="12">2^AI20</f>
        <v>128</v>
      </c>
      <c r="AJ19" s="16">
        <f t="shared" ref="AJ19" si="13">2^AJ20</f>
        <v>2</v>
      </c>
      <c r="AK19" s="16">
        <f t="shared" ref="AK19" si="14">2^AK20</f>
        <v>8</v>
      </c>
      <c r="AL19" s="16">
        <f t="shared" ref="AL19" si="15">2^AL20</f>
        <v>16</v>
      </c>
      <c r="AM19" s="16">
        <f t="shared" ref="AM19" si="16">2^AM20</f>
        <v>16384</v>
      </c>
      <c r="AN19" s="16">
        <f t="shared" ref="AN19" si="17">2^AN20</f>
        <v>4096</v>
      </c>
      <c r="AO19" s="16">
        <f t="shared" ref="AO19" si="18">2^AO20</f>
        <v>2048</v>
      </c>
    </row>
    <row r="20" spans="1:43" ht="18" x14ac:dyDescent="0.3">
      <c r="A20" s="6"/>
      <c r="B20" s="7"/>
      <c r="C20" s="4" t="s">
        <v>179</v>
      </c>
      <c r="D20" s="31">
        <v>0</v>
      </c>
      <c r="E20" s="16">
        <f>VLOOKUP($D20,segment!$A$7:$R$10,3,FALSE)</f>
        <v>2</v>
      </c>
      <c r="F20" s="16">
        <f>VLOOKUP($D20,segment!$A$7:$R$10,4,FALSE)</f>
        <v>5</v>
      </c>
      <c r="G20" s="16">
        <f>VLOOKUP($D20,segment!$A$7:$R$10,5,FALSE)</f>
        <v>6</v>
      </c>
      <c r="H20" s="16">
        <f>VLOOKUP($D20,segment!$A$7:$R$10,6,FALSE)</f>
        <v>15</v>
      </c>
      <c r="I20" s="16">
        <f>VLOOKUP($D20,segment!$A$7:$R$10,7,FALSE)</f>
        <v>10</v>
      </c>
      <c r="J20" s="16">
        <f>VLOOKUP($D20,segment!$A$7:$R$10,8,FALSE)</f>
        <v>13</v>
      </c>
      <c r="K20" s="16">
        <f>VLOOKUP($D20,segment!$A$7:$R$10,9,FALSE)</f>
        <v>9</v>
      </c>
      <c r="L20" s="16">
        <f>VLOOKUP($D20,segment!$A$7:$R$10,10,FALSE)</f>
        <v>0</v>
      </c>
      <c r="M20" s="16">
        <f>VLOOKUP($D20,segment!$A$7:$R$10,11,FALSE)</f>
        <v>8</v>
      </c>
      <c r="N20" s="16">
        <f>VLOOKUP($D20,segment!$A$7:$R$10,12,FALSE)</f>
        <v>7</v>
      </c>
      <c r="O20" s="16">
        <f>VLOOKUP($D20,segment!$A$7:$R$10,13,FALSE)</f>
        <v>1</v>
      </c>
      <c r="P20" s="16">
        <f>VLOOKUP($D20,segment!$A$7:$R$10,14,FALSE)</f>
        <v>3</v>
      </c>
      <c r="Q20" s="16">
        <f>VLOOKUP($D20,segment!$A$7:$R$10,15,FALSE)</f>
        <v>4</v>
      </c>
      <c r="R20" s="16">
        <f>VLOOKUP($D20,segment!$A$7:$R$10,16,FALSE)</f>
        <v>14</v>
      </c>
      <c r="S20" s="16">
        <f>VLOOKUP($D20,segment!$A$7:$R$10,17,FALSE)</f>
        <v>12</v>
      </c>
      <c r="T20" s="16">
        <f>VLOOKUP($D20,segment!$A$7:$R$10,18,FALSE)</f>
        <v>11</v>
      </c>
      <c r="U20" s="16" t="str">
        <f>VLOOKUP($D20,segment!$A$7:$R$10,2,FALSE)</f>
        <v>TLC5940</v>
      </c>
      <c r="V20" s="7"/>
      <c r="W20" s="7"/>
      <c r="X20" s="7"/>
      <c r="Y20" s="4"/>
      <c r="Z20" s="16">
        <f>E20</f>
        <v>2</v>
      </c>
      <c r="AA20" s="16">
        <f t="shared" ref="AA20:AO20" si="19">F20</f>
        <v>5</v>
      </c>
      <c r="AB20" s="16">
        <f t="shared" si="19"/>
        <v>6</v>
      </c>
      <c r="AC20" s="16">
        <f t="shared" si="19"/>
        <v>15</v>
      </c>
      <c r="AD20" s="16">
        <f t="shared" si="19"/>
        <v>10</v>
      </c>
      <c r="AE20" s="16">
        <f t="shared" si="19"/>
        <v>13</v>
      </c>
      <c r="AF20" s="16">
        <f t="shared" si="19"/>
        <v>9</v>
      </c>
      <c r="AG20" s="16">
        <f t="shared" si="19"/>
        <v>0</v>
      </c>
      <c r="AH20" s="16">
        <f t="shared" si="19"/>
        <v>8</v>
      </c>
      <c r="AI20" s="16">
        <f t="shared" si="19"/>
        <v>7</v>
      </c>
      <c r="AJ20" s="16">
        <f t="shared" si="19"/>
        <v>1</v>
      </c>
      <c r="AK20" s="16">
        <f t="shared" si="19"/>
        <v>3</v>
      </c>
      <c r="AL20" s="16">
        <f t="shared" si="19"/>
        <v>4</v>
      </c>
      <c r="AM20" s="16">
        <f t="shared" si="19"/>
        <v>14</v>
      </c>
      <c r="AN20" s="16">
        <f t="shared" si="19"/>
        <v>12</v>
      </c>
      <c r="AO20" s="16">
        <f t="shared" si="19"/>
        <v>11</v>
      </c>
      <c r="AQ20" s="29" t="s">
        <v>167</v>
      </c>
    </row>
    <row r="21" spans="1:43" ht="18" x14ac:dyDescent="0.15">
      <c r="A21" s="6"/>
      <c r="B21" s="18" t="s">
        <v>48</v>
      </c>
      <c r="C21" s="18" t="s">
        <v>49</v>
      </c>
      <c r="D21" s="18" t="s">
        <v>50</v>
      </c>
      <c r="E21" s="18" t="s">
        <v>0</v>
      </c>
      <c r="F21" s="18" t="s">
        <v>1</v>
      </c>
      <c r="G21" s="18" t="s">
        <v>2</v>
      </c>
      <c r="H21" s="18" t="s">
        <v>3</v>
      </c>
      <c r="I21" s="18" t="s">
        <v>4</v>
      </c>
      <c r="J21" s="18" t="s">
        <v>5</v>
      </c>
      <c r="K21" s="18" t="s">
        <v>6</v>
      </c>
      <c r="L21" s="18" t="s">
        <v>7</v>
      </c>
      <c r="M21" s="18" t="s">
        <v>8</v>
      </c>
      <c r="N21" s="18" t="s">
        <v>9</v>
      </c>
      <c r="O21" s="18" t="s">
        <v>10</v>
      </c>
      <c r="P21" s="18" t="s">
        <v>11</v>
      </c>
      <c r="Q21" s="18" t="s">
        <v>12</v>
      </c>
      <c r="R21" s="18" t="s">
        <v>13</v>
      </c>
      <c r="S21" s="18" t="s">
        <v>14</v>
      </c>
      <c r="T21" s="18" t="s">
        <v>15</v>
      </c>
      <c r="U21" s="18" t="s">
        <v>51</v>
      </c>
      <c r="V21" s="18" t="s">
        <v>55</v>
      </c>
      <c r="W21" s="7"/>
      <c r="X21" s="18" t="s">
        <v>52</v>
      </c>
      <c r="Y21" s="18" t="s">
        <v>56</v>
      </c>
      <c r="Z21" s="18" t="s">
        <v>0</v>
      </c>
      <c r="AA21" s="18" t="s">
        <v>1</v>
      </c>
      <c r="AB21" s="18" t="s">
        <v>2</v>
      </c>
      <c r="AC21" s="18" t="s">
        <v>3</v>
      </c>
      <c r="AD21" s="18" t="s">
        <v>4</v>
      </c>
      <c r="AE21" s="18" t="s">
        <v>5</v>
      </c>
      <c r="AF21" s="18" t="s">
        <v>6</v>
      </c>
      <c r="AG21" s="18" t="s">
        <v>7</v>
      </c>
      <c r="AH21" s="18" t="s">
        <v>8</v>
      </c>
      <c r="AI21" s="18" t="s">
        <v>9</v>
      </c>
      <c r="AJ21" s="18" t="s">
        <v>10</v>
      </c>
      <c r="AK21" s="18" t="s">
        <v>11</v>
      </c>
      <c r="AL21" s="18" t="s">
        <v>12</v>
      </c>
      <c r="AM21" s="18" t="s">
        <v>13</v>
      </c>
      <c r="AN21" s="18" t="s">
        <v>14</v>
      </c>
      <c r="AO21" s="18" t="s">
        <v>15</v>
      </c>
    </row>
    <row r="22" spans="1:43" ht="18.75" x14ac:dyDescent="0.3">
      <c r="A22" s="6"/>
      <c r="B22" s="16">
        <v>0</v>
      </c>
      <c r="C22" s="19" t="str">
        <f>DEC2HEX(B22,2)</f>
        <v>00</v>
      </c>
      <c r="D22" s="24" t="s">
        <v>69</v>
      </c>
      <c r="E22" s="21">
        <v>1</v>
      </c>
      <c r="F22" s="21">
        <v>1</v>
      </c>
      <c r="G22" s="21">
        <v>1</v>
      </c>
      <c r="H22" s="21">
        <v>1</v>
      </c>
      <c r="I22" s="21">
        <v>1</v>
      </c>
      <c r="J22" s="21">
        <v>1</v>
      </c>
      <c r="K22" s="21">
        <v>1</v>
      </c>
      <c r="L22" s="21">
        <v>1</v>
      </c>
      <c r="M22" s="21">
        <v>0</v>
      </c>
      <c r="N22" s="21">
        <v>0</v>
      </c>
      <c r="O22" s="21">
        <v>0</v>
      </c>
      <c r="P22" s="21">
        <v>1</v>
      </c>
      <c r="Q22" s="21">
        <v>0</v>
      </c>
      <c r="R22" s="21">
        <v>0</v>
      </c>
      <c r="S22" s="21">
        <v>0</v>
      </c>
      <c r="T22" s="21">
        <v>0</v>
      </c>
      <c r="U22" s="22">
        <f>SUMPRODUCT(E$19:T$19,E22:T22)</f>
        <v>42605</v>
      </c>
      <c r="V22" s="19" t="str">
        <f>DEC2HEX(U22,4)</f>
        <v>A66D</v>
      </c>
      <c r="W22" s="7"/>
      <c r="X22" s="23">
        <v>42605</v>
      </c>
      <c r="Y22" s="19" t="str">
        <f t="shared" ref="Y22:Y85" si="20">DEC2HEX(X22,4)</f>
        <v>A66D</v>
      </c>
      <c r="Z22" s="18">
        <f>IF(_xlfn.BITAND($X22,Z$19)=0,0,1)</f>
        <v>1</v>
      </c>
      <c r="AA22" s="18">
        <f t="shared" ref="AA22:AO37" si="21">IF(_xlfn.BITAND($X22,AA$19)=0,0,1)</f>
        <v>1</v>
      </c>
      <c r="AB22" s="18">
        <f t="shared" si="21"/>
        <v>1</v>
      </c>
      <c r="AC22" s="18">
        <f t="shared" si="21"/>
        <v>1</v>
      </c>
      <c r="AD22" s="18">
        <f t="shared" si="21"/>
        <v>1</v>
      </c>
      <c r="AE22" s="18">
        <f t="shared" si="21"/>
        <v>1</v>
      </c>
      <c r="AF22" s="18">
        <f t="shared" si="21"/>
        <v>1</v>
      </c>
      <c r="AG22" s="18">
        <f t="shared" si="21"/>
        <v>1</v>
      </c>
      <c r="AH22" s="18">
        <f t="shared" si="21"/>
        <v>0</v>
      </c>
      <c r="AI22" s="18">
        <f t="shared" si="21"/>
        <v>0</v>
      </c>
      <c r="AJ22" s="18">
        <f t="shared" si="21"/>
        <v>0</v>
      </c>
      <c r="AK22" s="18">
        <f t="shared" si="21"/>
        <v>1</v>
      </c>
      <c r="AL22" s="18">
        <f t="shared" si="21"/>
        <v>0</v>
      </c>
      <c r="AM22" s="18">
        <f t="shared" si="21"/>
        <v>0</v>
      </c>
      <c r="AN22" s="18">
        <f t="shared" si="21"/>
        <v>0</v>
      </c>
      <c r="AO22" s="18">
        <f t="shared" si="21"/>
        <v>0</v>
      </c>
      <c r="AQ22" s="28" t="str">
        <f>_xlfn.CONCAT("    0x", V22, ",  // ", D22)</f>
        <v xml:space="preserve">    0xA66D,  // clock</v>
      </c>
    </row>
    <row r="23" spans="1:43" ht="18.75" x14ac:dyDescent="0.3">
      <c r="A23" s="6"/>
      <c r="B23" s="16">
        <v>1</v>
      </c>
      <c r="C23" s="19" t="str">
        <f t="shared" ref="C23:C86" si="22">DEC2HEX(B23,2)</f>
        <v>01</v>
      </c>
      <c r="D23" s="24" t="s">
        <v>69</v>
      </c>
      <c r="E23" s="21">
        <v>1</v>
      </c>
      <c r="F23" s="21">
        <v>1</v>
      </c>
      <c r="G23" s="21">
        <v>1</v>
      </c>
      <c r="H23" s="21">
        <v>1</v>
      </c>
      <c r="I23" s="21">
        <v>1</v>
      </c>
      <c r="J23" s="21">
        <v>1</v>
      </c>
      <c r="K23" s="21">
        <v>1</v>
      </c>
      <c r="L23" s="21">
        <v>1</v>
      </c>
      <c r="M23" s="21">
        <v>0</v>
      </c>
      <c r="N23" s="21">
        <v>0</v>
      </c>
      <c r="O23" s="21">
        <v>0</v>
      </c>
      <c r="P23" s="21">
        <v>1</v>
      </c>
      <c r="Q23" s="21">
        <v>1</v>
      </c>
      <c r="R23" s="21">
        <v>0</v>
      </c>
      <c r="S23" s="21">
        <v>0</v>
      </c>
      <c r="T23" s="21">
        <v>0</v>
      </c>
      <c r="U23" s="22">
        <f t="shared" ref="U23:U86" si="23">SUMPRODUCT(E$19:T$19,E23:T23)</f>
        <v>42621</v>
      </c>
      <c r="V23" s="19" t="str">
        <f t="shared" ref="V23:V86" si="24">DEC2HEX(U23,4)</f>
        <v>A67D</v>
      </c>
      <c r="W23" s="7"/>
      <c r="X23" s="23">
        <v>42621</v>
      </c>
      <c r="Y23" s="19" t="str">
        <f t="shared" si="20"/>
        <v>A67D</v>
      </c>
      <c r="Z23" s="18">
        <f t="shared" ref="Z23:AO52" si="25">IF(_xlfn.BITAND($X23,Z$19)=0,0,1)</f>
        <v>1</v>
      </c>
      <c r="AA23" s="18">
        <f t="shared" si="21"/>
        <v>1</v>
      </c>
      <c r="AB23" s="18">
        <f t="shared" si="21"/>
        <v>1</v>
      </c>
      <c r="AC23" s="18">
        <f t="shared" si="21"/>
        <v>1</v>
      </c>
      <c r="AD23" s="18">
        <f t="shared" si="21"/>
        <v>1</v>
      </c>
      <c r="AE23" s="18">
        <f t="shared" si="21"/>
        <v>1</v>
      </c>
      <c r="AF23" s="18">
        <f t="shared" si="21"/>
        <v>1</v>
      </c>
      <c r="AG23" s="18">
        <f t="shared" si="21"/>
        <v>1</v>
      </c>
      <c r="AH23" s="18">
        <f t="shared" si="21"/>
        <v>0</v>
      </c>
      <c r="AI23" s="18">
        <f t="shared" si="21"/>
        <v>0</v>
      </c>
      <c r="AJ23" s="18">
        <f t="shared" si="21"/>
        <v>0</v>
      </c>
      <c r="AK23" s="18">
        <f t="shared" si="21"/>
        <v>1</v>
      </c>
      <c r="AL23" s="18">
        <f t="shared" si="21"/>
        <v>1</v>
      </c>
      <c r="AM23" s="18">
        <f t="shared" si="21"/>
        <v>0</v>
      </c>
      <c r="AN23" s="18">
        <f t="shared" si="21"/>
        <v>0</v>
      </c>
      <c r="AO23" s="18">
        <f t="shared" si="21"/>
        <v>0</v>
      </c>
      <c r="AQ23" s="28" t="str">
        <f t="shared" ref="AQ23:AQ86" si="26">_xlfn.CONCAT("    0x", V23, ",  // ", D23)</f>
        <v xml:space="preserve">    0xA67D,  // clock</v>
      </c>
    </row>
    <row r="24" spans="1:43" ht="18.75" x14ac:dyDescent="0.3">
      <c r="A24" s="6"/>
      <c r="B24" s="16">
        <v>2</v>
      </c>
      <c r="C24" s="19" t="str">
        <f t="shared" si="22"/>
        <v>02</v>
      </c>
      <c r="D24" s="24" t="s">
        <v>69</v>
      </c>
      <c r="E24" s="21">
        <v>1</v>
      </c>
      <c r="F24" s="21">
        <v>1</v>
      </c>
      <c r="G24" s="21">
        <v>1</v>
      </c>
      <c r="H24" s="21">
        <v>1</v>
      </c>
      <c r="I24" s="21">
        <v>1</v>
      </c>
      <c r="J24" s="21">
        <v>1</v>
      </c>
      <c r="K24" s="21">
        <v>1</v>
      </c>
      <c r="L24" s="21">
        <v>1</v>
      </c>
      <c r="M24" s="21">
        <v>0</v>
      </c>
      <c r="N24" s="21">
        <v>1</v>
      </c>
      <c r="O24" s="21">
        <v>0</v>
      </c>
      <c r="P24" s="21">
        <v>1</v>
      </c>
      <c r="Q24" s="21">
        <v>0</v>
      </c>
      <c r="R24" s="21">
        <v>0</v>
      </c>
      <c r="S24" s="21">
        <v>0</v>
      </c>
      <c r="T24" s="21">
        <v>0</v>
      </c>
      <c r="U24" s="22">
        <f t="shared" si="23"/>
        <v>42733</v>
      </c>
      <c r="V24" s="19" t="str">
        <f t="shared" si="24"/>
        <v>A6ED</v>
      </c>
      <c r="W24" s="7"/>
      <c r="X24" s="23">
        <v>42733</v>
      </c>
      <c r="Y24" s="19" t="str">
        <f t="shared" si="20"/>
        <v>A6ED</v>
      </c>
      <c r="Z24" s="18">
        <f t="shared" si="25"/>
        <v>1</v>
      </c>
      <c r="AA24" s="18">
        <f t="shared" si="21"/>
        <v>1</v>
      </c>
      <c r="AB24" s="18">
        <f t="shared" si="21"/>
        <v>1</v>
      </c>
      <c r="AC24" s="18">
        <f t="shared" si="21"/>
        <v>1</v>
      </c>
      <c r="AD24" s="18">
        <f t="shared" si="21"/>
        <v>1</v>
      </c>
      <c r="AE24" s="18">
        <f t="shared" si="21"/>
        <v>1</v>
      </c>
      <c r="AF24" s="18">
        <f t="shared" si="21"/>
        <v>1</v>
      </c>
      <c r="AG24" s="18">
        <f t="shared" si="21"/>
        <v>1</v>
      </c>
      <c r="AH24" s="18">
        <f t="shared" si="21"/>
        <v>0</v>
      </c>
      <c r="AI24" s="18">
        <f t="shared" si="21"/>
        <v>1</v>
      </c>
      <c r="AJ24" s="18">
        <f t="shared" si="21"/>
        <v>0</v>
      </c>
      <c r="AK24" s="18">
        <f t="shared" si="21"/>
        <v>1</v>
      </c>
      <c r="AL24" s="18">
        <f t="shared" si="21"/>
        <v>0</v>
      </c>
      <c r="AM24" s="18">
        <f t="shared" si="21"/>
        <v>0</v>
      </c>
      <c r="AN24" s="18">
        <f t="shared" si="21"/>
        <v>0</v>
      </c>
      <c r="AO24" s="18">
        <f t="shared" si="21"/>
        <v>0</v>
      </c>
      <c r="AQ24" s="28" t="str">
        <f t="shared" si="26"/>
        <v xml:space="preserve">    0xA6ED,  // clock</v>
      </c>
    </row>
    <row r="25" spans="1:43" ht="18.75" x14ac:dyDescent="0.3">
      <c r="A25" s="6"/>
      <c r="B25" s="16">
        <v>3</v>
      </c>
      <c r="C25" s="19" t="str">
        <f t="shared" si="22"/>
        <v>03</v>
      </c>
      <c r="D25" s="24" t="s">
        <v>69</v>
      </c>
      <c r="E25" s="21">
        <v>1</v>
      </c>
      <c r="F25" s="21">
        <v>1</v>
      </c>
      <c r="G25" s="21">
        <v>1</v>
      </c>
      <c r="H25" s="21">
        <v>1</v>
      </c>
      <c r="I25" s="21">
        <v>1</v>
      </c>
      <c r="J25" s="21">
        <v>1</v>
      </c>
      <c r="K25" s="21">
        <v>1</v>
      </c>
      <c r="L25" s="21">
        <v>1</v>
      </c>
      <c r="M25" s="21">
        <v>0</v>
      </c>
      <c r="N25" s="21">
        <v>0</v>
      </c>
      <c r="O25" s="21">
        <v>0</v>
      </c>
      <c r="P25" s="21">
        <v>1</v>
      </c>
      <c r="Q25" s="21">
        <v>0</v>
      </c>
      <c r="R25" s="21">
        <v>1</v>
      </c>
      <c r="S25" s="21">
        <v>0</v>
      </c>
      <c r="T25" s="21">
        <v>0</v>
      </c>
      <c r="U25" s="22">
        <f t="shared" si="23"/>
        <v>58989</v>
      </c>
      <c r="V25" s="19" t="str">
        <f t="shared" si="24"/>
        <v>E66D</v>
      </c>
      <c r="W25" s="7"/>
      <c r="X25" s="23">
        <v>58989</v>
      </c>
      <c r="Y25" s="19" t="str">
        <f t="shared" si="20"/>
        <v>E66D</v>
      </c>
      <c r="Z25" s="18">
        <f t="shared" si="25"/>
        <v>1</v>
      </c>
      <c r="AA25" s="18">
        <f t="shared" si="21"/>
        <v>1</v>
      </c>
      <c r="AB25" s="18">
        <f t="shared" si="21"/>
        <v>1</v>
      </c>
      <c r="AC25" s="18">
        <f t="shared" si="21"/>
        <v>1</v>
      </c>
      <c r="AD25" s="18">
        <f t="shared" si="21"/>
        <v>1</v>
      </c>
      <c r="AE25" s="18">
        <f t="shared" si="21"/>
        <v>1</v>
      </c>
      <c r="AF25" s="18">
        <f t="shared" si="21"/>
        <v>1</v>
      </c>
      <c r="AG25" s="18">
        <f t="shared" si="21"/>
        <v>1</v>
      </c>
      <c r="AH25" s="18">
        <f t="shared" si="21"/>
        <v>0</v>
      </c>
      <c r="AI25" s="18">
        <f t="shared" si="21"/>
        <v>0</v>
      </c>
      <c r="AJ25" s="18">
        <f t="shared" si="21"/>
        <v>0</v>
      </c>
      <c r="AK25" s="18">
        <f t="shared" si="21"/>
        <v>1</v>
      </c>
      <c r="AL25" s="18">
        <f t="shared" si="21"/>
        <v>0</v>
      </c>
      <c r="AM25" s="18">
        <f t="shared" si="21"/>
        <v>1</v>
      </c>
      <c r="AN25" s="18">
        <f t="shared" si="21"/>
        <v>0</v>
      </c>
      <c r="AO25" s="18">
        <f t="shared" si="21"/>
        <v>0</v>
      </c>
      <c r="AQ25" s="28" t="str">
        <f t="shared" si="26"/>
        <v xml:space="preserve">    0xE66D,  // clock</v>
      </c>
    </row>
    <row r="26" spans="1:43" ht="18.75" x14ac:dyDescent="0.3">
      <c r="A26" s="6"/>
      <c r="B26" s="16">
        <v>4</v>
      </c>
      <c r="C26" s="19" t="str">
        <f t="shared" si="22"/>
        <v>04</v>
      </c>
      <c r="D26" s="24" t="s">
        <v>69</v>
      </c>
      <c r="E26" s="21">
        <v>1</v>
      </c>
      <c r="F26" s="21">
        <v>1</v>
      </c>
      <c r="G26" s="21">
        <v>1</v>
      </c>
      <c r="H26" s="21">
        <v>1</v>
      </c>
      <c r="I26" s="21">
        <v>1</v>
      </c>
      <c r="J26" s="21">
        <v>1</v>
      </c>
      <c r="K26" s="21">
        <v>1</v>
      </c>
      <c r="L26" s="21">
        <v>1</v>
      </c>
      <c r="M26" s="21">
        <v>0</v>
      </c>
      <c r="N26" s="21">
        <v>0</v>
      </c>
      <c r="O26" s="21">
        <v>0</v>
      </c>
      <c r="P26" s="21">
        <v>1</v>
      </c>
      <c r="Q26" s="21">
        <v>0</v>
      </c>
      <c r="R26" s="21">
        <v>0</v>
      </c>
      <c r="S26" s="21">
        <v>1</v>
      </c>
      <c r="T26" s="21">
        <v>0</v>
      </c>
      <c r="U26" s="22">
        <f t="shared" si="23"/>
        <v>46701</v>
      </c>
      <c r="V26" s="19" t="str">
        <f t="shared" si="24"/>
        <v>B66D</v>
      </c>
      <c r="W26" s="7"/>
      <c r="X26" s="23">
        <v>46701</v>
      </c>
      <c r="Y26" s="19" t="str">
        <f t="shared" si="20"/>
        <v>B66D</v>
      </c>
      <c r="Z26" s="18">
        <f t="shared" si="25"/>
        <v>1</v>
      </c>
      <c r="AA26" s="18">
        <f t="shared" si="21"/>
        <v>1</v>
      </c>
      <c r="AB26" s="18">
        <f t="shared" si="21"/>
        <v>1</v>
      </c>
      <c r="AC26" s="18">
        <f t="shared" si="21"/>
        <v>1</v>
      </c>
      <c r="AD26" s="18">
        <f t="shared" si="21"/>
        <v>1</v>
      </c>
      <c r="AE26" s="18">
        <f t="shared" si="21"/>
        <v>1</v>
      </c>
      <c r="AF26" s="18">
        <f t="shared" si="21"/>
        <v>1</v>
      </c>
      <c r="AG26" s="18">
        <f t="shared" si="21"/>
        <v>1</v>
      </c>
      <c r="AH26" s="18">
        <f t="shared" si="21"/>
        <v>0</v>
      </c>
      <c r="AI26" s="18">
        <f t="shared" si="21"/>
        <v>0</v>
      </c>
      <c r="AJ26" s="18">
        <f t="shared" si="21"/>
        <v>0</v>
      </c>
      <c r="AK26" s="18">
        <f t="shared" si="21"/>
        <v>1</v>
      </c>
      <c r="AL26" s="18">
        <f t="shared" si="21"/>
        <v>0</v>
      </c>
      <c r="AM26" s="18">
        <f t="shared" si="21"/>
        <v>0</v>
      </c>
      <c r="AN26" s="18">
        <f t="shared" si="21"/>
        <v>1</v>
      </c>
      <c r="AO26" s="18">
        <f t="shared" si="21"/>
        <v>0</v>
      </c>
      <c r="AQ26" s="28" t="str">
        <f t="shared" si="26"/>
        <v xml:space="preserve">    0xB66D,  // clock</v>
      </c>
    </row>
    <row r="27" spans="1:43" ht="18.75" x14ac:dyDescent="0.3">
      <c r="A27" s="6"/>
      <c r="B27" s="16">
        <v>5</v>
      </c>
      <c r="C27" s="19" t="str">
        <f t="shared" si="22"/>
        <v>05</v>
      </c>
      <c r="D27" s="24" t="s">
        <v>69</v>
      </c>
      <c r="E27" s="21">
        <v>1</v>
      </c>
      <c r="F27" s="21">
        <v>1</v>
      </c>
      <c r="G27" s="21">
        <v>1</v>
      </c>
      <c r="H27" s="21">
        <v>1</v>
      </c>
      <c r="I27" s="21">
        <v>1</v>
      </c>
      <c r="J27" s="21">
        <v>1</v>
      </c>
      <c r="K27" s="21">
        <v>1</v>
      </c>
      <c r="L27" s="21">
        <v>1</v>
      </c>
      <c r="M27" s="21">
        <v>0</v>
      </c>
      <c r="N27" s="21">
        <v>0</v>
      </c>
      <c r="O27" s="21">
        <v>0</v>
      </c>
      <c r="P27" s="21">
        <v>1</v>
      </c>
      <c r="Q27" s="21">
        <v>0</v>
      </c>
      <c r="R27" s="21">
        <v>0</v>
      </c>
      <c r="S27" s="21">
        <v>0</v>
      </c>
      <c r="T27" s="21">
        <v>1</v>
      </c>
      <c r="U27" s="22">
        <f t="shared" si="23"/>
        <v>44653</v>
      </c>
      <c r="V27" s="19" t="str">
        <f t="shared" si="24"/>
        <v>AE6D</v>
      </c>
      <c r="W27" s="7"/>
      <c r="X27" s="23">
        <v>44653</v>
      </c>
      <c r="Y27" s="19" t="str">
        <f t="shared" si="20"/>
        <v>AE6D</v>
      </c>
      <c r="Z27" s="18">
        <f t="shared" si="25"/>
        <v>1</v>
      </c>
      <c r="AA27" s="18">
        <f t="shared" si="21"/>
        <v>1</v>
      </c>
      <c r="AB27" s="18">
        <f t="shared" si="21"/>
        <v>1</v>
      </c>
      <c r="AC27" s="18">
        <f t="shared" si="21"/>
        <v>1</v>
      </c>
      <c r="AD27" s="18">
        <f t="shared" si="21"/>
        <v>1</v>
      </c>
      <c r="AE27" s="18">
        <f t="shared" si="21"/>
        <v>1</v>
      </c>
      <c r="AF27" s="18">
        <f t="shared" si="21"/>
        <v>1</v>
      </c>
      <c r="AG27" s="18">
        <f t="shared" si="21"/>
        <v>1</v>
      </c>
      <c r="AH27" s="18">
        <f t="shared" si="21"/>
        <v>0</v>
      </c>
      <c r="AI27" s="18">
        <f t="shared" si="21"/>
        <v>0</v>
      </c>
      <c r="AJ27" s="18">
        <f t="shared" si="21"/>
        <v>0</v>
      </c>
      <c r="AK27" s="18">
        <f t="shared" si="21"/>
        <v>1</v>
      </c>
      <c r="AL27" s="18">
        <f t="shared" si="21"/>
        <v>0</v>
      </c>
      <c r="AM27" s="18">
        <f t="shared" si="21"/>
        <v>0</v>
      </c>
      <c r="AN27" s="18">
        <f t="shared" si="21"/>
        <v>0</v>
      </c>
      <c r="AO27" s="18">
        <f t="shared" si="21"/>
        <v>1</v>
      </c>
      <c r="AQ27" s="28" t="str">
        <f t="shared" si="26"/>
        <v xml:space="preserve">    0xAE6D,  // clock</v>
      </c>
    </row>
    <row r="28" spans="1:43" ht="18.75" x14ac:dyDescent="0.3">
      <c r="A28" s="6"/>
      <c r="B28" s="16">
        <v>6</v>
      </c>
      <c r="C28" s="19" t="str">
        <f t="shared" si="22"/>
        <v>06</v>
      </c>
      <c r="D28" s="24" t="s">
        <v>69</v>
      </c>
      <c r="E28" s="21">
        <v>1</v>
      </c>
      <c r="F28" s="21">
        <v>1</v>
      </c>
      <c r="G28" s="21">
        <v>1</v>
      </c>
      <c r="H28" s="21">
        <v>1</v>
      </c>
      <c r="I28" s="21">
        <v>1</v>
      </c>
      <c r="J28" s="21">
        <v>1</v>
      </c>
      <c r="K28" s="21">
        <v>1</v>
      </c>
      <c r="L28" s="21">
        <v>1</v>
      </c>
      <c r="M28" s="21">
        <v>1</v>
      </c>
      <c r="N28" s="21">
        <v>0</v>
      </c>
      <c r="O28" s="21">
        <v>0</v>
      </c>
      <c r="P28" s="21">
        <v>1</v>
      </c>
      <c r="Q28" s="21">
        <v>0</v>
      </c>
      <c r="R28" s="21">
        <v>0</v>
      </c>
      <c r="S28" s="21">
        <v>0</v>
      </c>
      <c r="T28" s="21">
        <v>0</v>
      </c>
      <c r="U28" s="22">
        <f t="shared" si="23"/>
        <v>42861</v>
      </c>
      <c r="V28" s="19" t="str">
        <f t="shared" si="24"/>
        <v>A76D</v>
      </c>
      <c r="W28" s="7"/>
      <c r="X28" s="23">
        <v>42861</v>
      </c>
      <c r="Y28" s="19" t="str">
        <f t="shared" si="20"/>
        <v>A76D</v>
      </c>
      <c r="Z28" s="18">
        <f t="shared" si="25"/>
        <v>1</v>
      </c>
      <c r="AA28" s="18">
        <f t="shared" si="21"/>
        <v>1</v>
      </c>
      <c r="AB28" s="18">
        <f t="shared" si="21"/>
        <v>1</v>
      </c>
      <c r="AC28" s="18">
        <f t="shared" si="21"/>
        <v>1</v>
      </c>
      <c r="AD28" s="18">
        <f t="shared" si="21"/>
        <v>1</v>
      </c>
      <c r="AE28" s="18">
        <f t="shared" si="21"/>
        <v>1</v>
      </c>
      <c r="AF28" s="18">
        <f t="shared" si="21"/>
        <v>1</v>
      </c>
      <c r="AG28" s="18">
        <f t="shared" si="21"/>
        <v>1</v>
      </c>
      <c r="AH28" s="18">
        <f t="shared" si="21"/>
        <v>1</v>
      </c>
      <c r="AI28" s="18">
        <f t="shared" si="21"/>
        <v>0</v>
      </c>
      <c r="AJ28" s="18">
        <f t="shared" si="21"/>
        <v>0</v>
      </c>
      <c r="AK28" s="18">
        <f t="shared" si="21"/>
        <v>1</v>
      </c>
      <c r="AL28" s="18">
        <f t="shared" si="21"/>
        <v>0</v>
      </c>
      <c r="AM28" s="18">
        <f t="shared" si="21"/>
        <v>0</v>
      </c>
      <c r="AN28" s="18">
        <f t="shared" si="21"/>
        <v>0</v>
      </c>
      <c r="AO28" s="18">
        <f t="shared" si="21"/>
        <v>0</v>
      </c>
      <c r="AQ28" s="28" t="str">
        <f t="shared" si="26"/>
        <v xml:space="preserve">    0xA76D,  // clock</v>
      </c>
    </row>
    <row r="29" spans="1:43" ht="18.75" x14ac:dyDescent="0.3">
      <c r="A29" s="6"/>
      <c r="B29" s="16">
        <v>7</v>
      </c>
      <c r="C29" s="19" t="str">
        <f t="shared" si="22"/>
        <v>07</v>
      </c>
      <c r="D29" s="24" t="s">
        <v>69</v>
      </c>
      <c r="E29" s="21">
        <v>1</v>
      </c>
      <c r="F29" s="21">
        <v>1</v>
      </c>
      <c r="G29" s="21">
        <v>1</v>
      </c>
      <c r="H29" s="21">
        <v>1</v>
      </c>
      <c r="I29" s="21">
        <v>1</v>
      </c>
      <c r="J29" s="21">
        <v>1</v>
      </c>
      <c r="K29" s="21">
        <v>1</v>
      </c>
      <c r="L29" s="21">
        <v>1</v>
      </c>
      <c r="M29" s="21">
        <v>0</v>
      </c>
      <c r="N29" s="21">
        <v>0</v>
      </c>
      <c r="O29" s="21">
        <v>1</v>
      </c>
      <c r="P29" s="21">
        <v>1</v>
      </c>
      <c r="Q29" s="21">
        <v>0</v>
      </c>
      <c r="R29" s="21">
        <v>0</v>
      </c>
      <c r="S29" s="21">
        <v>0</v>
      </c>
      <c r="T29" s="21">
        <v>0</v>
      </c>
      <c r="U29" s="22">
        <f t="shared" si="23"/>
        <v>42607</v>
      </c>
      <c r="V29" s="19" t="str">
        <f t="shared" si="24"/>
        <v>A66F</v>
      </c>
      <c r="W29" s="7"/>
      <c r="X29" s="23">
        <v>42607</v>
      </c>
      <c r="Y29" s="19" t="str">
        <f t="shared" si="20"/>
        <v>A66F</v>
      </c>
      <c r="Z29" s="18">
        <f t="shared" si="25"/>
        <v>1</v>
      </c>
      <c r="AA29" s="18">
        <f t="shared" si="21"/>
        <v>1</v>
      </c>
      <c r="AB29" s="18">
        <f t="shared" si="21"/>
        <v>1</v>
      </c>
      <c r="AC29" s="18">
        <f t="shared" si="21"/>
        <v>1</v>
      </c>
      <c r="AD29" s="18">
        <f t="shared" si="21"/>
        <v>1</v>
      </c>
      <c r="AE29" s="18">
        <f t="shared" si="21"/>
        <v>1</v>
      </c>
      <c r="AF29" s="18">
        <f t="shared" si="21"/>
        <v>1</v>
      </c>
      <c r="AG29" s="18">
        <f t="shared" si="21"/>
        <v>1</v>
      </c>
      <c r="AH29" s="18">
        <f t="shared" si="21"/>
        <v>0</v>
      </c>
      <c r="AI29" s="18">
        <f t="shared" si="21"/>
        <v>0</v>
      </c>
      <c r="AJ29" s="18">
        <f t="shared" si="21"/>
        <v>1</v>
      </c>
      <c r="AK29" s="18">
        <f t="shared" si="21"/>
        <v>1</v>
      </c>
      <c r="AL29" s="18">
        <f t="shared" si="21"/>
        <v>0</v>
      </c>
      <c r="AM29" s="18">
        <f t="shared" si="21"/>
        <v>0</v>
      </c>
      <c r="AN29" s="18">
        <f t="shared" si="21"/>
        <v>0</v>
      </c>
      <c r="AO29" s="18">
        <f t="shared" si="21"/>
        <v>0</v>
      </c>
      <c r="AQ29" s="28" t="str">
        <f t="shared" si="26"/>
        <v xml:space="preserve">    0xA66F,  // clock</v>
      </c>
    </row>
    <row r="30" spans="1:43" ht="18.75" x14ac:dyDescent="0.3">
      <c r="A30" s="6"/>
      <c r="B30" s="16">
        <v>8</v>
      </c>
      <c r="C30" s="19" t="str">
        <f t="shared" si="22"/>
        <v>08</v>
      </c>
      <c r="D30" s="24" t="s">
        <v>70</v>
      </c>
      <c r="E30" s="21">
        <v>0</v>
      </c>
      <c r="F30" s="21">
        <v>0</v>
      </c>
      <c r="G30" s="21">
        <v>0</v>
      </c>
      <c r="H30" s="21">
        <v>0</v>
      </c>
      <c r="I30" s="21">
        <v>0</v>
      </c>
      <c r="J30" s="21">
        <v>0</v>
      </c>
      <c r="K30" s="21">
        <v>0</v>
      </c>
      <c r="L30" s="21">
        <v>0</v>
      </c>
      <c r="M30" s="21">
        <v>0</v>
      </c>
      <c r="N30" s="21">
        <v>0</v>
      </c>
      <c r="O30" s="21">
        <v>0</v>
      </c>
      <c r="P30" s="21">
        <v>1</v>
      </c>
      <c r="Q30" s="21">
        <v>1</v>
      </c>
      <c r="R30" s="21">
        <v>0</v>
      </c>
      <c r="S30" s="21">
        <v>0</v>
      </c>
      <c r="T30" s="21">
        <v>0</v>
      </c>
      <c r="U30" s="22">
        <f t="shared" si="23"/>
        <v>24</v>
      </c>
      <c r="V30" s="19" t="str">
        <f t="shared" si="24"/>
        <v>0018</v>
      </c>
      <c r="W30" s="7"/>
      <c r="X30" s="23">
        <v>154</v>
      </c>
      <c r="Y30" s="19" t="str">
        <f t="shared" si="20"/>
        <v>009A</v>
      </c>
      <c r="Z30" s="18">
        <f t="shared" si="25"/>
        <v>0</v>
      </c>
      <c r="AA30" s="18">
        <f t="shared" si="21"/>
        <v>0</v>
      </c>
      <c r="AB30" s="18">
        <f t="shared" si="21"/>
        <v>0</v>
      </c>
      <c r="AC30" s="18">
        <f t="shared" si="21"/>
        <v>0</v>
      </c>
      <c r="AD30" s="18">
        <f t="shared" si="21"/>
        <v>0</v>
      </c>
      <c r="AE30" s="18">
        <f t="shared" si="21"/>
        <v>0</v>
      </c>
      <c r="AF30" s="18">
        <f t="shared" si="21"/>
        <v>0</v>
      </c>
      <c r="AG30" s="18">
        <f t="shared" si="21"/>
        <v>0</v>
      </c>
      <c r="AH30" s="18">
        <f t="shared" si="21"/>
        <v>0</v>
      </c>
      <c r="AI30" s="18">
        <f t="shared" si="21"/>
        <v>1</v>
      </c>
      <c r="AJ30" s="18">
        <f t="shared" si="21"/>
        <v>1</v>
      </c>
      <c r="AK30" s="18">
        <f t="shared" si="21"/>
        <v>1</v>
      </c>
      <c r="AL30" s="18">
        <f t="shared" si="21"/>
        <v>1</v>
      </c>
      <c r="AM30" s="18">
        <f t="shared" si="21"/>
        <v>0</v>
      </c>
      <c r="AN30" s="18">
        <f t="shared" si="21"/>
        <v>0</v>
      </c>
      <c r="AO30" s="18">
        <f t="shared" si="21"/>
        <v>0</v>
      </c>
      <c r="AQ30" s="28" t="str">
        <f t="shared" si="26"/>
        <v xml:space="preserve">    0x0018,  // spoke</v>
      </c>
    </row>
    <row r="31" spans="1:43" ht="18.75" x14ac:dyDescent="0.3">
      <c r="A31" s="6"/>
      <c r="B31" s="16">
        <v>9</v>
      </c>
      <c r="C31" s="19" t="str">
        <f t="shared" si="22"/>
        <v>09</v>
      </c>
      <c r="D31" s="24" t="s">
        <v>70</v>
      </c>
      <c r="E31" s="21">
        <v>0</v>
      </c>
      <c r="F31" s="21">
        <v>0</v>
      </c>
      <c r="G31" s="21">
        <v>0</v>
      </c>
      <c r="H31" s="21">
        <v>0</v>
      </c>
      <c r="I31" s="21">
        <v>0</v>
      </c>
      <c r="J31" s="21">
        <v>0</v>
      </c>
      <c r="K31" s="21">
        <v>0</v>
      </c>
      <c r="L31" s="21">
        <v>0</v>
      </c>
      <c r="M31" s="21">
        <v>0</v>
      </c>
      <c r="N31" s="21">
        <v>1</v>
      </c>
      <c r="O31" s="21">
        <v>0</v>
      </c>
      <c r="P31" s="21">
        <v>0</v>
      </c>
      <c r="Q31" s="21">
        <v>1</v>
      </c>
      <c r="R31" s="21">
        <v>0</v>
      </c>
      <c r="S31" s="21">
        <v>0</v>
      </c>
      <c r="T31" s="21">
        <v>0</v>
      </c>
      <c r="U31" s="22">
        <f t="shared" si="23"/>
        <v>144</v>
      </c>
      <c r="V31" s="19" t="str">
        <f t="shared" si="24"/>
        <v>0090</v>
      </c>
      <c r="W31" s="7"/>
      <c r="X31" s="23">
        <v>16536</v>
      </c>
      <c r="Y31" s="19" t="str">
        <f t="shared" si="20"/>
        <v>4098</v>
      </c>
      <c r="Z31" s="18">
        <f t="shared" si="25"/>
        <v>0</v>
      </c>
      <c r="AA31" s="18">
        <f t="shared" si="21"/>
        <v>0</v>
      </c>
      <c r="AB31" s="18">
        <f t="shared" si="21"/>
        <v>0</v>
      </c>
      <c r="AC31" s="18">
        <f t="shared" si="21"/>
        <v>0</v>
      </c>
      <c r="AD31" s="18">
        <f t="shared" si="21"/>
        <v>0</v>
      </c>
      <c r="AE31" s="18">
        <f t="shared" si="21"/>
        <v>0</v>
      </c>
      <c r="AF31" s="18">
        <f t="shared" si="21"/>
        <v>0</v>
      </c>
      <c r="AG31" s="18">
        <f t="shared" si="21"/>
        <v>0</v>
      </c>
      <c r="AH31" s="18">
        <f t="shared" si="21"/>
        <v>0</v>
      </c>
      <c r="AI31" s="18">
        <f t="shared" si="21"/>
        <v>1</v>
      </c>
      <c r="AJ31" s="18">
        <f t="shared" si="21"/>
        <v>0</v>
      </c>
      <c r="AK31" s="18">
        <f t="shared" si="21"/>
        <v>1</v>
      </c>
      <c r="AL31" s="18">
        <f t="shared" si="21"/>
        <v>1</v>
      </c>
      <c r="AM31" s="18">
        <f t="shared" si="21"/>
        <v>1</v>
      </c>
      <c r="AN31" s="18">
        <f t="shared" si="21"/>
        <v>0</v>
      </c>
      <c r="AO31" s="18">
        <f t="shared" si="21"/>
        <v>0</v>
      </c>
      <c r="AQ31" s="28" t="str">
        <f t="shared" si="26"/>
        <v xml:space="preserve">    0x0090,  // spoke</v>
      </c>
    </row>
    <row r="32" spans="1:43" ht="18.75" x14ac:dyDescent="0.3">
      <c r="A32" s="6"/>
      <c r="B32" s="16">
        <v>10</v>
      </c>
      <c r="C32" s="19" t="str">
        <f t="shared" si="22"/>
        <v>0A</v>
      </c>
      <c r="D32" s="24" t="s">
        <v>70</v>
      </c>
      <c r="E32" s="21">
        <v>0</v>
      </c>
      <c r="F32" s="21">
        <v>0</v>
      </c>
      <c r="G32" s="21">
        <v>0</v>
      </c>
      <c r="H32" s="21">
        <v>0</v>
      </c>
      <c r="I32" s="21">
        <v>0</v>
      </c>
      <c r="J32" s="21">
        <v>0</v>
      </c>
      <c r="K32" s="21">
        <v>0</v>
      </c>
      <c r="L32" s="21">
        <v>0</v>
      </c>
      <c r="M32" s="21">
        <v>0</v>
      </c>
      <c r="N32" s="21">
        <v>1</v>
      </c>
      <c r="O32" s="21">
        <v>0</v>
      </c>
      <c r="P32" s="21">
        <v>0</v>
      </c>
      <c r="Q32" s="21">
        <v>0</v>
      </c>
      <c r="R32" s="21">
        <v>1</v>
      </c>
      <c r="S32" s="21">
        <v>0</v>
      </c>
      <c r="T32" s="21">
        <v>0</v>
      </c>
      <c r="U32" s="22">
        <f t="shared" si="23"/>
        <v>16512</v>
      </c>
      <c r="V32" s="19" t="str">
        <f t="shared" si="24"/>
        <v>4080</v>
      </c>
      <c r="W32" s="7"/>
      <c r="X32" s="23">
        <v>20624</v>
      </c>
      <c r="Y32" s="19" t="str">
        <f t="shared" si="20"/>
        <v>5090</v>
      </c>
      <c r="Z32" s="18">
        <f t="shared" si="25"/>
        <v>0</v>
      </c>
      <c r="AA32" s="18">
        <f t="shared" si="21"/>
        <v>0</v>
      </c>
      <c r="AB32" s="18">
        <f t="shared" si="21"/>
        <v>0</v>
      </c>
      <c r="AC32" s="18">
        <f t="shared" si="21"/>
        <v>0</v>
      </c>
      <c r="AD32" s="18">
        <f t="shared" si="21"/>
        <v>0</v>
      </c>
      <c r="AE32" s="18">
        <f t="shared" si="21"/>
        <v>0</v>
      </c>
      <c r="AF32" s="18">
        <f t="shared" si="21"/>
        <v>0</v>
      </c>
      <c r="AG32" s="18">
        <f t="shared" si="21"/>
        <v>0</v>
      </c>
      <c r="AH32" s="18">
        <f t="shared" si="21"/>
        <v>0</v>
      </c>
      <c r="AI32" s="18">
        <f t="shared" si="21"/>
        <v>1</v>
      </c>
      <c r="AJ32" s="18">
        <f t="shared" si="21"/>
        <v>0</v>
      </c>
      <c r="AK32" s="18">
        <f t="shared" si="21"/>
        <v>0</v>
      </c>
      <c r="AL32" s="18">
        <f t="shared" si="21"/>
        <v>1</v>
      </c>
      <c r="AM32" s="18">
        <f t="shared" si="21"/>
        <v>1</v>
      </c>
      <c r="AN32" s="18">
        <f t="shared" si="21"/>
        <v>1</v>
      </c>
      <c r="AO32" s="18">
        <f t="shared" si="21"/>
        <v>0</v>
      </c>
      <c r="AQ32" s="28" t="str">
        <f t="shared" si="26"/>
        <v xml:space="preserve">    0x4080,  // spoke</v>
      </c>
    </row>
    <row r="33" spans="1:43" ht="18.75" x14ac:dyDescent="0.3">
      <c r="A33" s="6"/>
      <c r="B33" s="16">
        <v>11</v>
      </c>
      <c r="C33" s="19" t="str">
        <f t="shared" si="22"/>
        <v>0B</v>
      </c>
      <c r="D33" s="24" t="s">
        <v>70</v>
      </c>
      <c r="E33" s="21">
        <v>0</v>
      </c>
      <c r="F33" s="21">
        <v>0</v>
      </c>
      <c r="G33" s="21">
        <v>0</v>
      </c>
      <c r="H33" s="21">
        <v>0</v>
      </c>
      <c r="I33" s="21">
        <v>0</v>
      </c>
      <c r="J33" s="21">
        <v>0</v>
      </c>
      <c r="K33" s="21">
        <v>0</v>
      </c>
      <c r="L33" s="21">
        <v>0</v>
      </c>
      <c r="M33" s="21">
        <v>0</v>
      </c>
      <c r="N33" s="21">
        <v>0</v>
      </c>
      <c r="O33" s="21">
        <v>0</v>
      </c>
      <c r="P33" s="21">
        <v>0</v>
      </c>
      <c r="Q33" s="21">
        <v>0</v>
      </c>
      <c r="R33" s="21">
        <v>1</v>
      </c>
      <c r="S33" s="21">
        <v>1</v>
      </c>
      <c r="T33" s="21">
        <v>0</v>
      </c>
      <c r="U33" s="22">
        <f t="shared" si="23"/>
        <v>20480</v>
      </c>
      <c r="V33" s="19" t="str">
        <f t="shared" si="24"/>
        <v>5000</v>
      </c>
      <c r="W33" s="7"/>
      <c r="X33" s="23">
        <v>22656</v>
      </c>
      <c r="Y33" s="19" t="str">
        <f t="shared" si="20"/>
        <v>5880</v>
      </c>
      <c r="Z33" s="18">
        <f t="shared" si="25"/>
        <v>0</v>
      </c>
      <c r="AA33" s="18">
        <f t="shared" si="21"/>
        <v>0</v>
      </c>
      <c r="AB33" s="18">
        <f t="shared" si="21"/>
        <v>0</v>
      </c>
      <c r="AC33" s="18">
        <f t="shared" si="21"/>
        <v>0</v>
      </c>
      <c r="AD33" s="18">
        <f t="shared" si="21"/>
        <v>0</v>
      </c>
      <c r="AE33" s="18">
        <f t="shared" si="21"/>
        <v>0</v>
      </c>
      <c r="AF33" s="18">
        <f t="shared" si="21"/>
        <v>0</v>
      </c>
      <c r="AG33" s="18">
        <f t="shared" si="21"/>
        <v>0</v>
      </c>
      <c r="AH33" s="18">
        <f t="shared" si="21"/>
        <v>0</v>
      </c>
      <c r="AI33" s="18">
        <f t="shared" si="21"/>
        <v>1</v>
      </c>
      <c r="AJ33" s="18">
        <f t="shared" si="21"/>
        <v>0</v>
      </c>
      <c r="AK33" s="18">
        <f t="shared" si="21"/>
        <v>0</v>
      </c>
      <c r="AL33" s="18">
        <f t="shared" si="21"/>
        <v>0</v>
      </c>
      <c r="AM33" s="18">
        <f t="shared" si="21"/>
        <v>1</v>
      </c>
      <c r="AN33" s="18">
        <f t="shared" si="21"/>
        <v>1</v>
      </c>
      <c r="AO33" s="18">
        <f t="shared" si="21"/>
        <v>1</v>
      </c>
      <c r="AQ33" s="28" t="str">
        <f t="shared" si="26"/>
        <v xml:space="preserve">    0x5000,  // spoke</v>
      </c>
    </row>
    <row r="34" spans="1:43" ht="18.75" x14ac:dyDescent="0.3">
      <c r="A34" s="6"/>
      <c r="B34" s="16">
        <v>12</v>
      </c>
      <c r="C34" s="19" t="str">
        <f t="shared" si="22"/>
        <v>0C</v>
      </c>
      <c r="D34" s="24" t="s">
        <v>70</v>
      </c>
      <c r="E34" s="21">
        <v>0</v>
      </c>
      <c r="F34" s="21">
        <v>0</v>
      </c>
      <c r="G34" s="21">
        <v>0</v>
      </c>
      <c r="H34" s="21">
        <v>0</v>
      </c>
      <c r="I34" s="21">
        <v>0</v>
      </c>
      <c r="J34" s="21">
        <v>0</v>
      </c>
      <c r="K34" s="21">
        <v>0</v>
      </c>
      <c r="L34" s="21">
        <v>0</v>
      </c>
      <c r="M34" s="21">
        <v>0</v>
      </c>
      <c r="N34" s="21">
        <v>0</v>
      </c>
      <c r="O34" s="21">
        <v>0</v>
      </c>
      <c r="P34" s="21">
        <v>0</v>
      </c>
      <c r="Q34" s="21">
        <v>0</v>
      </c>
      <c r="R34" s="21">
        <v>0</v>
      </c>
      <c r="S34" s="21">
        <v>1</v>
      </c>
      <c r="T34" s="21">
        <v>1</v>
      </c>
      <c r="U34" s="22">
        <f t="shared" si="23"/>
        <v>6144</v>
      </c>
      <c r="V34" s="19" t="str">
        <f t="shared" si="24"/>
        <v>1800</v>
      </c>
      <c r="W34" s="7"/>
      <c r="X34" s="23">
        <v>22784</v>
      </c>
      <c r="Y34" s="19" t="str">
        <f t="shared" si="20"/>
        <v>5900</v>
      </c>
      <c r="Z34" s="18">
        <f t="shared" si="25"/>
        <v>0</v>
      </c>
      <c r="AA34" s="18">
        <f t="shared" si="21"/>
        <v>0</v>
      </c>
      <c r="AB34" s="18">
        <f t="shared" si="21"/>
        <v>0</v>
      </c>
      <c r="AC34" s="18">
        <f t="shared" si="21"/>
        <v>0</v>
      </c>
      <c r="AD34" s="18">
        <f t="shared" si="21"/>
        <v>0</v>
      </c>
      <c r="AE34" s="18">
        <f t="shared" si="21"/>
        <v>0</v>
      </c>
      <c r="AF34" s="18">
        <f t="shared" si="21"/>
        <v>0</v>
      </c>
      <c r="AG34" s="18">
        <f t="shared" si="21"/>
        <v>0</v>
      </c>
      <c r="AH34" s="18">
        <f t="shared" si="21"/>
        <v>1</v>
      </c>
      <c r="AI34" s="18">
        <f t="shared" si="21"/>
        <v>0</v>
      </c>
      <c r="AJ34" s="18">
        <f t="shared" si="21"/>
        <v>0</v>
      </c>
      <c r="AK34" s="18">
        <f t="shared" si="21"/>
        <v>0</v>
      </c>
      <c r="AL34" s="18">
        <f t="shared" si="21"/>
        <v>0</v>
      </c>
      <c r="AM34" s="18">
        <f t="shared" si="21"/>
        <v>1</v>
      </c>
      <c r="AN34" s="18">
        <f t="shared" si="21"/>
        <v>1</v>
      </c>
      <c r="AO34" s="18">
        <f t="shared" si="21"/>
        <v>1</v>
      </c>
      <c r="AQ34" s="28" t="str">
        <f t="shared" si="26"/>
        <v xml:space="preserve">    0x1800,  // spoke</v>
      </c>
    </row>
    <row r="35" spans="1:43" ht="18.75" x14ac:dyDescent="0.3">
      <c r="A35" s="6"/>
      <c r="B35" s="16">
        <v>13</v>
      </c>
      <c r="C35" s="19" t="str">
        <f t="shared" si="22"/>
        <v>0D</v>
      </c>
      <c r="D35" s="24" t="s">
        <v>70</v>
      </c>
      <c r="E35" s="21">
        <v>0</v>
      </c>
      <c r="F35" s="21">
        <v>0</v>
      </c>
      <c r="G35" s="21">
        <v>0</v>
      </c>
      <c r="H35" s="21">
        <v>0</v>
      </c>
      <c r="I35" s="21">
        <v>0</v>
      </c>
      <c r="J35" s="21">
        <v>0</v>
      </c>
      <c r="K35" s="21">
        <v>0</v>
      </c>
      <c r="L35" s="21">
        <v>0</v>
      </c>
      <c r="M35" s="21">
        <v>1</v>
      </c>
      <c r="N35" s="21">
        <v>0</v>
      </c>
      <c r="O35" s="21">
        <v>0</v>
      </c>
      <c r="P35" s="21">
        <v>0</v>
      </c>
      <c r="Q35" s="21">
        <v>0</v>
      </c>
      <c r="R35" s="21">
        <v>0</v>
      </c>
      <c r="S35" s="21">
        <v>0</v>
      </c>
      <c r="T35" s="21">
        <v>1</v>
      </c>
      <c r="U35" s="22">
        <f t="shared" si="23"/>
        <v>2304</v>
      </c>
      <c r="V35" s="19" t="str">
        <f t="shared" si="24"/>
        <v>0900</v>
      </c>
      <c r="W35" s="7"/>
      <c r="X35" s="23">
        <v>6402</v>
      </c>
      <c r="Y35" s="19" t="str">
        <f t="shared" si="20"/>
        <v>1902</v>
      </c>
      <c r="Z35" s="18">
        <f t="shared" si="25"/>
        <v>0</v>
      </c>
      <c r="AA35" s="18">
        <f t="shared" si="21"/>
        <v>0</v>
      </c>
      <c r="AB35" s="18">
        <f t="shared" si="21"/>
        <v>0</v>
      </c>
      <c r="AC35" s="18">
        <f t="shared" si="21"/>
        <v>0</v>
      </c>
      <c r="AD35" s="18">
        <f t="shared" si="21"/>
        <v>0</v>
      </c>
      <c r="AE35" s="18">
        <f t="shared" si="21"/>
        <v>0</v>
      </c>
      <c r="AF35" s="18">
        <f t="shared" si="21"/>
        <v>0</v>
      </c>
      <c r="AG35" s="18">
        <f t="shared" si="21"/>
        <v>0</v>
      </c>
      <c r="AH35" s="18">
        <f t="shared" si="21"/>
        <v>1</v>
      </c>
      <c r="AI35" s="18">
        <f t="shared" si="21"/>
        <v>0</v>
      </c>
      <c r="AJ35" s="18">
        <f t="shared" si="21"/>
        <v>1</v>
      </c>
      <c r="AK35" s="18">
        <f t="shared" si="21"/>
        <v>0</v>
      </c>
      <c r="AL35" s="18">
        <f t="shared" si="21"/>
        <v>0</v>
      </c>
      <c r="AM35" s="18">
        <f t="shared" si="21"/>
        <v>0</v>
      </c>
      <c r="AN35" s="18">
        <f t="shared" si="21"/>
        <v>1</v>
      </c>
      <c r="AO35" s="18">
        <f t="shared" si="21"/>
        <v>1</v>
      </c>
      <c r="AQ35" s="28" t="str">
        <f t="shared" si="26"/>
        <v xml:space="preserve">    0x0900,  // spoke</v>
      </c>
    </row>
    <row r="36" spans="1:43" ht="18.75" x14ac:dyDescent="0.3">
      <c r="A36" s="6"/>
      <c r="B36" s="16">
        <v>14</v>
      </c>
      <c r="C36" s="19" t="str">
        <f t="shared" si="22"/>
        <v>0E</v>
      </c>
      <c r="D36" s="24" t="s">
        <v>70</v>
      </c>
      <c r="E36" s="21">
        <v>0</v>
      </c>
      <c r="F36" s="21">
        <v>0</v>
      </c>
      <c r="G36" s="21">
        <v>0</v>
      </c>
      <c r="H36" s="21">
        <v>0</v>
      </c>
      <c r="I36" s="21">
        <v>0</v>
      </c>
      <c r="J36" s="21">
        <v>0</v>
      </c>
      <c r="K36" s="21">
        <v>0</v>
      </c>
      <c r="L36" s="21">
        <v>0</v>
      </c>
      <c r="M36" s="21">
        <v>1</v>
      </c>
      <c r="N36" s="21">
        <v>0</v>
      </c>
      <c r="O36" s="21">
        <v>1</v>
      </c>
      <c r="P36" s="21">
        <v>0</v>
      </c>
      <c r="Q36" s="21">
        <v>0</v>
      </c>
      <c r="R36" s="21">
        <v>0</v>
      </c>
      <c r="S36" s="21">
        <v>0</v>
      </c>
      <c r="T36" s="21">
        <v>0</v>
      </c>
      <c r="U36" s="22">
        <f t="shared" si="23"/>
        <v>258</v>
      </c>
      <c r="V36" s="19" t="str">
        <f t="shared" si="24"/>
        <v>0102</v>
      </c>
      <c r="W36" s="7"/>
      <c r="X36" s="23">
        <v>2314</v>
      </c>
      <c r="Y36" s="19" t="str">
        <f t="shared" si="20"/>
        <v>090A</v>
      </c>
      <c r="Z36" s="18">
        <f t="shared" si="25"/>
        <v>0</v>
      </c>
      <c r="AA36" s="18">
        <f t="shared" si="21"/>
        <v>0</v>
      </c>
      <c r="AB36" s="18">
        <f t="shared" si="21"/>
        <v>0</v>
      </c>
      <c r="AC36" s="18">
        <f t="shared" si="21"/>
        <v>0</v>
      </c>
      <c r="AD36" s="18">
        <f t="shared" si="21"/>
        <v>0</v>
      </c>
      <c r="AE36" s="18">
        <f t="shared" si="21"/>
        <v>0</v>
      </c>
      <c r="AF36" s="18">
        <f t="shared" si="21"/>
        <v>0</v>
      </c>
      <c r="AG36" s="18">
        <f t="shared" si="21"/>
        <v>0</v>
      </c>
      <c r="AH36" s="18">
        <f t="shared" si="21"/>
        <v>1</v>
      </c>
      <c r="AI36" s="18">
        <f t="shared" si="21"/>
        <v>0</v>
      </c>
      <c r="AJ36" s="18">
        <f t="shared" si="21"/>
        <v>1</v>
      </c>
      <c r="AK36" s="18">
        <f t="shared" si="21"/>
        <v>1</v>
      </c>
      <c r="AL36" s="18">
        <f t="shared" si="21"/>
        <v>0</v>
      </c>
      <c r="AM36" s="18">
        <f t="shared" si="21"/>
        <v>0</v>
      </c>
      <c r="AN36" s="18">
        <f t="shared" si="21"/>
        <v>0</v>
      </c>
      <c r="AO36" s="18">
        <f t="shared" si="21"/>
        <v>1</v>
      </c>
      <c r="AQ36" s="28" t="str">
        <f t="shared" si="26"/>
        <v xml:space="preserve">    0x0102,  // spoke</v>
      </c>
    </row>
    <row r="37" spans="1:43" ht="18.75" x14ac:dyDescent="0.3">
      <c r="A37" s="6"/>
      <c r="B37" s="16">
        <v>15</v>
      </c>
      <c r="C37" s="19" t="str">
        <f t="shared" si="22"/>
        <v>0F</v>
      </c>
      <c r="D37" s="24" t="s">
        <v>70</v>
      </c>
      <c r="E37" s="21">
        <v>0</v>
      </c>
      <c r="F37" s="21">
        <v>0</v>
      </c>
      <c r="G37" s="21">
        <v>0</v>
      </c>
      <c r="H37" s="21">
        <v>0</v>
      </c>
      <c r="I37" s="21">
        <v>0</v>
      </c>
      <c r="J37" s="21">
        <v>0</v>
      </c>
      <c r="K37" s="21">
        <v>0</v>
      </c>
      <c r="L37" s="21">
        <v>0</v>
      </c>
      <c r="M37" s="21">
        <v>0</v>
      </c>
      <c r="N37" s="21">
        <v>0</v>
      </c>
      <c r="O37" s="21">
        <v>1</v>
      </c>
      <c r="P37" s="21">
        <v>1</v>
      </c>
      <c r="Q37" s="21">
        <v>0</v>
      </c>
      <c r="R37" s="21">
        <v>0</v>
      </c>
      <c r="S37" s="21">
        <v>0</v>
      </c>
      <c r="T37" s="21">
        <v>0</v>
      </c>
      <c r="U37" s="22">
        <f t="shared" si="23"/>
        <v>10</v>
      </c>
      <c r="V37" s="19" t="str">
        <f t="shared" si="24"/>
        <v>000A</v>
      </c>
      <c r="W37" s="7"/>
      <c r="X37" s="23">
        <v>282</v>
      </c>
      <c r="Y37" s="19" t="str">
        <f t="shared" si="20"/>
        <v>011A</v>
      </c>
      <c r="Z37" s="18">
        <f t="shared" si="25"/>
        <v>0</v>
      </c>
      <c r="AA37" s="18">
        <f t="shared" si="21"/>
        <v>0</v>
      </c>
      <c r="AB37" s="18">
        <f t="shared" si="21"/>
        <v>0</v>
      </c>
      <c r="AC37" s="18">
        <f t="shared" si="21"/>
        <v>0</v>
      </c>
      <c r="AD37" s="18">
        <f t="shared" si="21"/>
        <v>0</v>
      </c>
      <c r="AE37" s="18">
        <f t="shared" si="21"/>
        <v>0</v>
      </c>
      <c r="AF37" s="18">
        <f t="shared" si="21"/>
        <v>0</v>
      </c>
      <c r="AG37" s="18">
        <f t="shared" si="21"/>
        <v>0</v>
      </c>
      <c r="AH37" s="18">
        <f t="shared" si="21"/>
        <v>1</v>
      </c>
      <c r="AI37" s="18">
        <f t="shared" si="21"/>
        <v>0</v>
      </c>
      <c r="AJ37" s="18">
        <f t="shared" si="21"/>
        <v>1</v>
      </c>
      <c r="AK37" s="18">
        <f t="shared" si="21"/>
        <v>1</v>
      </c>
      <c r="AL37" s="18">
        <f t="shared" si="21"/>
        <v>1</v>
      </c>
      <c r="AM37" s="18">
        <f t="shared" si="21"/>
        <v>0</v>
      </c>
      <c r="AN37" s="18">
        <f t="shared" si="21"/>
        <v>0</v>
      </c>
      <c r="AO37" s="18">
        <f t="shared" si="21"/>
        <v>0</v>
      </c>
      <c r="AQ37" s="28" t="str">
        <f t="shared" si="26"/>
        <v xml:space="preserve">    0x000A,  // spoke</v>
      </c>
    </row>
    <row r="38" spans="1:43" ht="18.75" x14ac:dyDescent="0.3">
      <c r="A38" s="6"/>
      <c r="B38" s="16">
        <v>16</v>
      </c>
      <c r="C38" s="19" t="str">
        <f t="shared" si="22"/>
        <v>10</v>
      </c>
      <c r="D38" s="24" t="s">
        <v>71</v>
      </c>
      <c r="E38" s="21">
        <v>1</v>
      </c>
      <c r="F38" s="21">
        <v>1</v>
      </c>
      <c r="G38" s="21">
        <v>1</v>
      </c>
      <c r="H38" s="21">
        <v>0</v>
      </c>
      <c r="I38" s="21">
        <v>0</v>
      </c>
      <c r="J38" s="21">
        <v>0</v>
      </c>
      <c r="K38" s="21">
        <v>0</v>
      </c>
      <c r="L38" s="21">
        <v>1</v>
      </c>
      <c r="M38" s="21">
        <v>1</v>
      </c>
      <c r="N38" s="21">
        <v>1</v>
      </c>
      <c r="O38" s="21">
        <v>0</v>
      </c>
      <c r="P38" s="21">
        <v>0</v>
      </c>
      <c r="Q38" s="21">
        <v>0</v>
      </c>
      <c r="R38" s="21">
        <v>1</v>
      </c>
      <c r="S38" s="21">
        <v>1</v>
      </c>
      <c r="T38" s="21">
        <v>1</v>
      </c>
      <c r="U38" s="22">
        <f t="shared" si="23"/>
        <v>23013</v>
      </c>
      <c r="V38" s="19" t="str">
        <f t="shared" si="24"/>
        <v>59E5</v>
      </c>
      <c r="W38" s="7"/>
      <c r="X38" s="23">
        <v>23013</v>
      </c>
      <c r="Y38" s="19" t="str">
        <f t="shared" si="20"/>
        <v>59E5</v>
      </c>
      <c r="Z38" s="18">
        <f t="shared" si="25"/>
        <v>1</v>
      </c>
      <c r="AA38" s="18">
        <f t="shared" si="25"/>
        <v>1</v>
      </c>
      <c r="AB38" s="18">
        <f t="shared" si="25"/>
        <v>1</v>
      </c>
      <c r="AC38" s="18">
        <f t="shared" si="25"/>
        <v>0</v>
      </c>
      <c r="AD38" s="18">
        <f t="shared" si="25"/>
        <v>0</v>
      </c>
      <c r="AE38" s="18">
        <f t="shared" si="25"/>
        <v>0</v>
      </c>
      <c r="AF38" s="18">
        <f t="shared" si="25"/>
        <v>0</v>
      </c>
      <c r="AG38" s="18">
        <f t="shared" si="25"/>
        <v>1</v>
      </c>
      <c r="AH38" s="18">
        <f t="shared" si="25"/>
        <v>1</v>
      </c>
      <c r="AI38" s="18">
        <f t="shared" si="25"/>
        <v>1</v>
      </c>
      <c r="AJ38" s="18">
        <f t="shared" si="25"/>
        <v>0</v>
      </c>
      <c r="AK38" s="18">
        <f t="shared" si="25"/>
        <v>0</v>
      </c>
      <c r="AL38" s="18">
        <f t="shared" si="25"/>
        <v>0</v>
      </c>
      <c r="AM38" s="18">
        <f t="shared" si="25"/>
        <v>1</v>
      </c>
      <c r="AN38" s="18">
        <f t="shared" si="25"/>
        <v>1</v>
      </c>
      <c r="AO38" s="18">
        <f t="shared" si="25"/>
        <v>1</v>
      </c>
      <c r="AQ38" s="28" t="str">
        <f t="shared" si="26"/>
        <v xml:space="preserve">    0x59E5,  // alien</v>
      </c>
    </row>
    <row r="39" spans="1:43" ht="18.75" x14ac:dyDescent="0.3">
      <c r="A39" s="6"/>
      <c r="B39" s="16">
        <v>17</v>
      </c>
      <c r="C39" s="19" t="str">
        <f t="shared" si="22"/>
        <v>11</v>
      </c>
      <c r="D39" s="24" t="s">
        <v>71</v>
      </c>
      <c r="E39" s="21">
        <v>1</v>
      </c>
      <c r="F39" s="21">
        <v>1</v>
      </c>
      <c r="G39" s="21">
        <v>1</v>
      </c>
      <c r="H39" s="21">
        <v>0</v>
      </c>
      <c r="I39" s="21">
        <v>0</v>
      </c>
      <c r="J39" s="21">
        <v>0</v>
      </c>
      <c r="K39" s="21">
        <v>0</v>
      </c>
      <c r="L39" s="21">
        <v>1</v>
      </c>
      <c r="M39" s="21">
        <v>1</v>
      </c>
      <c r="N39" s="21">
        <v>1</v>
      </c>
      <c r="O39" s="21">
        <v>0</v>
      </c>
      <c r="P39" s="21">
        <v>0</v>
      </c>
      <c r="Q39" s="21">
        <v>0</v>
      </c>
      <c r="R39" s="21">
        <v>1</v>
      </c>
      <c r="S39" s="21">
        <v>1</v>
      </c>
      <c r="T39" s="21">
        <v>0</v>
      </c>
      <c r="U39" s="22">
        <f t="shared" si="23"/>
        <v>20965</v>
      </c>
      <c r="V39" s="19" t="str">
        <f t="shared" si="24"/>
        <v>51E5</v>
      </c>
      <c r="W39" s="7"/>
      <c r="X39" s="23">
        <v>20965</v>
      </c>
      <c r="Y39" s="19" t="str">
        <f t="shared" si="20"/>
        <v>51E5</v>
      </c>
      <c r="Z39" s="18">
        <f t="shared" si="25"/>
        <v>1</v>
      </c>
      <c r="AA39" s="18">
        <f t="shared" si="25"/>
        <v>1</v>
      </c>
      <c r="AB39" s="18">
        <f t="shared" si="25"/>
        <v>1</v>
      </c>
      <c r="AC39" s="18">
        <f t="shared" si="25"/>
        <v>0</v>
      </c>
      <c r="AD39" s="18">
        <f t="shared" si="25"/>
        <v>0</v>
      </c>
      <c r="AE39" s="18">
        <f t="shared" si="25"/>
        <v>0</v>
      </c>
      <c r="AF39" s="18">
        <f t="shared" si="25"/>
        <v>0</v>
      </c>
      <c r="AG39" s="18">
        <f t="shared" si="25"/>
        <v>1</v>
      </c>
      <c r="AH39" s="18">
        <f t="shared" si="25"/>
        <v>1</v>
      </c>
      <c r="AI39" s="18">
        <f t="shared" si="25"/>
        <v>1</v>
      </c>
      <c r="AJ39" s="18">
        <f t="shared" si="25"/>
        <v>0</v>
      </c>
      <c r="AK39" s="18">
        <f t="shared" si="25"/>
        <v>0</v>
      </c>
      <c r="AL39" s="18">
        <f t="shared" si="25"/>
        <v>0</v>
      </c>
      <c r="AM39" s="18">
        <f t="shared" si="25"/>
        <v>1</v>
      </c>
      <c r="AN39" s="18">
        <f t="shared" si="25"/>
        <v>1</v>
      </c>
      <c r="AO39" s="18">
        <f t="shared" si="25"/>
        <v>0</v>
      </c>
      <c r="AQ39" s="28" t="str">
        <f t="shared" si="26"/>
        <v xml:space="preserve">    0x51E5,  // alien</v>
      </c>
    </row>
    <row r="40" spans="1:43" ht="18.75" x14ac:dyDescent="0.3">
      <c r="A40" s="6"/>
      <c r="B40" s="16">
        <v>18</v>
      </c>
      <c r="C40" s="19" t="str">
        <f t="shared" si="22"/>
        <v>12</v>
      </c>
      <c r="D40" s="24" t="s">
        <v>71</v>
      </c>
      <c r="E40" s="21">
        <v>1</v>
      </c>
      <c r="F40" s="21">
        <v>1</v>
      </c>
      <c r="G40" s="21">
        <v>1</v>
      </c>
      <c r="H40" s="21">
        <v>0</v>
      </c>
      <c r="I40" s="21">
        <v>0</v>
      </c>
      <c r="J40" s="21">
        <v>0</v>
      </c>
      <c r="K40" s="21">
        <v>0</v>
      </c>
      <c r="L40" s="21">
        <v>1</v>
      </c>
      <c r="M40" s="21">
        <v>1</v>
      </c>
      <c r="N40" s="21">
        <v>1</v>
      </c>
      <c r="O40" s="21">
        <v>0</v>
      </c>
      <c r="P40" s="21">
        <v>0</v>
      </c>
      <c r="Q40" s="21">
        <v>0</v>
      </c>
      <c r="R40" s="21">
        <v>1</v>
      </c>
      <c r="S40" s="21">
        <v>0</v>
      </c>
      <c r="T40" s="21">
        <v>1</v>
      </c>
      <c r="U40" s="22">
        <f t="shared" si="23"/>
        <v>18917</v>
      </c>
      <c r="V40" s="19" t="str">
        <f t="shared" si="24"/>
        <v>49E5</v>
      </c>
      <c r="W40" s="7"/>
      <c r="X40" s="23">
        <v>18917</v>
      </c>
      <c r="Y40" s="19" t="str">
        <f t="shared" si="20"/>
        <v>49E5</v>
      </c>
      <c r="Z40" s="18">
        <f t="shared" si="25"/>
        <v>1</v>
      </c>
      <c r="AA40" s="18">
        <f t="shared" si="25"/>
        <v>1</v>
      </c>
      <c r="AB40" s="18">
        <f t="shared" si="25"/>
        <v>1</v>
      </c>
      <c r="AC40" s="18">
        <f t="shared" si="25"/>
        <v>0</v>
      </c>
      <c r="AD40" s="18">
        <f t="shared" si="25"/>
        <v>0</v>
      </c>
      <c r="AE40" s="18">
        <f t="shared" si="25"/>
        <v>0</v>
      </c>
      <c r="AF40" s="18">
        <f t="shared" si="25"/>
        <v>0</v>
      </c>
      <c r="AG40" s="18">
        <f t="shared" si="25"/>
        <v>1</v>
      </c>
      <c r="AH40" s="18">
        <f t="shared" si="25"/>
        <v>1</v>
      </c>
      <c r="AI40" s="18">
        <f t="shared" si="25"/>
        <v>1</v>
      </c>
      <c r="AJ40" s="18">
        <f t="shared" si="25"/>
        <v>0</v>
      </c>
      <c r="AK40" s="18">
        <f t="shared" si="25"/>
        <v>0</v>
      </c>
      <c r="AL40" s="18">
        <f t="shared" si="25"/>
        <v>0</v>
      </c>
      <c r="AM40" s="18">
        <f t="shared" si="25"/>
        <v>1</v>
      </c>
      <c r="AN40" s="18">
        <f t="shared" si="25"/>
        <v>0</v>
      </c>
      <c r="AO40" s="18">
        <f t="shared" si="25"/>
        <v>1</v>
      </c>
      <c r="AQ40" s="28" t="str">
        <f t="shared" si="26"/>
        <v xml:space="preserve">    0x49E5,  // alien</v>
      </c>
    </row>
    <row r="41" spans="1:43" ht="18.75" x14ac:dyDescent="0.3">
      <c r="A41" s="6"/>
      <c r="B41" s="16">
        <v>19</v>
      </c>
      <c r="C41" s="19" t="str">
        <f t="shared" si="22"/>
        <v>13</v>
      </c>
      <c r="D41" s="24" t="s">
        <v>71</v>
      </c>
      <c r="E41" s="21">
        <v>1</v>
      </c>
      <c r="F41" s="21">
        <v>1</v>
      </c>
      <c r="G41" s="21">
        <v>1</v>
      </c>
      <c r="H41" s="21">
        <v>0</v>
      </c>
      <c r="I41" s="21">
        <v>0</v>
      </c>
      <c r="J41" s="21">
        <v>0</v>
      </c>
      <c r="K41" s="21">
        <v>0</v>
      </c>
      <c r="L41" s="21">
        <v>1</v>
      </c>
      <c r="M41" s="21">
        <v>1</v>
      </c>
      <c r="N41" s="21">
        <v>1</v>
      </c>
      <c r="O41" s="21">
        <v>0</v>
      </c>
      <c r="P41" s="21">
        <v>0</v>
      </c>
      <c r="Q41" s="21">
        <v>0</v>
      </c>
      <c r="R41" s="21">
        <v>0</v>
      </c>
      <c r="S41" s="21">
        <v>1</v>
      </c>
      <c r="T41" s="21">
        <v>1</v>
      </c>
      <c r="U41" s="22">
        <f t="shared" si="23"/>
        <v>6629</v>
      </c>
      <c r="V41" s="19" t="str">
        <f t="shared" si="24"/>
        <v>19E5</v>
      </c>
      <c r="W41" s="7"/>
      <c r="X41" s="23">
        <v>6629</v>
      </c>
      <c r="Y41" s="19" t="str">
        <f t="shared" si="20"/>
        <v>19E5</v>
      </c>
      <c r="Z41" s="18">
        <f t="shared" si="25"/>
        <v>1</v>
      </c>
      <c r="AA41" s="18">
        <f t="shared" si="25"/>
        <v>1</v>
      </c>
      <c r="AB41" s="18">
        <f t="shared" si="25"/>
        <v>1</v>
      </c>
      <c r="AC41" s="18">
        <f t="shared" si="25"/>
        <v>0</v>
      </c>
      <c r="AD41" s="18">
        <f t="shared" si="25"/>
        <v>0</v>
      </c>
      <c r="AE41" s="18">
        <f t="shared" si="25"/>
        <v>0</v>
      </c>
      <c r="AF41" s="18">
        <f t="shared" si="25"/>
        <v>0</v>
      </c>
      <c r="AG41" s="18">
        <f t="shared" si="25"/>
        <v>1</v>
      </c>
      <c r="AH41" s="18">
        <f t="shared" si="25"/>
        <v>1</v>
      </c>
      <c r="AI41" s="18">
        <f t="shared" si="25"/>
        <v>1</v>
      </c>
      <c r="AJ41" s="18">
        <f t="shared" si="25"/>
        <v>0</v>
      </c>
      <c r="AK41" s="18">
        <f t="shared" si="25"/>
        <v>0</v>
      </c>
      <c r="AL41" s="18">
        <f t="shared" si="25"/>
        <v>0</v>
      </c>
      <c r="AM41" s="18">
        <f t="shared" si="25"/>
        <v>0</v>
      </c>
      <c r="AN41" s="18">
        <f t="shared" si="25"/>
        <v>1</v>
      </c>
      <c r="AO41" s="18">
        <f t="shared" si="25"/>
        <v>1</v>
      </c>
      <c r="AQ41" s="28" t="str">
        <f t="shared" si="26"/>
        <v xml:space="preserve">    0x19E5,  // alien</v>
      </c>
    </row>
    <row r="42" spans="1:43" ht="18.75" x14ac:dyDescent="0.3">
      <c r="A42" s="6"/>
      <c r="B42" s="16">
        <v>20</v>
      </c>
      <c r="C42" s="19" t="str">
        <f t="shared" si="22"/>
        <v>14</v>
      </c>
      <c r="D42" s="24" t="s">
        <v>71</v>
      </c>
      <c r="E42" s="21">
        <v>0</v>
      </c>
      <c r="F42" s="21">
        <v>0</v>
      </c>
      <c r="G42" s="21">
        <v>0</v>
      </c>
      <c r="H42" s="21">
        <v>1</v>
      </c>
      <c r="I42" s="21">
        <v>1</v>
      </c>
      <c r="J42" s="21">
        <v>1</v>
      </c>
      <c r="K42" s="21">
        <v>1</v>
      </c>
      <c r="L42" s="21">
        <v>0</v>
      </c>
      <c r="M42" s="21">
        <v>1</v>
      </c>
      <c r="N42" s="21">
        <v>1</v>
      </c>
      <c r="O42" s="21">
        <v>1</v>
      </c>
      <c r="P42" s="21">
        <v>1</v>
      </c>
      <c r="Q42" s="21">
        <v>1</v>
      </c>
      <c r="R42" s="21">
        <v>0</v>
      </c>
      <c r="S42" s="21">
        <v>0</v>
      </c>
      <c r="T42" s="21">
        <v>0</v>
      </c>
      <c r="U42" s="22">
        <f t="shared" si="23"/>
        <v>42906</v>
      </c>
      <c r="V42" s="19" t="str">
        <f t="shared" si="24"/>
        <v>A79A</v>
      </c>
      <c r="W42" s="7"/>
      <c r="X42" s="23">
        <v>42906</v>
      </c>
      <c r="Y42" s="19" t="str">
        <f t="shared" si="20"/>
        <v>A79A</v>
      </c>
      <c r="Z42" s="18">
        <f t="shared" si="25"/>
        <v>0</v>
      </c>
      <c r="AA42" s="18">
        <f t="shared" si="25"/>
        <v>0</v>
      </c>
      <c r="AB42" s="18">
        <f t="shared" si="25"/>
        <v>0</v>
      </c>
      <c r="AC42" s="18">
        <f t="shared" si="25"/>
        <v>1</v>
      </c>
      <c r="AD42" s="18">
        <f t="shared" si="25"/>
        <v>1</v>
      </c>
      <c r="AE42" s="18">
        <f t="shared" si="25"/>
        <v>1</v>
      </c>
      <c r="AF42" s="18">
        <f t="shared" si="25"/>
        <v>1</v>
      </c>
      <c r="AG42" s="18">
        <f t="shared" si="25"/>
        <v>0</v>
      </c>
      <c r="AH42" s="18">
        <f t="shared" si="25"/>
        <v>1</v>
      </c>
      <c r="AI42" s="18">
        <f t="shared" si="25"/>
        <v>1</v>
      </c>
      <c r="AJ42" s="18">
        <f t="shared" si="25"/>
        <v>1</v>
      </c>
      <c r="AK42" s="18">
        <f t="shared" si="25"/>
        <v>1</v>
      </c>
      <c r="AL42" s="18">
        <f t="shared" si="25"/>
        <v>1</v>
      </c>
      <c r="AM42" s="18">
        <f t="shared" si="25"/>
        <v>0</v>
      </c>
      <c r="AN42" s="18">
        <f t="shared" si="25"/>
        <v>0</v>
      </c>
      <c r="AO42" s="18">
        <f t="shared" si="25"/>
        <v>0</v>
      </c>
      <c r="AQ42" s="28" t="str">
        <f t="shared" si="26"/>
        <v xml:space="preserve">    0xA79A,  // alien</v>
      </c>
    </row>
    <row r="43" spans="1:43" ht="18.75" x14ac:dyDescent="0.3">
      <c r="A43" s="6"/>
      <c r="B43" s="16">
        <v>21</v>
      </c>
      <c r="C43" s="19" t="str">
        <f t="shared" si="22"/>
        <v>15</v>
      </c>
      <c r="D43" s="24" t="s">
        <v>71</v>
      </c>
      <c r="E43" s="21">
        <v>0</v>
      </c>
      <c r="F43" s="21">
        <v>0</v>
      </c>
      <c r="G43" s="21">
        <v>0</v>
      </c>
      <c r="H43" s="21">
        <v>1</v>
      </c>
      <c r="I43" s="21">
        <v>1</v>
      </c>
      <c r="J43" s="21">
        <v>1</v>
      </c>
      <c r="K43" s="21">
        <v>1</v>
      </c>
      <c r="L43" s="21">
        <v>0</v>
      </c>
      <c r="M43" s="21">
        <v>1</v>
      </c>
      <c r="N43" s="21">
        <v>1</v>
      </c>
      <c r="O43" s="21">
        <v>0</v>
      </c>
      <c r="P43" s="21">
        <v>1</v>
      </c>
      <c r="Q43" s="21">
        <v>1</v>
      </c>
      <c r="R43" s="21">
        <v>0</v>
      </c>
      <c r="S43" s="21">
        <v>0</v>
      </c>
      <c r="T43" s="21">
        <v>0</v>
      </c>
      <c r="U43" s="22">
        <f t="shared" si="23"/>
        <v>42904</v>
      </c>
      <c r="V43" s="19" t="str">
        <f t="shared" si="24"/>
        <v>A798</v>
      </c>
      <c r="W43" s="7"/>
      <c r="X43" s="23">
        <v>42904</v>
      </c>
      <c r="Y43" s="19" t="str">
        <f t="shared" si="20"/>
        <v>A798</v>
      </c>
      <c r="Z43" s="18">
        <f t="shared" si="25"/>
        <v>0</v>
      </c>
      <c r="AA43" s="18">
        <f t="shared" si="25"/>
        <v>0</v>
      </c>
      <c r="AB43" s="18">
        <f t="shared" si="25"/>
        <v>0</v>
      </c>
      <c r="AC43" s="18">
        <f t="shared" si="25"/>
        <v>1</v>
      </c>
      <c r="AD43" s="18">
        <f t="shared" si="25"/>
        <v>1</v>
      </c>
      <c r="AE43" s="18">
        <f t="shared" si="25"/>
        <v>1</v>
      </c>
      <c r="AF43" s="18">
        <f t="shared" si="25"/>
        <v>1</v>
      </c>
      <c r="AG43" s="18">
        <f t="shared" si="25"/>
        <v>0</v>
      </c>
      <c r="AH43" s="18">
        <f t="shared" si="25"/>
        <v>1</v>
      </c>
      <c r="AI43" s="18">
        <f t="shared" si="25"/>
        <v>1</v>
      </c>
      <c r="AJ43" s="18">
        <f t="shared" si="25"/>
        <v>0</v>
      </c>
      <c r="AK43" s="18">
        <f t="shared" si="25"/>
        <v>1</v>
      </c>
      <c r="AL43" s="18">
        <f t="shared" si="25"/>
        <v>1</v>
      </c>
      <c r="AM43" s="18">
        <f t="shared" si="25"/>
        <v>0</v>
      </c>
      <c r="AN43" s="18">
        <f t="shared" si="25"/>
        <v>0</v>
      </c>
      <c r="AO43" s="18">
        <f t="shared" si="25"/>
        <v>0</v>
      </c>
      <c r="AQ43" s="28" t="str">
        <f t="shared" si="26"/>
        <v xml:space="preserve">    0xA798,  // alien</v>
      </c>
    </row>
    <row r="44" spans="1:43" ht="18.75" x14ac:dyDescent="0.3">
      <c r="A44" s="6"/>
      <c r="B44" s="16">
        <v>22</v>
      </c>
      <c r="C44" s="19" t="str">
        <f t="shared" si="22"/>
        <v>16</v>
      </c>
      <c r="D44" s="24" t="s">
        <v>71</v>
      </c>
      <c r="E44" s="21">
        <v>0</v>
      </c>
      <c r="F44" s="21">
        <v>0</v>
      </c>
      <c r="G44" s="21">
        <v>0</v>
      </c>
      <c r="H44" s="21">
        <v>1</v>
      </c>
      <c r="I44" s="21">
        <v>1</v>
      </c>
      <c r="J44" s="21">
        <v>1</v>
      </c>
      <c r="K44" s="21">
        <v>1</v>
      </c>
      <c r="L44" s="21">
        <v>0</v>
      </c>
      <c r="M44" s="21">
        <v>1</v>
      </c>
      <c r="N44" s="21">
        <v>1</v>
      </c>
      <c r="O44" s="21">
        <v>1</v>
      </c>
      <c r="P44" s="21">
        <v>0</v>
      </c>
      <c r="Q44" s="21">
        <v>1</v>
      </c>
      <c r="R44" s="21">
        <v>0</v>
      </c>
      <c r="S44" s="21">
        <v>0</v>
      </c>
      <c r="T44" s="21">
        <v>0</v>
      </c>
      <c r="U44" s="22">
        <f t="shared" si="23"/>
        <v>42898</v>
      </c>
      <c r="V44" s="19" t="str">
        <f t="shared" si="24"/>
        <v>A792</v>
      </c>
      <c r="W44" s="7"/>
      <c r="X44" s="23">
        <v>42898</v>
      </c>
      <c r="Y44" s="19" t="str">
        <f t="shared" si="20"/>
        <v>A792</v>
      </c>
      <c r="Z44" s="18">
        <f t="shared" si="25"/>
        <v>0</v>
      </c>
      <c r="AA44" s="18">
        <f t="shared" si="25"/>
        <v>0</v>
      </c>
      <c r="AB44" s="18">
        <f t="shared" si="25"/>
        <v>0</v>
      </c>
      <c r="AC44" s="18">
        <f t="shared" si="25"/>
        <v>1</v>
      </c>
      <c r="AD44" s="18">
        <f t="shared" si="25"/>
        <v>1</v>
      </c>
      <c r="AE44" s="18">
        <f t="shared" si="25"/>
        <v>1</v>
      </c>
      <c r="AF44" s="18">
        <f t="shared" si="25"/>
        <v>1</v>
      </c>
      <c r="AG44" s="18">
        <f t="shared" si="25"/>
        <v>0</v>
      </c>
      <c r="AH44" s="18">
        <f t="shared" si="25"/>
        <v>1</v>
      </c>
      <c r="AI44" s="18">
        <f t="shared" si="25"/>
        <v>1</v>
      </c>
      <c r="AJ44" s="18">
        <f t="shared" si="25"/>
        <v>1</v>
      </c>
      <c r="AK44" s="18">
        <f t="shared" si="25"/>
        <v>0</v>
      </c>
      <c r="AL44" s="18">
        <f t="shared" si="25"/>
        <v>1</v>
      </c>
      <c r="AM44" s="18">
        <f t="shared" si="25"/>
        <v>0</v>
      </c>
      <c r="AN44" s="18">
        <f t="shared" si="25"/>
        <v>0</v>
      </c>
      <c r="AO44" s="18">
        <f t="shared" si="25"/>
        <v>0</v>
      </c>
      <c r="AQ44" s="28" t="str">
        <f t="shared" si="26"/>
        <v xml:space="preserve">    0xA792,  // alien</v>
      </c>
    </row>
    <row r="45" spans="1:43" ht="18.75" x14ac:dyDescent="0.3">
      <c r="A45" s="6"/>
      <c r="B45" s="16">
        <v>23</v>
      </c>
      <c r="C45" s="19" t="str">
        <f t="shared" si="22"/>
        <v>17</v>
      </c>
      <c r="D45" s="24" t="s">
        <v>71</v>
      </c>
      <c r="E45" s="21">
        <v>0</v>
      </c>
      <c r="F45" s="21">
        <v>0</v>
      </c>
      <c r="G45" s="21">
        <v>0</v>
      </c>
      <c r="H45" s="21">
        <v>1</v>
      </c>
      <c r="I45" s="21">
        <v>1</v>
      </c>
      <c r="J45" s="21">
        <v>1</v>
      </c>
      <c r="K45" s="21">
        <v>1</v>
      </c>
      <c r="L45" s="21">
        <v>0</v>
      </c>
      <c r="M45" s="21">
        <v>1</v>
      </c>
      <c r="N45" s="21">
        <v>1</v>
      </c>
      <c r="O45" s="21">
        <v>1</v>
      </c>
      <c r="P45" s="21">
        <v>1</v>
      </c>
      <c r="Q45" s="21">
        <v>0</v>
      </c>
      <c r="R45" s="21">
        <v>0</v>
      </c>
      <c r="S45" s="21">
        <v>0</v>
      </c>
      <c r="T45" s="21">
        <v>0</v>
      </c>
      <c r="U45" s="22">
        <f t="shared" si="23"/>
        <v>42890</v>
      </c>
      <c r="V45" s="19" t="str">
        <f t="shared" si="24"/>
        <v>A78A</v>
      </c>
      <c r="W45" s="7"/>
      <c r="X45" s="23">
        <v>42890</v>
      </c>
      <c r="Y45" s="19" t="str">
        <f t="shared" si="20"/>
        <v>A78A</v>
      </c>
      <c r="Z45" s="18">
        <f t="shared" si="25"/>
        <v>0</v>
      </c>
      <c r="AA45" s="18">
        <f t="shared" si="25"/>
        <v>0</v>
      </c>
      <c r="AB45" s="18">
        <f t="shared" si="25"/>
        <v>0</v>
      </c>
      <c r="AC45" s="18">
        <f t="shared" si="25"/>
        <v>1</v>
      </c>
      <c r="AD45" s="18">
        <f t="shared" si="25"/>
        <v>1</v>
      </c>
      <c r="AE45" s="18">
        <f t="shared" si="25"/>
        <v>1</v>
      </c>
      <c r="AF45" s="18">
        <f t="shared" si="25"/>
        <v>1</v>
      </c>
      <c r="AG45" s="18">
        <f t="shared" si="25"/>
        <v>0</v>
      </c>
      <c r="AH45" s="18">
        <f t="shared" si="25"/>
        <v>1</v>
      </c>
      <c r="AI45" s="18">
        <f t="shared" si="25"/>
        <v>1</v>
      </c>
      <c r="AJ45" s="18">
        <f t="shared" si="25"/>
        <v>1</v>
      </c>
      <c r="AK45" s="18">
        <f t="shared" si="25"/>
        <v>1</v>
      </c>
      <c r="AL45" s="18">
        <f t="shared" si="25"/>
        <v>0</v>
      </c>
      <c r="AM45" s="18">
        <f t="shared" si="25"/>
        <v>0</v>
      </c>
      <c r="AN45" s="18">
        <f t="shared" si="25"/>
        <v>0</v>
      </c>
      <c r="AO45" s="18">
        <f t="shared" si="25"/>
        <v>0</v>
      </c>
      <c r="AQ45" s="28" t="str">
        <f t="shared" si="26"/>
        <v xml:space="preserve">    0xA78A,  // alien</v>
      </c>
    </row>
    <row r="46" spans="1:43" ht="18.75" x14ac:dyDescent="0.3">
      <c r="A46" s="6"/>
      <c r="B46" s="16">
        <v>24</v>
      </c>
      <c r="C46" s="19" t="str">
        <f t="shared" si="22"/>
        <v>18</v>
      </c>
      <c r="D46" s="24" t="s">
        <v>71</v>
      </c>
      <c r="E46" s="21">
        <v>0</v>
      </c>
      <c r="F46" s="21">
        <v>0</v>
      </c>
      <c r="G46" s="21">
        <v>1</v>
      </c>
      <c r="H46" s="21">
        <v>0</v>
      </c>
      <c r="I46" s="21">
        <v>1</v>
      </c>
      <c r="J46" s="21">
        <v>1</v>
      </c>
      <c r="K46" s="21">
        <v>0</v>
      </c>
      <c r="L46" s="21">
        <v>1</v>
      </c>
      <c r="M46" s="21">
        <v>1</v>
      </c>
      <c r="N46" s="21">
        <v>1</v>
      </c>
      <c r="O46" s="21">
        <v>0</v>
      </c>
      <c r="P46" s="21">
        <v>1</v>
      </c>
      <c r="Q46" s="21">
        <v>0</v>
      </c>
      <c r="R46" s="21">
        <v>1</v>
      </c>
      <c r="S46" s="21">
        <v>0</v>
      </c>
      <c r="T46" s="21">
        <v>1</v>
      </c>
      <c r="U46" s="22">
        <f t="shared" si="23"/>
        <v>28105</v>
      </c>
      <c r="V46" s="19" t="str">
        <f t="shared" si="24"/>
        <v>6DC9</v>
      </c>
      <c r="W46" s="7"/>
      <c r="X46" s="23">
        <v>27674</v>
      </c>
      <c r="Y46" s="19" t="str">
        <f t="shared" si="20"/>
        <v>6C1A</v>
      </c>
      <c r="Z46" s="18">
        <f t="shared" si="25"/>
        <v>0</v>
      </c>
      <c r="AA46" s="18">
        <f t="shared" si="25"/>
        <v>0</v>
      </c>
      <c r="AB46" s="18">
        <f t="shared" si="25"/>
        <v>0</v>
      </c>
      <c r="AC46" s="18">
        <f t="shared" si="25"/>
        <v>0</v>
      </c>
      <c r="AD46" s="18">
        <f t="shared" si="25"/>
        <v>1</v>
      </c>
      <c r="AE46" s="18">
        <f t="shared" si="25"/>
        <v>1</v>
      </c>
      <c r="AF46" s="18">
        <f t="shared" si="25"/>
        <v>0</v>
      </c>
      <c r="AG46" s="18">
        <f t="shared" si="25"/>
        <v>0</v>
      </c>
      <c r="AH46" s="18">
        <f t="shared" si="25"/>
        <v>0</v>
      </c>
      <c r="AI46" s="18">
        <f t="shared" si="25"/>
        <v>0</v>
      </c>
      <c r="AJ46" s="18">
        <f t="shared" si="25"/>
        <v>1</v>
      </c>
      <c r="AK46" s="18">
        <f t="shared" si="25"/>
        <v>1</v>
      </c>
      <c r="AL46" s="18">
        <f t="shared" si="25"/>
        <v>1</v>
      </c>
      <c r="AM46" s="18">
        <f t="shared" si="25"/>
        <v>1</v>
      </c>
      <c r="AN46" s="18">
        <f t="shared" si="25"/>
        <v>0</v>
      </c>
      <c r="AO46" s="18">
        <f t="shared" si="25"/>
        <v>1</v>
      </c>
      <c r="AQ46" s="28" t="str">
        <f t="shared" si="26"/>
        <v xml:space="preserve">    0x6DC9,  // alien</v>
      </c>
    </row>
    <row r="47" spans="1:43" ht="18.75" x14ac:dyDescent="0.3">
      <c r="A47" s="6"/>
      <c r="B47" s="16">
        <v>25</v>
      </c>
      <c r="C47" s="19" t="str">
        <f t="shared" si="22"/>
        <v>19</v>
      </c>
      <c r="D47" s="24" t="s">
        <v>71</v>
      </c>
      <c r="E47" s="21">
        <v>0</v>
      </c>
      <c r="F47" s="21">
        <v>0</v>
      </c>
      <c r="G47" s="21">
        <v>1</v>
      </c>
      <c r="H47" s="21">
        <v>0</v>
      </c>
      <c r="I47" s="21">
        <v>1</v>
      </c>
      <c r="J47" s="21">
        <v>1</v>
      </c>
      <c r="K47" s="21">
        <v>0</v>
      </c>
      <c r="L47" s="21">
        <v>1</v>
      </c>
      <c r="M47" s="21">
        <v>0</v>
      </c>
      <c r="N47" s="21">
        <v>0</v>
      </c>
      <c r="O47" s="21">
        <v>1</v>
      </c>
      <c r="P47" s="21">
        <v>1</v>
      </c>
      <c r="Q47" s="21">
        <v>1</v>
      </c>
      <c r="R47" s="21">
        <v>1</v>
      </c>
      <c r="S47" s="21">
        <v>0</v>
      </c>
      <c r="T47" s="21">
        <v>1</v>
      </c>
      <c r="U47" s="22">
        <f t="shared" si="23"/>
        <v>27739</v>
      </c>
      <c r="V47" s="19" t="str">
        <f t="shared" si="24"/>
        <v>6C5B</v>
      </c>
      <c r="W47" s="7"/>
      <c r="X47" s="23">
        <v>28040</v>
      </c>
      <c r="Y47" s="19" t="str">
        <f t="shared" si="20"/>
        <v>6D88</v>
      </c>
      <c r="Z47" s="18">
        <f t="shared" si="25"/>
        <v>0</v>
      </c>
      <c r="AA47" s="18">
        <f t="shared" si="25"/>
        <v>0</v>
      </c>
      <c r="AB47" s="18">
        <f t="shared" si="25"/>
        <v>0</v>
      </c>
      <c r="AC47" s="18">
        <f t="shared" si="25"/>
        <v>0</v>
      </c>
      <c r="AD47" s="18">
        <f t="shared" si="25"/>
        <v>1</v>
      </c>
      <c r="AE47" s="18">
        <f t="shared" si="25"/>
        <v>1</v>
      </c>
      <c r="AF47" s="18">
        <f t="shared" si="25"/>
        <v>0</v>
      </c>
      <c r="AG47" s="18">
        <f t="shared" si="25"/>
        <v>0</v>
      </c>
      <c r="AH47" s="18">
        <f t="shared" si="25"/>
        <v>1</v>
      </c>
      <c r="AI47" s="18">
        <f t="shared" si="25"/>
        <v>1</v>
      </c>
      <c r="AJ47" s="18">
        <f t="shared" si="25"/>
        <v>0</v>
      </c>
      <c r="AK47" s="18">
        <f t="shared" si="25"/>
        <v>1</v>
      </c>
      <c r="AL47" s="18">
        <f t="shared" si="25"/>
        <v>0</v>
      </c>
      <c r="AM47" s="18">
        <f t="shared" si="25"/>
        <v>1</v>
      </c>
      <c r="AN47" s="18">
        <f t="shared" si="25"/>
        <v>0</v>
      </c>
      <c r="AO47" s="18">
        <f t="shared" si="25"/>
        <v>1</v>
      </c>
      <c r="AQ47" s="28" t="str">
        <f t="shared" si="26"/>
        <v xml:space="preserve">    0x6C5B,  // alien</v>
      </c>
    </row>
    <row r="48" spans="1:43" ht="18.75" x14ac:dyDescent="0.3">
      <c r="A48" s="6"/>
      <c r="B48" s="16">
        <v>26</v>
      </c>
      <c r="C48" s="19" t="str">
        <f t="shared" si="22"/>
        <v>1A</v>
      </c>
      <c r="D48" s="24" t="s">
        <v>71</v>
      </c>
      <c r="E48" s="21">
        <v>0</v>
      </c>
      <c r="F48" s="21">
        <v>0</v>
      </c>
      <c r="G48" s="21">
        <v>1</v>
      </c>
      <c r="H48" s="21">
        <v>0</v>
      </c>
      <c r="I48" s="21">
        <v>1</v>
      </c>
      <c r="J48" s="21">
        <v>1</v>
      </c>
      <c r="K48" s="21">
        <v>0</v>
      </c>
      <c r="L48" s="21">
        <v>1</v>
      </c>
      <c r="M48" s="21">
        <v>1</v>
      </c>
      <c r="N48" s="21">
        <v>1</v>
      </c>
      <c r="O48" s="21">
        <v>1</v>
      </c>
      <c r="P48" s="21">
        <v>0</v>
      </c>
      <c r="Q48" s="21">
        <v>1</v>
      </c>
      <c r="R48" s="21">
        <v>1</v>
      </c>
      <c r="S48" s="21">
        <v>0</v>
      </c>
      <c r="T48" s="21">
        <v>1</v>
      </c>
      <c r="U48" s="22">
        <f t="shared" si="23"/>
        <v>28115</v>
      </c>
      <c r="V48" s="19" t="str">
        <f t="shared" si="24"/>
        <v>6DD3</v>
      </c>
      <c r="W48" s="7"/>
      <c r="X48" s="23">
        <v>28105</v>
      </c>
      <c r="Y48" s="19" t="str">
        <f t="shared" si="20"/>
        <v>6DC9</v>
      </c>
      <c r="Z48" s="18">
        <f t="shared" si="25"/>
        <v>0</v>
      </c>
      <c r="AA48" s="18">
        <f t="shared" si="25"/>
        <v>0</v>
      </c>
      <c r="AB48" s="18">
        <f t="shared" si="25"/>
        <v>1</v>
      </c>
      <c r="AC48" s="18">
        <f t="shared" si="25"/>
        <v>0</v>
      </c>
      <c r="AD48" s="18">
        <f t="shared" si="25"/>
        <v>1</v>
      </c>
      <c r="AE48" s="18">
        <f t="shared" si="25"/>
        <v>1</v>
      </c>
      <c r="AF48" s="18">
        <f t="shared" si="25"/>
        <v>0</v>
      </c>
      <c r="AG48" s="18">
        <f t="shared" si="25"/>
        <v>1</v>
      </c>
      <c r="AH48" s="18">
        <f t="shared" si="25"/>
        <v>1</v>
      </c>
      <c r="AI48" s="18">
        <f t="shared" si="25"/>
        <v>1</v>
      </c>
      <c r="AJ48" s="18">
        <f t="shared" si="25"/>
        <v>0</v>
      </c>
      <c r="AK48" s="18">
        <f t="shared" si="25"/>
        <v>1</v>
      </c>
      <c r="AL48" s="18">
        <f t="shared" si="25"/>
        <v>0</v>
      </c>
      <c r="AM48" s="18">
        <f t="shared" si="25"/>
        <v>1</v>
      </c>
      <c r="AN48" s="18">
        <f t="shared" si="25"/>
        <v>0</v>
      </c>
      <c r="AO48" s="18">
        <f t="shared" si="25"/>
        <v>1</v>
      </c>
      <c r="AQ48" s="28" t="str">
        <f t="shared" si="26"/>
        <v xml:space="preserve">    0x6DD3,  // alien</v>
      </c>
    </row>
    <row r="49" spans="1:43" ht="18.75" x14ac:dyDescent="0.3">
      <c r="A49" s="6"/>
      <c r="B49" s="16">
        <v>27</v>
      </c>
      <c r="C49" s="19" t="str">
        <f t="shared" si="22"/>
        <v>1B</v>
      </c>
      <c r="D49" s="24" t="s">
        <v>71</v>
      </c>
      <c r="E49" s="21">
        <v>1</v>
      </c>
      <c r="F49" s="21">
        <v>1</v>
      </c>
      <c r="G49" s="21">
        <v>0</v>
      </c>
      <c r="H49" s="21">
        <v>1</v>
      </c>
      <c r="I49" s="21">
        <v>0</v>
      </c>
      <c r="J49" s="21">
        <v>0</v>
      </c>
      <c r="K49" s="21">
        <v>1</v>
      </c>
      <c r="L49" s="21">
        <v>0</v>
      </c>
      <c r="M49" s="21">
        <v>1</v>
      </c>
      <c r="N49" s="21">
        <v>1</v>
      </c>
      <c r="O49" s="21">
        <v>1</v>
      </c>
      <c r="P49" s="21">
        <v>0</v>
      </c>
      <c r="Q49" s="21">
        <v>1</v>
      </c>
      <c r="R49" s="21">
        <v>1</v>
      </c>
      <c r="S49" s="21">
        <v>0</v>
      </c>
      <c r="T49" s="21">
        <v>1</v>
      </c>
      <c r="U49" s="22">
        <f t="shared" si="23"/>
        <v>52150</v>
      </c>
      <c r="V49" s="19" t="str">
        <f t="shared" si="24"/>
        <v>CBB6</v>
      </c>
      <c r="W49" s="7"/>
      <c r="X49" s="23">
        <v>27739</v>
      </c>
      <c r="Y49" s="19" t="str">
        <f t="shared" si="20"/>
        <v>6C5B</v>
      </c>
      <c r="Z49" s="18">
        <f t="shared" si="25"/>
        <v>0</v>
      </c>
      <c r="AA49" s="18">
        <f t="shared" si="25"/>
        <v>0</v>
      </c>
      <c r="AB49" s="18">
        <f t="shared" si="25"/>
        <v>1</v>
      </c>
      <c r="AC49" s="18">
        <f t="shared" si="25"/>
        <v>0</v>
      </c>
      <c r="AD49" s="18">
        <f t="shared" si="25"/>
        <v>1</v>
      </c>
      <c r="AE49" s="18">
        <f t="shared" si="25"/>
        <v>1</v>
      </c>
      <c r="AF49" s="18">
        <f t="shared" si="25"/>
        <v>0</v>
      </c>
      <c r="AG49" s="18">
        <f t="shared" si="25"/>
        <v>1</v>
      </c>
      <c r="AH49" s="18">
        <f t="shared" si="25"/>
        <v>0</v>
      </c>
      <c r="AI49" s="18">
        <f t="shared" si="25"/>
        <v>0</v>
      </c>
      <c r="AJ49" s="18">
        <f t="shared" si="25"/>
        <v>1</v>
      </c>
      <c r="AK49" s="18">
        <f t="shared" si="25"/>
        <v>1</v>
      </c>
      <c r="AL49" s="18">
        <f t="shared" si="25"/>
        <v>1</v>
      </c>
      <c r="AM49" s="18">
        <f t="shared" si="25"/>
        <v>1</v>
      </c>
      <c r="AN49" s="18">
        <f t="shared" si="25"/>
        <v>0</v>
      </c>
      <c r="AO49" s="18">
        <f t="shared" si="25"/>
        <v>1</v>
      </c>
      <c r="AQ49" s="28" t="str">
        <f t="shared" si="26"/>
        <v xml:space="preserve">    0xCBB6,  // alien</v>
      </c>
    </row>
    <row r="50" spans="1:43" ht="18.75" x14ac:dyDescent="0.3">
      <c r="A50" s="6"/>
      <c r="B50" s="16">
        <v>28</v>
      </c>
      <c r="C50" s="19" t="str">
        <f t="shared" si="22"/>
        <v>1C</v>
      </c>
      <c r="D50" s="24" t="s">
        <v>181</v>
      </c>
      <c r="E50" s="21">
        <v>0</v>
      </c>
      <c r="F50" s="21">
        <v>1</v>
      </c>
      <c r="G50" s="21">
        <v>1</v>
      </c>
      <c r="H50" s="21">
        <v>0</v>
      </c>
      <c r="I50" s="21">
        <v>0</v>
      </c>
      <c r="J50" s="21">
        <v>0</v>
      </c>
      <c r="K50" s="21">
        <v>0</v>
      </c>
      <c r="L50" s="21">
        <v>0</v>
      </c>
      <c r="M50" s="21">
        <v>0</v>
      </c>
      <c r="N50" s="21">
        <v>0</v>
      </c>
      <c r="O50" s="21">
        <v>0</v>
      </c>
      <c r="P50" s="21">
        <v>0</v>
      </c>
      <c r="Q50" s="21">
        <v>1</v>
      </c>
      <c r="R50" s="21">
        <v>0</v>
      </c>
      <c r="S50" s="21">
        <v>0</v>
      </c>
      <c r="T50" s="21">
        <v>1</v>
      </c>
      <c r="U50" s="22">
        <f t="shared" si="23"/>
        <v>2160</v>
      </c>
      <c r="V50" s="19" t="str">
        <f t="shared" si="24"/>
        <v>0870</v>
      </c>
      <c r="W50" s="7"/>
      <c r="X50" s="23">
        <v>4534</v>
      </c>
      <c r="Y50" s="19" t="str">
        <f t="shared" si="20"/>
        <v>11B6</v>
      </c>
      <c r="Z50" s="18">
        <f t="shared" si="25"/>
        <v>1</v>
      </c>
      <c r="AA50" s="18">
        <f t="shared" si="25"/>
        <v>1</v>
      </c>
      <c r="AB50" s="18">
        <f t="shared" si="25"/>
        <v>0</v>
      </c>
      <c r="AC50" s="18">
        <f t="shared" si="25"/>
        <v>0</v>
      </c>
      <c r="AD50" s="18">
        <f t="shared" si="25"/>
        <v>0</v>
      </c>
      <c r="AE50" s="18">
        <f t="shared" si="25"/>
        <v>0</v>
      </c>
      <c r="AF50" s="18">
        <f t="shared" si="25"/>
        <v>0</v>
      </c>
      <c r="AG50" s="18">
        <f t="shared" si="25"/>
        <v>0</v>
      </c>
      <c r="AH50" s="18">
        <f t="shared" si="25"/>
        <v>1</v>
      </c>
      <c r="AI50" s="18">
        <f t="shared" si="25"/>
        <v>1</v>
      </c>
      <c r="AJ50" s="18">
        <f t="shared" si="25"/>
        <v>1</v>
      </c>
      <c r="AK50" s="18">
        <f t="shared" si="25"/>
        <v>0</v>
      </c>
      <c r="AL50" s="18">
        <f t="shared" si="25"/>
        <v>1</v>
      </c>
      <c r="AM50" s="18">
        <f t="shared" si="25"/>
        <v>0</v>
      </c>
      <c r="AN50" s="18">
        <f t="shared" si="25"/>
        <v>1</v>
      </c>
      <c r="AO50" s="18">
        <f t="shared" si="25"/>
        <v>0</v>
      </c>
      <c r="AQ50" s="28" t="str">
        <f t="shared" si="26"/>
        <v xml:space="preserve">    0x0870,  // arrow</v>
      </c>
    </row>
    <row r="51" spans="1:43" ht="18.75" x14ac:dyDescent="0.3">
      <c r="A51" s="6"/>
      <c r="B51" s="16">
        <v>29</v>
      </c>
      <c r="C51" s="19" t="str">
        <f t="shared" si="22"/>
        <v>1D</v>
      </c>
      <c r="D51" s="24" t="s">
        <v>181</v>
      </c>
      <c r="E51" s="21">
        <v>0</v>
      </c>
      <c r="F51" s="21">
        <v>0</v>
      </c>
      <c r="G51" s="21">
        <v>0</v>
      </c>
      <c r="H51" s="21">
        <v>1</v>
      </c>
      <c r="I51" s="21">
        <v>0</v>
      </c>
      <c r="J51" s="21">
        <v>1</v>
      </c>
      <c r="K51" s="21">
        <v>0</v>
      </c>
      <c r="L51" s="21">
        <v>0</v>
      </c>
      <c r="M51" s="21">
        <v>0</v>
      </c>
      <c r="N51" s="21">
        <v>0</v>
      </c>
      <c r="O51" s="21">
        <v>1</v>
      </c>
      <c r="P51" s="21">
        <v>0</v>
      </c>
      <c r="Q51" s="21">
        <v>0</v>
      </c>
      <c r="R51" s="21">
        <v>1</v>
      </c>
      <c r="S51" s="21">
        <v>0</v>
      </c>
      <c r="T51" s="21">
        <v>0</v>
      </c>
      <c r="U51" s="22">
        <f t="shared" si="23"/>
        <v>57346</v>
      </c>
      <c r="V51" s="19" t="str">
        <f t="shared" si="24"/>
        <v>E002</v>
      </c>
      <c r="W51" s="7"/>
      <c r="X51" s="23">
        <v>6000</v>
      </c>
      <c r="Y51" s="19" t="str">
        <f t="shared" si="20"/>
        <v>1770</v>
      </c>
      <c r="Z51" s="18">
        <f t="shared" si="25"/>
        <v>0</v>
      </c>
      <c r="AA51" s="18">
        <f t="shared" si="25"/>
        <v>1</v>
      </c>
      <c r="AB51" s="18">
        <f t="shared" si="25"/>
        <v>1</v>
      </c>
      <c r="AC51" s="18">
        <f t="shared" si="25"/>
        <v>0</v>
      </c>
      <c r="AD51" s="18">
        <f t="shared" si="25"/>
        <v>1</v>
      </c>
      <c r="AE51" s="18">
        <f t="shared" si="25"/>
        <v>0</v>
      </c>
      <c r="AF51" s="18">
        <f t="shared" si="25"/>
        <v>1</v>
      </c>
      <c r="AG51" s="18">
        <f t="shared" si="25"/>
        <v>0</v>
      </c>
      <c r="AH51" s="18">
        <f t="shared" si="25"/>
        <v>1</v>
      </c>
      <c r="AI51" s="18">
        <f t="shared" si="25"/>
        <v>0</v>
      </c>
      <c r="AJ51" s="18">
        <f t="shared" si="25"/>
        <v>0</v>
      </c>
      <c r="AK51" s="18">
        <f t="shared" si="25"/>
        <v>0</v>
      </c>
      <c r="AL51" s="18">
        <f t="shared" si="25"/>
        <v>1</v>
      </c>
      <c r="AM51" s="18">
        <f t="shared" si="25"/>
        <v>0</v>
      </c>
      <c r="AN51" s="18">
        <f t="shared" si="25"/>
        <v>1</v>
      </c>
      <c r="AO51" s="18">
        <f t="shared" si="25"/>
        <v>0</v>
      </c>
      <c r="AQ51" s="28" t="str">
        <f t="shared" si="26"/>
        <v xml:space="preserve">    0xE002,  // arrow</v>
      </c>
    </row>
    <row r="52" spans="1:43" ht="18.75" x14ac:dyDescent="0.3">
      <c r="A52" s="6"/>
      <c r="B52" s="16">
        <v>30</v>
      </c>
      <c r="C52" s="19" t="str">
        <f t="shared" si="22"/>
        <v>1E</v>
      </c>
      <c r="D52" s="24" t="s">
        <v>181</v>
      </c>
      <c r="E52" s="21">
        <v>0</v>
      </c>
      <c r="F52" s="21">
        <v>0</v>
      </c>
      <c r="G52" s="21">
        <v>0</v>
      </c>
      <c r="H52" s="21">
        <v>0</v>
      </c>
      <c r="I52" s="21">
        <v>1</v>
      </c>
      <c r="J52" s="21">
        <v>0</v>
      </c>
      <c r="K52" s="21">
        <v>1</v>
      </c>
      <c r="L52" s="21">
        <v>0</v>
      </c>
      <c r="M52" s="21">
        <v>0</v>
      </c>
      <c r="N52" s="21">
        <v>0</v>
      </c>
      <c r="O52" s="21">
        <v>0</v>
      </c>
      <c r="P52" s="21">
        <v>0</v>
      </c>
      <c r="Q52" s="21">
        <v>1</v>
      </c>
      <c r="R52" s="21">
        <v>0</v>
      </c>
      <c r="S52" s="21">
        <v>0</v>
      </c>
      <c r="T52" s="21">
        <v>1</v>
      </c>
      <c r="U52" s="22">
        <f t="shared" si="23"/>
        <v>3600</v>
      </c>
      <c r="V52" s="19" t="str">
        <f t="shared" si="24"/>
        <v>0E10</v>
      </c>
      <c r="W52" s="7"/>
      <c r="X52" s="23">
        <v>20877</v>
      </c>
      <c r="Y52" s="19" t="str">
        <f t="shared" si="20"/>
        <v>518D</v>
      </c>
      <c r="Z52" s="18">
        <f t="shared" si="25"/>
        <v>1</v>
      </c>
      <c r="AA52" s="18">
        <f t="shared" si="25"/>
        <v>0</v>
      </c>
      <c r="AB52" s="18">
        <f t="shared" si="25"/>
        <v>0</v>
      </c>
      <c r="AC52" s="18">
        <f t="shared" si="25"/>
        <v>0</v>
      </c>
      <c r="AD52" s="18">
        <f t="shared" si="25"/>
        <v>0</v>
      </c>
      <c r="AE52" s="18">
        <f t="shared" si="25"/>
        <v>0</v>
      </c>
      <c r="AF52" s="18">
        <f t="shared" si="25"/>
        <v>0</v>
      </c>
      <c r="AG52" s="18">
        <f t="shared" si="25"/>
        <v>1</v>
      </c>
      <c r="AH52" s="18">
        <f t="shared" si="25"/>
        <v>1</v>
      </c>
      <c r="AI52" s="18">
        <f t="shared" si="25"/>
        <v>1</v>
      </c>
      <c r="AJ52" s="18">
        <f t="shared" si="25"/>
        <v>0</v>
      </c>
      <c r="AK52" s="18">
        <f t="shared" si="25"/>
        <v>1</v>
      </c>
      <c r="AL52" s="18">
        <f t="shared" si="25"/>
        <v>0</v>
      </c>
      <c r="AM52" s="18">
        <f t="shared" si="25"/>
        <v>1</v>
      </c>
      <c r="AN52" s="18">
        <f t="shared" si="25"/>
        <v>1</v>
      </c>
      <c r="AO52" s="18">
        <f t="shared" si="25"/>
        <v>0</v>
      </c>
      <c r="AQ52" s="28" t="str">
        <f t="shared" si="26"/>
        <v xml:space="preserve">    0x0E10,  // arrow</v>
      </c>
    </row>
    <row r="53" spans="1:43" ht="18.75" x14ac:dyDescent="0.3">
      <c r="A53" s="6"/>
      <c r="B53" s="16">
        <v>31</v>
      </c>
      <c r="C53" s="19" t="str">
        <f t="shared" si="22"/>
        <v>1F</v>
      </c>
      <c r="D53" s="24" t="s">
        <v>181</v>
      </c>
      <c r="E53" s="21">
        <v>1</v>
      </c>
      <c r="F53" s="21">
        <v>0</v>
      </c>
      <c r="G53" s="21">
        <v>0</v>
      </c>
      <c r="H53" s="21">
        <v>0</v>
      </c>
      <c r="I53" s="21">
        <v>0</v>
      </c>
      <c r="J53" s="21">
        <v>0</v>
      </c>
      <c r="K53" s="21">
        <v>0</v>
      </c>
      <c r="L53" s="21">
        <v>1</v>
      </c>
      <c r="M53" s="21">
        <v>0</v>
      </c>
      <c r="N53" s="21">
        <v>0</v>
      </c>
      <c r="O53" s="21">
        <v>1</v>
      </c>
      <c r="P53" s="21">
        <v>0</v>
      </c>
      <c r="Q53" s="21">
        <v>0</v>
      </c>
      <c r="R53" s="21">
        <v>1</v>
      </c>
      <c r="S53" s="21">
        <v>0</v>
      </c>
      <c r="T53" s="21">
        <v>0</v>
      </c>
      <c r="U53" s="22">
        <f t="shared" si="23"/>
        <v>16391</v>
      </c>
      <c r="V53" s="19" t="str">
        <f t="shared" si="24"/>
        <v>4007</v>
      </c>
      <c r="W53" s="7"/>
      <c r="X53" s="23">
        <v>13260</v>
      </c>
      <c r="Y53" s="19" t="str">
        <f t="shared" si="20"/>
        <v>33CC</v>
      </c>
      <c r="Z53" s="18">
        <f t="shared" ref="Z53:AO68" si="27">IF(_xlfn.BITAND($X53,Z$19)=0,0,1)</f>
        <v>1</v>
      </c>
      <c r="AA53" s="18">
        <f t="shared" si="27"/>
        <v>0</v>
      </c>
      <c r="AB53" s="18">
        <f t="shared" si="27"/>
        <v>1</v>
      </c>
      <c r="AC53" s="18">
        <f t="shared" si="27"/>
        <v>0</v>
      </c>
      <c r="AD53" s="18">
        <f t="shared" si="27"/>
        <v>0</v>
      </c>
      <c r="AE53" s="18">
        <f t="shared" si="27"/>
        <v>1</v>
      </c>
      <c r="AF53" s="18">
        <f t="shared" si="27"/>
        <v>1</v>
      </c>
      <c r="AG53" s="18">
        <f t="shared" si="27"/>
        <v>0</v>
      </c>
      <c r="AH53" s="18">
        <f t="shared" si="27"/>
        <v>1</v>
      </c>
      <c r="AI53" s="18">
        <f t="shared" si="27"/>
        <v>1</v>
      </c>
      <c r="AJ53" s="18">
        <f t="shared" si="27"/>
        <v>0</v>
      </c>
      <c r="AK53" s="18">
        <f t="shared" si="27"/>
        <v>1</v>
      </c>
      <c r="AL53" s="18">
        <f t="shared" si="27"/>
        <v>0</v>
      </c>
      <c r="AM53" s="18">
        <f t="shared" si="27"/>
        <v>0</v>
      </c>
      <c r="AN53" s="18">
        <f t="shared" si="27"/>
        <v>1</v>
      </c>
      <c r="AO53" s="18">
        <f t="shared" si="27"/>
        <v>0</v>
      </c>
      <c r="AQ53" s="28" t="str">
        <f t="shared" si="26"/>
        <v xml:space="preserve">    0x4007,  // arrow</v>
      </c>
    </row>
    <row r="54" spans="1:43" ht="18.75" x14ac:dyDescent="0.3">
      <c r="A54" s="6"/>
      <c r="B54" s="16">
        <v>32</v>
      </c>
      <c r="C54" s="19" t="str">
        <f t="shared" si="22"/>
        <v>20</v>
      </c>
      <c r="D54" s="24" t="s">
        <v>169</v>
      </c>
      <c r="E54" s="21">
        <v>0</v>
      </c>
      <c r="F54" s="21">
        <v>0</v>
      </c>
      <c r="G54" s="21">
        <v>0</v>
      </c>
      <c r="H54" s="21">
        <v>0</v>
      </c>
      <c r="I54" s="21">
        <v>0</v>
      </c>
      <c r="J54" s="21">
        <v>0</v>
      </c>
      <c r="K54" s="21">
        <v>0</v>
      </c>
      <c r="L54" s="21">
        <v>0</v>
      </c>
      <c r="M54" s="21">
        <v>0</v>
      </c>
      <c r="N54" s="21">
        <v>0</v>
      </c>
      <c r="O54" s="21">
        <v>0</v>
      </c>
      <c r="P54" s="21">
        <v>0</v>
      </c>
      <c r="Q54" s="21">
        <v>0</v>
      </c>
      <c r="R54" s="21">
        <v>0</v>
      </c>
      <c r="S54" s="21">
        <v>0</v>
      </c>
      <c r="T54" s="21">
        <v>0</v>
      </c>
      <c r="U54" s="22">
        <f t="shared" si="23"/>
        <v>0</v>
      </c>
      <c r="V54" s="19" t="str">
        <f t="shared" si="24"/>
        <v>0000</v>
      </c>
      <c r="W54" s="7"/>
      <c r="X54" s="23">
        <v>0</v>
      </c>
      <c r="Y54" s="19" t="str">
        <f t="shared" si="20"/>
        <v>0000</v>
      </c>
      <c r="Z54" s="18">
        <f t="shared" si="27"/>
        <v>0</v>
      </c>
      <c r="AA54" s="18">
        <f t="shared" si="27"/>
        <v>0</v>
      </c>
      <c r="AB54" s="18">
        <f t="shared" si="27"/>
        <v>0</v>
      </c>
      <c r="AC54" s="18">
        <f t="shared" si="27"/>
        <v>0</v>
      </c>
      <c r="AD54" s="18">
        <f t="shared" si="27"/>
        <v>0</v>
      </c>
      <c r="AE54" s="18">
        <f t="shared" si="27"/>
        <v>0</v>
      </c>
      <c r="AF54" s="18">
        <f t="shared" si="27"/>
        <v>0</v>
      </c>
      <c r="AG54" s="18">
        <f t="shared" si="27"/>
        <v>0</v>
      </c>
      <c r="AH54" s="18">
        <f t="shared" si="27"/>
        <v>0</v>
      </c>
      <c r="AI54" s="18">
        <f t="shared" si="27"/>
        <v>0</v>
      </c>
      <c r="AJ54" s="18">
        <f t="shared" si="27"/>
        <v>0</v>
      </c>
      <c r="AK54" s="18">
        <f t="shared" si="27"/>
        <v>0</v>
      </c>
      <c r="AL54" s="18">
        <f t="shared" si="27"/>
        <v>0</v>
      </c>
      <c r="AM54" s="18">
        <f t="shared" si="27"/>
        <v>0</v>
      </c>
      <c r="AN54" s="18">
        <f t="shared" si="27"/>
        <v>0</v>
      </c>
      <c r="AO54" s="18">
        <f t="shared" si="27"/>
        <v>0</v>
      </c>
      <c r="AQ54" s="28" t="str">
        <f t="shared" si="26"/>
        <v xml:space="preserve">    0x0000,  // &lt;space&gt;</v>
      </c>
    </row>
    <row r="55" spans="1:43" ht="18.75" x14ac:dyDescent="0.3">
      <c r="A55" s="6"/>
      <c r="B55" s="16">
        <v>33</v>
      </c>
      <c r="C55" s="19" t="str">
        <f t="shared" si="22"/>
        <v>21</v>
      </c>
      <c r="D55" s="20" t="str">
        <f t="shared" ref="D55:D86" si="28">CHAR(B55)</f>
        <v>!</v>
      </c>
      <c r="E55" s="21">
        <v>0</v>
      </c>
      <c r="F55" s="21">
        <v>0</v>
      </c>
      <c r="G55" s="21">
        <v>0</v>
      </c>
      <c r="H55" s="21">
        <v>0</v>
      </c>
      <c r="I55" s="21">
        <v>1</v>
      </c>
      <c r="J55" s="21">
        <v>0</v>
      </c>
      <c r="K55" s="21">
        <v>0</v>
      </c>
      <c r="L55" s="21">
        <v>0</v>
      </c>
      <c r="M55" s="21">
        <v>0</v>
      </c>
      <c r="N55" s="21">
        <v>0</v>
      </c>
      <c r="O55" s="21">
        <v>0</v>
      </c>
      <c r="P55" s="21">
        <v>0</v>
      </c>
      <c r="Q55" s="21">
        <v>1</v>
      </c>
      <c r="R55" s="21">
        <v>0</v>
      </c>
      <c r="S55" s="21">
        <v>0</v>
      </c>
      <c r="T55" s="21">
        <v>0</v>
      </c>
      <c r="U55" s="22">
        <f t="shared" si="23"/>
        <v>1040</v>
      </c>
      <c r="V55" s="19" t="str">
        <f t="shared" si="24"/>
        <v>0410</v>
      </c>
      <c r="W55" s="7"/>
      <c r="X55" s="23">
        <v>1040</v>
      </c>
      <c r="Y55" s="19" t="str">
        <f t="shared" si="20"/>
        <v>0410</v>
      </c>
      <c r="Z55" s="18">
        <f t="shared" si="27"/>
        <v>0</v>
      </c>
      <c r="AA55" s="18">
        <f t="shared" si="27"/>
        <v>0</v>
      </c>
      <c r="AB55" s="18">
        <f t="shared" si="27"/>
        <v>0</v>
      </c>
      <c r="AC55" s="18">
        <f t="shared" si="27"/>
        <v>0</v>
      </c>
      <c r="AD55" s="18">
        <f t="shared" si="27"/>
        <v>1</v>
      </c>
      <c r="AE55" s="18">
        <f t="shared" si="27"/>
        <v>0</v>
      </c>
      <c r="AF55" s="18">
        <f t="shared" si="27"/>
        <v>0</v>
      </c>
      <c r="AG55" s="18">
        <f t="shared" si="27"/>
        <v>0</v>
      </c>
      <c r="AH55" s="18">
        <f t="shared" si="27"/>
        <v>0</v>
      </c>
      <c r="AI55" s="18">
        <f t="shared" si="27"/>
        <v>0</v>
      </c>
      <c r="AJ55" s="18">
        <f t="shared" si="27"/>
        <v>0</v>
      </c>
      <c r="AK55" s="18">
        <f t="shared" si="27"/>
        <v>0</v>
      </c>
      <c r="AL55" s="18">
        <f t="shared" si="27"/>
        <v>1</v>
      </c>
      <c r="AM55" s="18">
        <f t="shared" si="27"/>
        <v>0</v>
      </c>
      <c r="AN55" s="18">
        <f t="shared" si="27"/>
        <v>0</v>
      </c>
      <c r="AO55" s="18">
        <f t="shared" si="27"/>
        <v>0</v>
      </c>
      <c r="AQ55" s="28" t="str">
        <f t="shared" si="26"/>
        <v xml:space="preserve">    0x0410,  // !</v>
      </c>
    </row>
    <row r="56" spans="1:43" ht="18.75" x14ac:dyDescent="0.3">
      <c r="A56" s="6"/>
      <c r="B56" s="16">
        <v>34</v>
      </c>
      <c r="C56" s="19" t="str">
        <f t="shared" si="22"/>
        <v>22</v>
      </c>
      <c r="D56" s="20" t="str">
        <f t="shared" si="28"/>
        <v>"</v>
      </c>
      <c r="E56" s="21">
        <v>0</v>
      </c>
      <c r="F56" s="21">
        <v>0</v>
      </c>
      <c r="G56" s="21">
        <v>1</v>
      </c>
      <c r="H56" s="21">
        <v>0</v>
      </c>
      <c r="I56" s="21">
        <v>0</v>
      </c>
      <c r="J56" s="21">
        <v>0</v>
      </c>
      <c r="K56" s="21">
        <v>0</v>
      </c>
      <c r="L56" s="21">
        <v>0</v>
      </c>
      <c r="M56" s="21">
        <v>0</v>
      </c>
      <c r="N56" s="21">
        <v>0</v>
      </c>
      <c r="O56" s="21">
        <v>0</v>
      </c>
      <c r="P56" s="21">
        <v>1</v>
      </c>
      <c r="Q56" s="21">
        <v>0</v>
      </c>
      <c r="R56" s="21">
        <v>0</v>
      </c>
      <c r="S56" s="21">
        <v>0</v>
      </c>
      <c r="T56" s="21">
        <v>0</v>
      </c>
      <c r="U56" s="22">
        <f t="shared" si="23"/>
        <v>72</v>
      </c>
      <c r="V56" s="19" t="str">
        <f t="shared" si="24"/>
        <v>0048</v>
      </c>
      <c r="W56" s="7"/>
      <c r="X56" s="23">
        <v>72</v>
      </c>
      <c r="Y56" s="19" t="str">
        <f t="shared" si="20"/>
        <v>0048</v>
      </c>
      <c r="Z56" s="18">
        <f t="shared" si="27"/>
        <v>0</v>
      </c>
      <c r="AA56" s="18">
        <f t="shared" si="27"/>
        <v>0</v>
      </c>
      <c r="AB56" s="18">
        <f t="shared" si="27"/>
        <v>1</v>
      </c>
      <c r="AC56" s="18">
        <f t="shared" si="27"/>
        <v>0</v>
      </c>
      <c r="AD56" s="18">
        <f t="shared" si="27"/>
        <v>0</v>
      </c>
      <c r="AE56" s="18">
        <f t="shared" si="27"/>
        <v>0</v>
      </c>
      <c r="AF56" s="18">
        <f t="shared" si="27"/>
        <v>0</v>
      </c>
      <c r="AG56" s="18">
        <f t="shared" si="27"/>
        <v>0</v>
      </c>
      <c r="AH56" s="18">
        <f t="shared" si="27"/>
        <v>0</v>
      </c>
      <c r="AI56" s="18">
        <f t="shared" si="27"/>
        <v>0</v>
      </c>
      <c r="AJ56" s="18">
        <f t="shared" si="27"/>
        <v>0</v>
      </c>
      <c r="AK56" s="18">
        <f t="shared" si="27"/>
        <v>1</v>
      </c>
      <c r="AL56" s="18">
        <f t="shared" si="27"/>
        <v>0</v>
      </c>
      <c r="AM56" s="18">
        <f t="shared" si="27"/>
        <v>0</v>
      </c>
      <c r="AN56" s="18">
        <f t="shared" si="27"/>
        <v>0</v>
      </c>
      <c r="AO56" s="18">
        <f t="shared" si="27"/>
        <v>0</v>
      </c>
      <c r="AQ56" s="28" t="str">
        <f t="shared" si="26"/>
        <v xml:space="preserve">    0x0048,  // "</v>
      </c>
    </row>
    <row r="57" spans="1:43" ht="18.75" x14ac:dyDescent="0.3">
      <c r="A57" s="6"/>
      <c r="B57" s="16">
        <v>35</v>
      </c>
      <c r="C57" s="19" t="str">
        <f t="shared" si="22"/>
        <v>23</v>
      </c>
      <c r="D57" s="20" t="str">
        <f t="shared" si="28"/>
        <v>#</v>
      </c>
      <c r="E57" s="21">
        <v>0</v>
      </c>
      <c r="F57" s="21">
        <v>0</v>
      </c>
      <c r="G57" s="21">
        <v>1</v>
      </c>
      <c r="H57" s="21">
        <v>1</v>
      </c>
      <c r="I57" s="21">
        <v>1</v>
      </c>
      <c r="J57" s="21">
        <v>1</v>
      </c>
      <c r="K57" s="21">
        <v>0</v>
      </c>
      <c r="L57" s="21">
        <v>0</v>
      </c>
      <c r="M57" s="21">
        <v>1</v>
      </c>
      <c r="N57" s="21">
        <v>1</v>
      </c>
      <c r="O57" s="21">
        <v>0</v>
      </c>
      <c r="P57" s="21">
        <v>1</v>
      </c>
      <c r="Q57" s="21">
        <v>0</v>
      </c>
      <c r="R57" s="21">
        <v>0</v>
      </c>
      <c r="S57" s="21">
        <v>1</v>
      </c>
      <c r="T57" s="21">
        <v>0</v>
      </c>
      <c r="U57" s="22">
        <f t="shared" si="23"/>
        <v>46536</v>
      </c>
      <c r="V57" s="19" t="str">
        <f t="shared" si="24"/>
        <v>B5C8</v>
      </c>
      <c r="W57" s="7"/>
      <c r="X57" s="23">
        <v>46536</v>
      </c>
      <c r="Y57" s="19" t="str">
        <f t="shared" si="20"/>
        <v>B5C8</v>
      </c>
      <c r="Z57" s="18">
        <f t="shared" si="27"/>
        <v>0</v>
      </c>
      <c r="AA57" s="18">
        <f t="shared" si="27"/>
        <v>0</v>
      </c>
      <c r="AB57" s="18">
        <f t="shared" si="27"/>
        <v>1</v>
      </c>
      <c r="AC57" s="18">
        <f t="shared" si="27"/>
        <v>1</v>
      </c>
      <c r="AD57" s="18">
        <f t="shared" si="27"/>
        <v>1</v>
      </c>
      <c r="AE57" s="18">
        <f t="shared" si="27"/>
        <v>1</v>
      </c>
      <c r="AF57" s="18">
        <f t="shared" si="27"/>
        <v>0</v>
      </c>
      <c r="AG57" s="18">
        <f t="shared" si="27"/>
        <v>0</v>
      </c>
      <c r="AH57" s="18">
        <f t="shared" si="27"/>
        <v>1</v>
      </c>
      <c r="AI57" s="18">
        <f t="shared" si="27"/>
        <v>1</v>
      </c>
      <c r="AJ57" s="18">
        <f t="shared" si="27"/>
        <v>0</v>
      </c>
      <c r="AK57" s="18">
        <f t="shared" si="27"/>
        <v>1</v>
      </c>
      <c r="AL57" s="18">
        <f t="shared" si="27"/>
        <v>0</v>
      </c>
      <c r="AM57" s="18">
        <f t="shared" si="27"/>
        <v>0</v>
      </c>
      <c r="AN57" s="18">
        <f t="shared" si="27"/>
        <v>1</v>
      </c>
      <c r="AO57" s="18">
        <f t="shared" si="27"/>
        <v>0</v>
      </c>
      <c r="AQ57" s="28" t="str">
        <f t="shared" si="26"/>
        <v xml:space="preserve">    0xB5C8,  // #</v>
      </c>
    </row>
    <row r="58" spans="1:43" ht="18.75" x14ac:dyDescent="0.3">
      <c r="A58" s="6"/>
      <c r="B58" s="16">
        <v>36</v>
      </c>
      <c r="C58" s="19" t="str">
        <f t="shared" si="22"/>
        <v>24</v>
      </c>
      <c r="D58" s="20" t="str">
        <f t="shared" si="28"/>
        <v>$</v>
      </c>
      <c r="E58" s="21">
        <v>1</v>
      </c>
      <c r="F58" s="21">
        <v>1</v>
      </c>
      <c r="G58" s="21">
        <v>0</v>
      </c>
      <c r="H58" s="21">
        <v>1</v>
      </c>
      <c r="I58" s="21">
        <v>1</v>
      </c>
      <c r="J58" s="21">
        <v>1</v>
      </c>
      <c r="K58" s="21">
        <v>0</v>
      </c>
      <c r="L58" s="21">
        <v>1</v>
      </c>
      <c r="M58" s="21">
        <v>1</v>
      </c>
      <c r="N58" s="21">
        <v>1</v>
      </c>
      <c r="O58" s="21">
        <v>0</v>
      </c>
      <c r="P58" s="21">
        <v>1</v>
      </c>
      <c r="Q58" s="21">
        <v>0</v>
      </c>
      <c r="R58" s="21">
        <v>0</v>
      </c>
      <c r="S58" s="21">
        <v>1</v>
      </c>
      <c r="T58" s="21">
        <v>0</v>
      </c>
      <c r="U58" s="22">
        <f t="shared" si="23"/>
        <v>46509</v>
      </c>
      <c r="V58" s="19" t="str">
        <f t="shared" si="24"/>
        <v>B5AD</v>
      </c>
      <c r="W58" s="7"/>
      <c r="X58" s="23">
        <v>46509</v>
      </c>
      <c r="Y58" s="19" t="str">
        <f t="shared" si="20"/>
        <v>B5AD</v>
      </c>
      <c r="Z58" s="18">
        <f t="shared" si="27"/>
        <v>1</v>
      </c>
      <c r="AA58" s="18">
        <f t="shared" si="27"/>
        <v>1</v>
      </c>
      <c r="AB58" s="18">
        <f t="shared" si="27"/>
        <v>0</v>
      </c>
      <c r="AC58" s="18">
        <f t="shared" si="27"/>
        <v>1</v>
      </c>
      <c r="AD58" s="18">
        <f t="shared" si="27"/>
        <v>1</v>
      </c>
      <c r="AE58" s="18">
        <f t="shared" si="27"/>
        <v>1</v>
      </c>
      <c r="AF58" s="18">
        <f t="shared" si="27"/>
        <v>0</v>
      </c>
      <c r="AG58" s="18">
        <f t="shared" si="27"/>
        <v>1</v>
      </c>
      <c r="AH58" s="18">
        <f t="shared" si="27"/>
        <v>1</v>
      </c>
      <c r="AI58" s="18">
        <f t="shared" si="27"/>
        <v>1</v>
      </c>
      <c r="AJ58" s="18">
        <f t="shared" si="27"/>
        <v>0</v>
      </c>
      <c r="AK58" s="18">
        <f t="shared" si="27"/>
        <v>1</v>
      </c>
      <c r="AL58" s="18">
        <f t="shared" si="27"/>
        <v>0</v>
      </c>
      <c r="AM58" s="18">
        <f t="shared" si="27"/>
        <v>0</v>
      </c>
      <c r="AN58" s="18">
        <f t="shared" si="27"/>
        <v>1</v>
      </c>
      <c r="AO58" s="18">
        <f t="shared" si="27"/>
        <v>0</v>
      </c>
      <c r="AQ58" s="28" t="str">
        <f t="shared" si="26"/>
        <v xml:space="preserve">    0xB5AD,  // $</v>
      </c>
    </row>
    <row r="59" spans="1:43" ht="18.75" x14ac:dyDescent="0.3">
      <c r="A59" s="6"/>
      <c r="B59" s="16">
        <v>37</v>
      </c>
      <c r="C59" s="19" t="str">
        <f t="shared" si="22"/>
        <v>25</v>
      </c>
      <c r="D59" s="20" t="str">
        <f t="shared" si="28"/>
        <v>%</v>
      </c>
      <c r="E59" s="21">
        <v>1</v>
      </c>
      <c r="F59" s="21">
        <v>0</v>
      </c>
      <c r="G59" s="21">
        <v>0</v>
      </c>
      <c r="H59" s="21">
        <v>1</v>
      </c>
      <c r="I59" s="21">
        <v>0</v>
      </c>
      <c r="J59" s="21">
        <v>1</v>
      </c>
      <c r="K59" s="21">
        <v>0</v>
      </c>
      <c r="L59" s="21">
        <v>1</v>
      </c>
      <c r="M59" s="21">
        <v>1</v>
      </c>
      <c r="N59" s="21">
        <v>1</v>
      </c>
      <c r="O59" s="21">
        <v>0</v>
      </c>
      <c r="P59" s="21">
        <v>1</v>
      </c>
      <c r="Q59" s="21">
        <v>1</v>
      </c>
      <c r="R59" s="21">
        <v>0</v>
      </c>
      <c r="S59" s="21">
        <v>1</v>
      </c>
      <c r="T59" s="21">
        <v>1</v>
      </c>
      <c r="U59" s="22">
        <f t="shared" si="23"/>
        <v>47517</v>
      </c>
      <c r="V59" s="19" t="str">
        <f t="shared" si="24"/>
        <v>B99D</v>
      </c>
      <c r="W59" s="7"/>
      <c r="X59" s="23">
        <v>47517</v>
      </c>
      <c r="Y59" s="19" t="str">
        <f t="shared" si="20"/>
        <v>B99D</v>
      </c>
      <c r="Z59" s="18">
        <f t="shared" si="27"/>
        <v>1</v>
      </c>
      <c r="AA59" s="18">
        <f t="shared" si="27"/>
        <v>0</v>
      </c>
      <c r="AB59" s="18">
        <f t="shared" si="27"/>
        <v>0</v>
      </c>
      <c r="AC59" s="18">
        <f t="shared" si="27"/>
        <v>1</v>
      </c>
      <c r="AD59" s="18">
        <f t="shared" si="27"/>
        <v>0</v>
      </c>
      <c r="AE59" s="18">
        <f t="shared" si="27"/>
        <v>1</v>
      </c>
      <c r="AF59" s="18">
        <f t="shared" si="27"/>
        <v>0</v>
      </c>
      <c r="AG59" s="18">
        <f t="shared" si="27"/>
        <v>1</v>
      </c>
      <c r="AH59" s="18">
        <f t="shared" si="27"/>
        <v>1</v>
      </c>
      <c r="AI59" s="18">
        <f t="shared" si="27"/>
        <v>1</v>
      </c>
      <c r="AJ59" s="18">
        <f t="shared" si="27"/>
        <v>0</v>
      </c>
      <c r="AK59" s="18">
        <f t="shared" si="27"/>
        <v>1</v>
      </c>
      <c r="AL59" s="18">
        <f t="shared" si="27"/>
        <v>1</v>
      </c>
      <c r="AM59" s="18">
        <f t="shared" si="27"/>
        <v>0</v>
      </c>
      <c r="AN59" s="18">
        <f t="shared" si="27"/>
        <v>1</v>
      </c>
      <c r="AO59" s="18">
        <f t="shared" si="27"/>
        <v>1</v>
      </c>
      <c r="AQ59" s="28" t="str">
        <f t="shared" si="26"/>
        <v xml:space="preserve">    0xB99D,  // %</v>
      </c>
    </row>
    <row r="60" spans="1:43" ht="18.75" x14ac:dyDescent="0.3">
      <c r="A60" s="6"/>
      <c r="B60" s="16">
        <v>38</v>
      </c>
      <c r="C60" s="19" t="str">
        <f t="shared" si="22"/>
        <v>26</v>
      </c>
      <c r="D60" s="20" t="str">
        <f t="shared" si="28"/>
        <v>&amp;</v>
      </c>
      <c r="E60" s="21">
        <v>1</v>
      </c>
      <c r="F60" s="21">
        <v>1</v>
      </c>
      <c r="G60" s="21">
        <v>0</v>
      </c>
      <c r="H60" s="21">
        <v>1</v>
      </c>
      <c r="I60" s="21">
        <v>1</v>
      </c>
      <c r="J60" s="21">
        <v>1</v>
      </c>
      <c r="K60" s="21">
        <v>1</v>
      </c>
      <c r="L60" s="21">
        <v>0</v>
      </c>
      <c r="M60" s="21">
        <v>1</v>
      </c>
      <c r="N60" s="21">
        <v>0</v>
      </c>
      <c r="O60" s="21">
        <v>1</v>
      </c>
      <c r="P60" s="21">
        <v>0</v>
      </c>
      <c r="Q60" s="21">
        <v>1</v>
      </c>
      <c r="R60" s="21">
        <v>1</v>
      </c>
      <c r="S60" s="21">
        <v>0</v>
      </c>
      <c r="T60" s="21">
        <v>0</v>
      </c>
      <c r="U60" s="22">
        <f t="shared" si="23"/>
        <v>59190</v>
      </c>
      <c r="V60" s="19" t="str">
        <f t="shared" si="24"/>
        <v>E736</v>
      </c>
      <c r="W60" s="7"/>
      <c r="X60" s="23">
        <v>59190</v>
      </c>
      <c r="Y60" s="19" t="str">
        <f t="shared" si="20"/>
        <v>E736</v>
      </c>
      <c r="Z60" s="18">
        <f t="shared" si="27"/>
        <v>1</v>
      </c>
      <c r="AA60" s="18">
        <f t="shared" si="27"/>
        <v>1</v>
      </c>
      <c r="AB60" s="18">
        <f t="shared" si="27"/>
        <v>0</v>
      </c>
      <c r="AC60" s="18">
        <f t="shared" si="27"/>
        <v>1</v>
      </c>
      <c r="AD60" s="18">
        <f t="shared" si="27"/>
        <v>1</v>
      </c>
      <c r="AE60" s="18">
        <f t="shared" si="27"/>
        <v>1</v>
      </c>
      <c r="AF60" s="18">
        <f t="shared" si="27"/>
        <v>1</v>
      </c>
      <c r="AG60" s="18">
        <f t="shared" si="27"/>
        <v>0</v>
      </c>
      <c r="AH60" s="18">
        <f t="shared" si="27"/>
        <v>1</v>
      </c>
      <c r="AI60" s="18">
        <f t="shared" si="27"/>
        <v>0</v>
      </c>
      <c r="AJ60" s="18">
        <f t="shared" si="27"/>
        <v>1</v>
      </c>
      <c r="AK60" s="18">
        <f t="shared" si="27"/>
        <v>0</v>
      </c>
      <c r="AL60" s="18">
        <f t="shared" si="27"/>
        <v>1</v>
      </c>
      <c r="AM60" s="18">
        <f t="shared" si="27"/>
        <v>1</v>
      </c>
      <c r="AN60" s="18">
        <f t="shared" si="27"/>
        <v>0</v>
      </c>
      <c r="AO60" s="18">
        <f t="shared" si="27"/>
        <v>0</v>
      </c>
      <c r="AQ60" s="28" t="str">
        <f t="shared" si="26"/>
        <v xml:space="preserve">    0xE736,  // &amp;</v>
      </c>
    </row>
    <row r="61" spans="1:43" ht="18.75" x14ac:dyDescent="0.3">
      <c r="A61" s="6"/>
      <c r="B61" s="16">
        <v>39</v>
      </c>
      <c r="C61" s="19" t="str">
        <f t="shared" si="22"/>
        <v>27</v>
      </c>
      <c r="D61" s="20" t="str">
        <f t="shared" si="28"/>
        <v>'</v>
      </c>
      <c r="E61" s="21">
        <v>0</v>
      </c>
      <c r="F61" s="21">
        <v>0</v>
      </c>
      <c r="G61" s="21">
        <v>0</v>
      </c>
      <c r="H61" s="21">
        <v>0</v>
      </c>
      <c r="I61" s="21">
        <v>0</v>
      </c>
      <c r="J61" s="21">
        <v>0</v>
      </c>
      <c r="K61" s="21">
        <v>0</v>
      </c>
      <c r="L61" s="21">
        <v>0</v>
      </c>
      <c r="M61" s="21">
        <v>0</v>
      </c>
      <c r="N61" s="21">
        <v>0</v>
      </c>
      <c r="O61" s="21">
        <v>0</v>
      </c>
      <c r="P61" s="21">
        <v>0</v>
      </c>
      <c r="Q61" s="21">
        <v>1</v>
      </c>
      <c r="R61" s="21">
        <v>0</v>
      </c>
      <c r="S61" s="21">
        <v>0</v>
      </c>
      <c r="T61" s="21">
        <v>0</v>
      </c>
      <c r="U61" s="22">
        <f t="shared" si="23"/>
        <v>16</v>
      </c>
      <c r="V61" s="19" t="str">
        <f t="shared" si="24"/>
        <v>0010</v>
      </c>
      <c r="W61" s="7"/>
      <c r="X61" s="23">
        <v>16</v>
      </c>
      <c r="Y61" s="19" t="str">
        <f t="shared" si="20"/>
        <v>0010</v>
      </c>
      <c r="Z61" s="18">
        <f t="shared" si="27"/>
        <v>0</v>
      </c>
      <c r="AA61" s="18">
        <f t="shared" si="27"/>
        <v>0</v>
      </c>
      <c r="AB61" s="18">
        <f t="shared" si="27"/>
        <v>0</v>
      </c>
      <c r="AC61" s="18">
        <f t="shared" si="27"/>
        <v>0</v>
      </c>
      <c r="AD61" s="18">
        <f t="shared" si="27"/>
        <v>0</v>
      </c>
      <c r="AE61" s="18">
        <f t="shared" si="27"/>
        <v>0</v>
      </c>
      <c r="AF61" s="18">
        <f t="shared" si="27"/>
        <v>0</v>
      </c>
      <c r="AG61" s="18">
        <f t="shared" si="27"/>
        <v>0</v>
      </c>
      <c r="AH61" s="18">
        <f t="shared" si="27"/>
        <v>0</v>
      </c>
      <c r="AI61" s="18">
        <f t="shared" si="27"/>
        <v>0</v>
      </c>
      <c r="AJ61" s="18">
        <f t="shared" si="27"/>
        <v>0</v>
      </c>
      <c r="AK61" s="18">
        <f t="shared" si="27"/>
        <v>0</v>
      </c>
      <c r="AL61" s="18">
        <f t="shared" si="27"/>
        <v>1</v>
      </c>
      <c r="AM61" s="18">
        <f t="shared" si="27"/>
        <v>0</v>
      </c>
      <c r="AN61" s="18">
        <f t="shared" si="27"/>
        <v>0</v>
      </c>
      <c r="AO61" s="18">
        <f t="shared" si="27"/>
        <v>0</v>
      </c>
      <c r="AQ61" s="28" t="str">
        <f t="shared" si="26"/>
        <v xml:space="preserve">    0x0010,  // '</v>
      </c>
    </row>
    <row r="62" spans="1:43" ht="18.75" x14ac:dyDescent="0.3">
      <c r="A62" s="6"/>
      <c r="B62" s="16">
        <v>40</v>
      </c>
      <c r="C62" s="19" t="str">
        <f t="shared" si="22"/>
        <v>28</v>
      </c>
      <c r="D62" s="20" t="str">
        <f t="shared" si="28"/>
        <v>(</v>
      </c>
      <c r="E62" s="21">
        <v>0</v>
      </c>
      <c r="F62" s="21">
        <v>1</v>
      </c>
      <c r="G62" s="21">
        <v>0</v>
      </c>
      <c r="H62" s="21">
        <v>0</v>
      </c>
      <c r="I62" s="21">
        <v>0</v>
      </c>
      <c r="J62" s="21">
        <v>1</v>
      </c>
      <c r="K62" s="21">
        <v>0</v>
      </c>
      <c r="L62" s="21">
        <v>0</v>
      </c>
      <c r="M62" s="21">
        <v>0</v>
      </c>
      <c r="N62" s="21">
        <v>0</v>
      </c>
      <c r="O62" s="21">
        <v>0</v>
      </c>
      <c r="P62" s="21">
        <v>1</v>
      </c>
      <c r="Q62" s="21">
        <v>1</v>
      </c>
      <c r="R62" s="21">
        <v>1</v>
      </c>
      <c r="S62" s="21">
        <v>1</v>
      </c>
      <c r="T62" s="21">
        <v>0</v>
      </c>
      <c r="U62" s="22">
        <f t="shared" si="23"/>
        <v>28728</v>
      </c>
      <c r="V62" s="19" t="str">
        <f t="shared" si="24"/>
        <v>7038</v>
      </c>
      <c r="W62" s="7"/>
      <c r="X62" s="23">
        <v>28728</v>
      </c>
      <c r="Y62" s="19" t="str">
        <f t="shared" si="20"/>
        <v>7038</v>
      </c>
      <c r="Z62" s="18">
        <f t="shared" si="27"/>
        <v>0</v>
      </c>
      <c r="AA62" s="18">
        <f t="shared" si="27"/>
        <v>1</v>
      </c>
      <c r="AB62" s="18">
        <f t="shared" si="27"/>
        <v>0</v>
      </c>
      <c r="AC62" s="18">
        <f t="shared" si="27"/>
        <v>0</v>
      </c>
      <c r="AD62" s="18">
        <f t="shared" si="27"/>
        <v>0</v>
      </c>
      <c r="AE62" s="18">
        <f t="shared" si="27"/>
        <v>1</v>
      </c>
      <c r="AF62" s="18">
        <f t="shared" si="27"/>
        <v>0</v>
      </c>
      <c r="AG62" s="18">
        <f t="shared" si="27"/>
        <v>0</v>
      </c>
      <c r="AH62" s="18">
        <f t="shared" si="27"/>
        <v>0</v>
      </c>
      <c r="AI62" s="18">
        <f t="shared" si="27"/>
        <v>0</v>
      </c>
      <c r="AJ62" s="18">
        <f t="shared" si="27"/>
        <v>0</v>
      </c>
      <c r="AK62" s="18">
        <f t="shared" si="27"/>
        <v>1</v>
      </c>
      <c r="AL62" s="18">
        <f t="shared" si="27"/>
        <v>1</v>
      </c>
      <c r="AM62" s="18">
        <f t="shared" si="27"/>
        <v>1</v>
      </c>
      <c r="AN62" s="18">
        <f t="shared" si="27"/>
        <v>1</v>
      </c>
      <c r="AO62" s="18">
        <f t="shared" si="27"/>
        <v>0</v>
      </c>
      <c r="AQ62" s="28" t="str">
        <f t="shared" si="26"/>
        <v xml:space="preserve">    0x7038,  // (</v>
      </c>
    </row>
    <row r="63" spans="1:43" ht="18.75" x14ac:dyDescent="0.3">
      <c r="A63" s="6"/>
      <c r="B63" s="16">
        <v>41</v>
      </c>
      <c r="C63" s="19" t="str">
        <f t="shared" si="22"/>
        <v>29</v>
      </c>
      <c r="D63" s="20" t="str">
        <f t="shared" si="28"/>
        <v>)</v>
      </c>
      <c r="E63" s="21">
        <v>1</v>
      </c>
      <c r="F63" s="21">
        <v>0</v>
      </c>
      <c r="G63" s="21">
        <v>0</v>
      </c>
      <c r="H63" s="21">
        <v>0</v>
      </c>
      <c r="I63" s="21">
        <v>1</v>
      </c>
      <c r="J63" s="21">
        <v>0</v>
      </c>
      <c r="K63" s="21">
        <v>0</v>
      </c>
      <c r="L63" s="21">
        <v>0</v>
      </c>
      <c r="M63" s="21">
        <v>0</v>
      </c>
      <c r="N63" s="21">
        <v>0</v>
      </c>
      <c r="O63" s="21">
        <v>1</v>
      </c>
      <c r="P63" s="21">
        <v>1</v>
      </c>
      <c r="Q63" s="21">
        <v>0</v>
      </c>
      <c r="R63" s="21">
        <v>0</v>
      </c>
      <c r="S63" s="21">
        <v>1</v>
      </c>
      <c r="T63" s="21">
        <v>1</v>
      </c>
      <c r="U63" s="22">
        <f t="shared" si="23"/>
        <v>7182</v>
      </c>
      <c r="V63" s="19" t="str">
        <f t="shared" si="24"/>
        <v>1C0E</v>
      </c>
      <c r="W63" s="7"/>
      <c r="X63" s="23">
        <v>7182</v>
      </c>
      <c r="Y63" s="19" t="str">
        <f t="shared" si="20"/>
        <v>1C0E</v>
      </c>
      <c r="Z63" s="18">
        <f t="shared" si="27"/>
        <v>1</v>
      </c>
      <c r="AA63" s="18">
        <f t="shared" si="27"/>
        <v>0</v>
      </c>
      <c r="AB63" s="18">
        <f t="shared" si="27"/>
        <v>0</v>
      </c>
      <c r="AC63" s="18">
        <f t="shared" si="27"/>
        <v>0</v>
      </c>
      <c r="AD63" s="18">
        <f t="shared" si="27"/>
        <v>1</v>
      </c>
      <c r="AE63" s="18">
        <f t="shared" si="27"/>
        <v>0</v>
      </c>
      <c r="AF63" s="18">
        <f t="shared" si="27"/>
        <v>0</v>
      </c>
      <c r="AG63" s="18">
        <f t="shared" si="27"/>
        <v>0</v>
      </c>
      <c r="AH63" s="18">
        <f t="shared" si="27"/>
        <v>0</v>
      </c>
      <c r="AI63" s="18">
        <f t="shared" si="27"/>
        <v>0</v>
      </c>
      <c r="AJ63" s="18">
        <f t="shared" si="27"/>
        <v>1</v>
      </c>
      <c r="AK63" s="18">
        <f t="shared" si="27"/>
        <v>1</v>
      </c>
      <c r="AL63" s="18">
        <f t="shared" si="27"/>
        <v>0</v>
      </c>
      <c r="AM63" s="18">
        <f t="shared" si="27"/>
        <v>0</v>
      </c>
      <c r="AN63" s="18">
        <f t="shared" si="27"/>
        <v>1</v>
      </c>
      <c r="AO63" s="18">
        <f t="shared" si="27"/>
        <v>1</v>
      </c>
      <c r="AQ63" s="28" t="str">
        <f t="shared" si="26"/>
        <v xml:space="preserve">    0x1C0E,  // )</v>
      </c>
    </row>
    <row r="64" spans="1:43" ht="18.75" x14ac:dyDescent="0.3">
      <c r="A64" s="6"/>
      <c r="B64" s="16">
        <v>42</v>
      </c>
      <c r="C64" s="19" t="str">
        <f t="shared" si="22"/>
        <v>2A</v>
      </c>
      <c r="D64" s="20" t="str">
        <f t="shared" si="28"/>
        <v>*</v>
      </c>
      <c r="E64" s="21">
        <v>0</v>
      </c>
      <c r="F64" s="21">
        <v>0</v>
      </c>
      <c r="G64" s="21">
        <v>0</v>
      </c>
      <c r="H64" s="21">
        <v>0</v>
      </c>
      <c r="I64" s="21">
        <v>0</v>
      </c>
      <c r="J64" s="21">
        <v>0</v>
      </c>
      <c r="K64" s="21">
        <v>0</v>
      </c>
      <c r="L64" s="21">
        <v>0</v>
      </c>
      <c r="M64" s="21">
        <v>0</v>
      </c>
      <c r="N64" s="21">
        <v>0</v>
      </c>
      <c r="O64" s="21">
        <v>1</v>
      </c>
      <c r="P64" s="21">
        <v>1</v>
      </c>
      <c r="Q64" s="21">
        <v>1</v>
      </c>
      <c r="R64" s="21">
        <v>1</v>
      </c>
      <c r="S64" s="21">
        <v>1</v>
      </c>
      <c r="T64" s="21">
        <v>1</v>
      </c>
      <c r="U64" s="22">
        <f t="shared" si="23"/>
        <v>22554</v>
      </c>
      <c r="V64" s="19" t="str">
        <f t="shared" si="24"/>
        <v>581A</v>
      </c>
      <c r="W64" s="7"/>
      <c r="X64" s="23">
        <v>22554</v>
      </c>
      <c r="Y64" s="19" t="str">
        <f t="shared" si="20"/>
        <v>581A</v>
      </c>
      <c r="Z64" s="18">
        <f t="shared" si="27"/>
        <v>0</v>
      </c>
      <c r="AA64" s="18">
        <f t="shared" si="27"/>
        <v>0</v>
      </c>
      <c r="AB64" s="18">
        <f t="shared" si="27"/>
        <v>0</v>
      </c>
      <c r="AC64" s="18">
        <f t="shared" si="27"/>
        <v>0</v>
      </c>
      <c r="AD64" s="18">
        <f t="shared" si="27"/>
        <v>0</v>
      </c>
      <c r="AE64" s="18">
        <f t="shared" si="27"/>
        <v>0</v>
      </c>
      <c r="AF64" s="18">
        <f t="shared" si="27"/>
        <v>0</v>
      </c>
      <c r="AG64" s="18">
        <f t="shared" si="27"/>
        <v>0</v>
      </c>
      <c r="AH64" s="18">
        <f t="shared" si="27"/>
        <v>0</v>
      </c>
      <c r="AI64" s="18">
        <f t="shared" si="27"/>
        <v>0</v>
      </c>
      <c r="AJ64" s="18">
        <f t="shared" si="27"/>
        <v>1</v>
      </c>
      <c r="AK64" s="18">
        <f t="shared" si="27"/>
        <v>1</v>
      </c>
      <c r="AL64" s="18">
        <f t="shared" si="27"/>
        <v>1</v>
      </c>
      <c r="AM64" s="18">
        <f t="shared" si="27"/>
        <v>1</v>
      </c>
      <c r="AN64" s="18">
        <f t="shared" si="27"/>
        <v>1</v>
      </c>
      <c r="AO64" s="18">
        <f t="shared" si="27"/>
        <v>1</v>
      </c>
      <c r="AQ64" s="28" t="str">
        <f t="shared" si="26"/>
        <v xml:space="preserve">    0x581A,  // *</v>
      </c>
    </row>
    <row r="65" spans="1:43" ht="18.75" x14ac:dyDescent="0.3">
      <c r="A65" s="6"/>
      <c r="B65" s="16">
        <v>43</v>
      </c>
      <c r="C65" s="19" t="str">
        <f t="shared" si="22"/>
        <v>2B</v>
      </c>
      <c r="D65" s="20" t="str">
        <f t="shared" si="28"/>
        <v>+</v>
      </c>
      <c r="E65" s="21">
        <v>0</v>
      </c>
      <c r="F65" s="21">
        <v>0</v>
      </c>
      <c r="G65" s="21">
        <v>0</v>
      </c>
      <c r="H65" s="21">
        <v>0</v>
      </c>
      <c r="I65" s="21">
        <v>0</v>
      </c>
      <c r="J65" s="21">
        <v>0</v>
      </c>
      <c r="K65" s="21">
        <v>0</v>
      </c>
      <c r="L65" s="21">
        <v>0</v>
      </c>
      <c r="M65" s="21">
        <v>1</v>
      </c>
      <c r="N65" s="21">
        <v>1</v>
      </c>
      <c r="O65" s="21">
        <v>0</v>
      </c>
      <c r="P65" s="21">
        <v>1</v>
      </c>
      <c r="Q65" s="21">
        <v>0</v>
      </c>
      <c r="R65" s="21">
        <v>0</v>
      </c>
      <c r="S65" s="21">
        <v>1</v>
      </c>
      <c r="T65" s="21">
        <v>0</v>
      </c>
      <c r="U65" s="22">
        <f t="shared" si="23"/>
        <v>4488</v>
      </c>
      <c r="V65" s="19" t="str">
        <f t="shared" si="24"/>
        <v>1188</v>
      </c>
      <c r="W65" s="7"/>
      <c r="X65" s="23">
        <v>4488</v>
      </c>
      <c r="Y65" s="19" t="str">
        <f t="shared" si="20"/>
        <v>1188</v>
      </c>
      <c r="Z65" s="18">
        <f t="shared" si="27"/>
        <v>0</v>
      </c>
      <c r="AA65" s="18">
        <f t="shared" si="27"/>
        <v>0</v>
      </c>
      <c r="AB65" s="18">
        <f t="shared" si="27"/>
        <v>0</v>
      </c>
      <c r="AC65" s="18">
        <f t="shared" si="27"/>
        <v>0</v>
      </c>
      <c r="AD65" s="18">
        <f t="shared" si="27"/>
        <v>0</v>
      </c>
      <c r="AE65" s="18">
        <f t="shared" si="27"/>
        <v>0</v>
      </c>
      <c r="AF65" s="18">
        <f t="shared" si="27"/>
        <v>0</v>
      </c>
      <c r="AG65" s="18">
        <f t="shared" si="27"/>
        <v>0</v>
      </c>
      <c r="AH65" s="18">
        <f t="shared" si="27"/>
        <v>1</v>
      </c>
      <c r="AI65" s="18">
        <f t="shared" si="27"/>
        <v>1</v>
      </c>
      <c r="AJ65" s="18">
        <f t="shared" si="27"/>
        <v>0</v>
      </c>
      <c r="AK65" s="18">
        <f t="shared" si="27"/>
        <v>1</v>
      </c>
      <c r="AL65" s="18">
        <f t="shared" si="27"/>
        <v>0</v>
      </c>
      <c r="AM65" s="18">
        <f t="shared" si="27"/>
        <v>0</v>
      </c>
      <c r="AN65" s="18">
        <f t="shared" si="27"/>
        <v>1</v>
      </c>
      <c r="AO65" s="18">
        <f t="shared" si="27"/>
        <v>0</v>
      </c>
      <c r="AQ65" s="28" t="str">
        <f t="shared" si="26"/>
        <v xml:space="preserve">    0x1188,  // +</v>
      </c>
    </row>
    <row r="66" spans="1:43" ht="18.75" x14ac:dyDescent="0.3">
      <c r="A66" s="6"/>
      <c r="B66" s="16">
        <v>44</v>
      </c>
      <c r="C66" s="19" t="str">
        <f t="shared" si="22"/>
        <v>2C</v>
      </c>
      <c r="D66" s="20" t="str">
        <f t="shared" si="28"/>
        <v>,</v>
      </c>
      <c r="E66" s="21">
        <v>0</v>
      </c>
      <c r="F66" s="21">
        <v>0</v>
      </c>
      <c r="G66" s="21">
        <v>0</v>
      </c>
      <c r="H66" s="21">
        <v>0</v>
      </c>
      <c r="I66" s="21">
        <v>1</v>
      </c>
      <c r="J66" s="21">
        <v>0</v>
      </c>
      <c r="K66" s="21">
        <v>0</v>
      </c>
      <c r="L66" s="21">
        <v>0</v>
      </c>
      <c r="M66" s="21">
        <v>0</v>
      </c>
      <c r="N66" s="21">
        <v>0</v>
      </c>
      <c r="O66" s="21">
        <v>0</v>
      </c>
      <c r="P66" s="21">
        <v>0</v>
      </c>
      <c r="Q66" s="21">
        <v>0</v>
      </c>
      <c r="R66" s="21">
        <v>0</v>
      </c>
      <c r="S66" s="21">
        <v>1</v>
      </c>
      <c r="T66" s="21">
        <v>0</v>
      </c>
      <c r="U66" s="22">
        <f t="shared" si="23"/>
        <v>5120</v>
      </c>
      <c r="V66" s="19" t="str">
        <f t="shared" si="24"/>
        <v>1400</v>
      </c>
      <c r="W66" s="7"/>
      <c r="X66" s="23">
        <v>5120</v>
      </c>
      <c r="Y66" s="19" t="str">
        <f t="shared" si="20"/>
        <v>1400</v>
      </c>
      <c r="Z66" s="18">
        <f t="shared" si="27"/>
        <v>0</v>
      </c>
      <c r="AA66" s="18">
        <f t="shared" si="27"/>
        <v>0</v>
      </c>
      <c r="AB66" s="18">
        <f t="shared" si="27"/>
        <v>0</v>
      </c>
      <c r="AC66" s="18">
        <f t="shared" si="27"/>
        <v>0</v>
      </c>
      <c r="AD66" s="18">
        <f t="shared" si="27"/>
        <v>1</v>
      </c>
      <c r="AE66" s="18">
        <f t="shared" si="27"/>
        <v>0</v>
      </c>
      <c r="AF66" s="18">
        <f t="shared" si="27"/>
        <v>0</v>
      </c>
      <c r="AG66" s="18">
        <f t="shared" si="27"/>
        <v>0</v>
      </c>
      <c r="AH66" s="18">
        <f t="shared" si="27"/>
        <v>0</v>
      </c>
      <c r="AI66" s="18">
        <f t="shared" si="27"/>
        <v>0</v>
      </c>
      <c r="AJ66" s="18">
        <f t="shared" si="27"/>
        <v>0</v>
      </c>
      <c r="AK66" s="18">
        <f t="shared" si="27"/>
        <v>0</v>
      </c>
      <c r="AL66" s="18">
        <f t="shared" si="27"/>
        <v>0</v>
      </c>
      <c r="AM66" s="18">
        <f t="shared" si="27"/>
        <v>0</v>
      </c>
      <c r="AN66" s="18">
        <f t="shared" si="27"/>
        <v>1</v>
      </c>
      <c r="AO66" s="18">
        <f t="shared" si="27"/>
        <v>0</v>
      </c>
      <c r="AQ66" s="28" t="str">
        <f t="shared" si="26"/>
        <v xml:space="preserve">    0x1400,  // ,</v>
      </c>
    </row>
    <row r="67" spans="1:43" ht="18.75" x14ac:dyDescent="0.3">
      <c r="A67" s="6"/>
      <c r="B67" s="16">
        <v>45</v>
      </c>
      <c r="C67" s="19" t="str">
        <f t="shared" si="22"/>
        <v>2D</v>
      </c>
      <c r="D67" s="20" t="str">
        <f t="shared" si="28"/>
        <v>-</v>
      </c>
      <c r="E67" s="21">
        <v>0</v>
      </c>
      <c r="F67" s="21">
        <v>0</v>
      </c>
      <c r="G67" s="21">
        <v>0</v>
      </c>
      <c r="H67" s="21">
        <v>0</v>
      </c>
      <c r="I67" s="21">
        <v>0</v>
      </c>
      <c r="J67" s="21">
        <v>0</v>
      </c>
      <c r="K67" s="21">
        <v>0</v>
      </c>
      <c r="L67" s="21">
        <v>0</v>
      </c>
      <c r="M67" s="21">
        <v>1</v>
      </c>
      <c r="N67" s="21">
        <v>1</v>
      </c>
      <c r="O67" s="21">
        <v>0</v>
      </c>
      <c r="P67" s="21">
        <v>0</v>
      </c>
      <c r="Q67" s="21">
        <v>0</v>
      </c>
      <c r="R67" s="21">
        <v>0</v>
      </c>
      <c r="S67" s="21">
        <v>0</v>
      </c>
      <c r="T67" s="21">
        <v>0</v>
      </c>
      <c r="U67" s="22">
        <f t="shared" si="23"/>
        <v>384</v>
      </c>
      <c r="V67" s="19" t="str">
        <f t="shared" si="24"/>
        <v>0180</v>
      </c>
      <c r="W67" s="7"/>
      <c r="X67" s="23">
        <v>384</v>
      </c>
      <c r="Y67" s="19" t="str">
        <f t="shared" si="20"/>
        <v>0180</v>
      </c>
      <c r="Z67" s="18">
        <f t="shared" si="27"/>
        <v>0</v>
      </c>
      <c r="AA67" s="18">
        <f t="shared" si="27"/>
        <v>0</v>
      </c>
      <c r="AB67" s="18">
        <f t="shared" si="27"/>
        <v>0</v>
      </c>
      <c r="AC67" s="18">
        <f t="shared" si="27"/>
        <v>0</v>
      </c>
      <c r="AD67" s="18">
        <f t="shared" si="27"/>
        <v>0</v>
      </c>
      <c r="AE67" s="18">
        <f t="shared" si="27"/>
        <v>0</v>
      </c>
      <c r="AF67" s="18">
        <f t="shared" si="27"/>
        <v>0</v>
      </c>
      <c r="AG67" s="18">
        <f t="shared" si="27"/>
        <v>0</v>
      </c>
      <c r="AH67" s="18">
        <f t="shared" si="27"/>
        <v>1</v>
      </c>
      <c r="AI67" s="18">
        <f t="shared" si="27"/>
        <v>1</v>
      </c>
      <c r="AJ67" s="18">
        <f t="shared" si="27"/>
        <v>0</v>
      </c>
      <c r="AK67" s="18">
        <f t="shared" si="27"/>
        <v>0</v>
      </c>
      <c r="AL67" s="18">
        <f t="shared" si="27"/>
        <v>0</v>
      </c>
      <c r="AM67" s="18">
        <f t="shared" si="27"/>
        <v>0</v>
      </c>
      <c r="AN67" s="18">
        <f t="shared" si="27"/>
        <v>0</v>
      </c>
      <c r="AO67" s="18">
        <f t="shared" si="27"/>
        <v>0</v>
      </c>
      <c r="AQ67" s="28" t="str">
        <f t="shared" si="26"/>
        <v xml:space="preserve">    0x0180,  // -</v>
      </c>
    </row>
    <row r="68" spans="1:43" ht="18.75" x14ac:dyDescent="0.3">
      <c r="A68" s="6"/>
      <c r="B68" s="16">
        <v>46</v>
      </c>
      <c r="C68" s="19" t="str">
        <f t="shared" si="22"/>
        <v>2E</v>
      </c>
      <c r="D68" s="20" t="str">
        <f t="shared" si="28"/>
        <v>.</v>
      </c>
      <c r="E68" s="21">
        <v>0</v>
      </c>
      <c r="F68" s="21">
        <v>0</v>
      </c>
      <c r="G68" s="21">
        <v>0</v>
      </c>
      <c r="H68" s="21">
        <v>0</v>
      </c>
      <c r="I68" s="21">
        <v>1</v>
      </c>
      <c r="J68" s="21">
        <v>0</v>
      </c>
      <c r="K68" s="21">
        <v>0</v>
      </c>
      <c r="L68" s="21">
        <v>0</v>
      </c>
      <c r="M68" s="21">
        <v>0</v>
      </c>
      <c r="N68" s="21">
        <v>0</v>
      </c>
      <c r="O68" s="21">
        <v>0</v>
      </c>
      <c r="P68" s="21">
        <v>0</v>
      </c>
      <c r="Q68" s="21">
        <v>0</v>
      </c>
      <c r="R68" s="21">
        <v>0</v>
      </c>
      <c r="S68" s="21">
        <v>0</v>
      </c>
      <c r="T68" s="21">
        <v>0</v>
      </c>
      <c r="U68" s="22">
        <f t="shared" si="23"/>
        <v>1024</v>
      </c>
      <c r="V68" s="19" t="str">
        <f t="shared" si="24"/>
        <v>0400</v>
      </c>
      <c r="W68" s="7"/>
      <c r="X68" s="23">
        <v>1024</v>
      </c>
      <c r="Y68" s="19" t="str">
        <f t="shared" si="20"/>
        <v>0400</v>
      </c>
      <c r="Z68" s="18">
        <f t="shared" si="27"/>
        <v>0</v>
      </c>
      <c r="AA68" s="18">
        <f t="shared" si="27"/>
        <v>0</v>
      </c>
      <c r="AB68" s="18">
        <f t="shared" si="27"/>
        <v>0</v>
      </c>
      <c r="AC68" s="18">
        <f t="shared" si="27"/>
        <v>0</v>
      </c>
      <c r="AD68" s="18">
        <f t="shared" si="27"/>
        <v>1</v>
      </c>
      <c r="AE68" s="18">
        <f t="shared" si="27"/>
        <v>0</v>
      </c>
      <c r="AF68" s="18">
        <f t="shared" si="27"/>
        <v>0</v>
      </c>
      <c r="AG68" s="18">
        <f t="shared" si="27"/>
        <v>0</v>
      </c>
      <c r="AH68" s="18">
        <f t="shared" si="27"/>
        <v>0</v>
      </c>
      <c r="AI68" s="18">
        <f t="shared" si="27"/>
        <v>0</v>
      </c>
      <c r="AJ68" s="18">
        <f t="shared" si="27"/>
        <v>0</v>
      </c>
      <c r="AK68" s="18">
        <f t="shared" si="27"/>
        <v>0</v>
      </c>
      <c r="AL68" s="18">
        <f t="shared" si="27"/>
        <v>0</v>
      </c>
      <c r="AM68" s="18">
        <f t="shared" si="27"/>
        <v>0</v>
      </c>
      <c r="AN68" s="18">
        <f t="shared" si="27"/>
        <v>0</v>
      </c>
      <c r="AO68" s="18">
        <f t="shared" ref="AA68:AO85" si="29">IF(_xlfn.BITAND($X68,AO$19)=0,0,1)</f>
        <v>0</v>
      </c>
      <c r="AQ68" s="28" t="str">
        <f t="shared" si="26"/>
        <v xml:space="preserve">    0x0400,  // .</v>
      </c>
    </row>
    <row r="69" spans="1:43" ht="18.75" x14ac:dyDescent="0.3">
      <c r="A69" s="6"/>
      <c r="B69" s="16">
        <v>47</v>
      </c>
      <c r="C69" s="19" t="str">
        <f t="shared" si="22"/>
        <v>2F</v>
      </c>
      <c r="D69" s="20" t="str">
        <f t="shared" si="28"/>
        <v>/</v>
      </c>
      <c r="E69" s="21">
        <v>0</v>
      </c>
      <c r="F69" s="21">
        <v>0</v>
      </c>
      <c r="G69" s="21">
        <v>0</v>
      </c>
      <c r="H69" s="21">
        <v>0</v>
      </c>
      <c r="I69" s="21">
        <v>0</v>
      </c>
      <c r="J69" s="21">
        <v>0</v>
      </c>
      <c r="K69" s="21">
        <v>0</v>
      </c>
      <c r="L69" s="21">
        <v>0</v>
      </c>
      <c r="M69" s="21">
        <v>0</v>
      </c>
      <c r="N69" s="21">
        <v>0</v>
      </c>
      <c r="O69" s="21">
        <v>0</v>
      </c>
      <c r="P69" s="21">
        <v>0</v>
      </c>
      <c r="Q69" s="21">
        <v>1</v>
      </c>
      <c r="R69" s="21">
        <v>0</v>
      </c>
      <c r="S69" s="21">
        <v>0</v>
      </c>
      <c r="T69" s="21">
        <v>1</v>
      </c>
      <c r="U69" s="22">
        <f t="shared" si="23"/>
        <v>2064</v>
      </c>
      <c r="V69" s="19" t="str">
        <f t="shared" si="24"/>
        <v>0810</v>
      </c>
      <c r="W69" s="7"/>
      <c r="X69" s="23">
        <v>2064</v>
      </c>
      <c r="Y69" s="19" t="str">
        <f t="shared" si="20"/>
        <v>0810</v>
      </c>
      <c r="Z69" s="18">
        <f t="shared" ref="Z69:Z132" si="30">IF(_xlfn.BITAND($X69,Z$19)=0,0,1)</f>
        <v>0</v>
      </c>
      <c r="AA69" s="18">
        <f t="shared" si="29"/>
        <v>0</v>
      </c>
      <c r="AB69" s="18">
        <f t="shared" si="29"/>
        <v>0</v>
      </c>
      <c r="AC69" s="18">
        <f t="shared" si="29"/>
        <v>0</v>
      </c>
      <c r="AD69" s="18">
        <f t="shared" si="29"/>
        <v>0</v>
      </c>
      <c r="AE69" s="18">
        <f t="shared" si="29"/>
        <v>0</v>
      </c>
      <c r="AF69" s="18">
        <f t="shared" si="29"/>
        <v>0</v>
      </c>
      <c r="AG69" s="18">
        <f t="shared" si="29"/>
        <v>0</v>
      </c>
      <c r="AH69" s="18">
        <f t="shared" si="29"/>
        <v>0</v>
      </c>
      <c r="AI69" s="18">
        <f t="shared" si="29"/>
        <v>0</v>
      </c>
      <c r="AJ69" s="18">
        <f t="shared" si="29"/>
        <v>0</v>
      </c>
      <c r="AK69" s="18">
        <f t="shared" si="29"/>
        <v>0</v>
      </c>
      <c r="AL69" s="18">
        <f t="shared" si="29"/>
        <v>1</v>
      </c>
      <c r="AM69" s="18">
        <f t="shared" si="29"/>
        <v>0</v>
      </c>
      <c r="AN69" s="18">
        <f t="shared" si="29"/>
        <v>0</v>
      </c>
      <c r="AO69" s="18">
        <f t="shared" si="29"/>
        <v>1</v>
      </c>
      <c r="AQ69" s="28" t="str">
        <f t="shared" si="26"/>
        <v xml:space="preserve">    0x0810,  // /</v>
      </c>
    </row>
    <row r="70" spans="1:43" ht="18.75" x14ac:dyDescent="0.3">
      <c r="A70" s="6"/>
      <c r="B70" s="16">
        <v>48</v>
      </c>
      <c r="C70" s="19" t="str">
        <f t="shared" si="22"/>
        <v>30</v>
      </c>
      <c r="D70" s="20" t="str">
        <f t="shared" si="28"/>
        <v>0</v>
      </c>
      <c r="E70" s="21">
        <v>1</v>
      </c>
      <c r="F70" s="21">
        <v>1</v>
      </c>
      <c r="G70" s="21">
        <v>1</v>
      </c>
      <c r="H70" s="21">
        <v>1</v>
      </c>
      <c r="I70" s="21">
        <v>1</v>
      </c>
      <c r="J70" s="21">
        <v>1</v>
      </c>
      <c r="K70" s="21">
        <v>1</v>
      </c>
      <c r="L70" s="21">
        <v>1</v>
      </c>
      <c r="M70" s="21">
        <v>0</v>
      </c>
      <c r="N70" s="21">
        <v>0</v>
      </c>
      <c r="O70" s="21">
        <v>0</v>
      </c>
      <c r="P70" s="21">
        <v>0</v>
      </c>
      <c r="Q70" s="21">
        <v>0</v>
      </c>
      <c r="R70" s="21">
        <v>0</v>
      </c>
      <c r="S70" s="21">
        <v>0</v>
      </c>
      <c r="T70" s="21">
        <v>0</v>
      </c>
      <c r="U70" s="22">
        <f t="shared" si="23"/>
        <v>42597</v>
      </c>
      <c r="V70" s="19" t="str">
        <f t="shared" si="24"/>
        <v>A665</v>
      </c>
      <c r="W70" s="7"/>
      <c r="X70" s="23">
        <v>42597</v>
      </c>
      <c r="Y70" s="19" t="str">
        <f t="shared" si="20"/>
        <v>A665</v>
      </c>
      <c r="Z70" s="18">
        <f t="shared" si="30"/>
        <v>1</v>
      </c>
      <c r="AA70" s="18">
        <f t="shared" si="29"/>
        <v>1</v>
      </c>
      <c r="AB70" s="18">
        <f t="shared" si="29"/>
        <v>1</v>
      </c>
      <c r="AC70" s="18">
        <f t="shared" si="29"/>
        <v>1</v>
      </c>
      <c r="AD70" s="18">
        <f t="shared" si="29"/>
        <v>1</v>
      </c>
      <c r="AE70" s="18">
        <f t="shared" si="29"/>
        <v>1</v>
      </c>
      <c r="AF70" s="18">
        <f t="shared" si="29"/>
        <v>1</v>
      </c>
      <c r="AG70" s="18">
        <f t="shared" si="29"/>
        <v>1</v>
      </c>
      <c r="AH70" s="18">
        <f t="shared" si="29"/>
        <v>0</v>
      </c>
      <c r="AI70" s="18">
        <f t="shared" si="29"/>
        <v>0</v>
      </c>
      <c r="AJ70" s="18">
        <f t="shared" si="29"/>
        <v>0</v>
      </c>
      <c r="AK70" s="18">
        <f t="shared" si="29"/>
        <v>0</v>
      </c>
      <c r="AL70" s="18">
        <f t="shared" si="29"/>
        <v>0</v>
      </c>
      <c r="AM70" s="18">
        <f t="shared" si="29"/>
        <v>0</v>
      </c>
      <c r="AN70" s="18">
        <f t="shared" si="29"/>
        <v>0</v>
      </c>
      <c r="AO70" s="18">
        <f t="shared" si="29"/>
        <v>0</v>
      </c>
      <c r="AQ70" s="28" t="str">
        <f t="shared" si="26"/>
        <v xml:space="preserve">    0xA665,  // 0</v>
      </c>
    </row>
    <row r="71" spans="1:43" ht="18.75" x14ac:dyDescent="0.3">
      <c r="A71" s="6"/>
      <c r="B71" s="16">
        <v>49</v>
      </c>
      <c r="C71" s="19" t="str">
        <f t="shared" si="22"/>
        <v>31</v>
      </c>
      <c r="D71" s="20" t="str">
        <f t="shared" si="28"/>
        <v>1</v>
      </c>
      <c r="E71" s="21">
        <v>0</v>
      </c>
      <c r="F71" s="21">
        <v>0</v>
      </c>
      <c r="G71" s="21">
        <v>1</v>
      </c>
      <c r="H71" s="21">
        <v>1</v>
      </c>
      <c r="I71" s="21">
        <v>0</v>
      </c>
      <c r="J71" s="21">
        <v>0</v>
      </c>
      <c r="K71" s="21">
        <v>0</v>
      </c>
      <c r="L71" s="21">
        <v>0</v>
      </c>
      <c r="M71" s="21">
        <v>0</v>
      </c>
      <c r="N71" s="21">
        <v>0</v>
      </c>
      <c r="O71" s="21">
        <v>0</v>
      </c>
      <c r="P71" s="21">
        <v>0</v>
      </c>
      <c r="Q71" s="21">
        <v>0</v>
      </c>
      <c r="R71" s="21">
        <v>0</v>
      </c>
      <c r="S71" s="21">
        <v>0</v>
      </c>
      <c r="T71" s="21">
        <v>0</v>
      </c>
      <c r="U71" s="22">
        <f t="shared" si="23"/>
        <v>32832</v>
      </c>
      <c r="V71" s="19" t="str">
        <f t="shared" si="24"/>
        <v>8040</v>
      </c>
      <c r="W71" s="7"/>
      <c r="X71" s="23">
        <v>32832</v>
      </c>
      <c r="Y71" s="19" t="str">
        <f t="shared" si="20"/>
        <v>8040</v>
      </c>
      <c r="Z71" s="18">
        <f t="shared" si="30"/>
        <v>0</v>
      </c>
      <c r="AA71" s="18">
        <f t="shared" si="29"/>
        <v>0</v>
      </c>
      <c r="AB71" s="18">
        <f t="shared" si="29"/>
        <v>1</v>
      </c>
      <c r="AC71" s="18">
        <f t="shared" si="29"/>
        <v>1</v>
      </c>
      <c r="AD71" s="18">
        <f t="shared" si="29"/>
        <v>0</v>
      </c>
      <c r="AE71" s="18">
        <f t="shared" si="29"/>
        <v>0</v>
      </c>
      <c r="AF71" s="18">
        <f t="shared" si="29"/>
        <v>0</v>
      </c>
      <c r="AG71" s="18">
        <f t="shared" si="29"/>
        <v>0</v>
      </c>
      <c r="AH71" s="18">
        <f t="shared" si="29"/>
        <v>0</v>
      </c>
      <c r="AI71" s="18">
        <f t="shared" si="29"/>
        <v>0</v>
      </c>
      <c r="AJ71" s="18">
        <f t="shared" si="29"/>
        <v>0</v>
      </c>
      <c r="AK71" s="18">
        <f t="shared" si="29"/>
        <v>0</v>
      </c>
      <c r="AL71" s="18">
        <f t="shared" si="29"/>
        <v>0</v>
      </c>
      <c r="AM71" s="18">
        <f t="shared" si="29"/>
        <v>0</v>
      </c>
      <c r="AN71" s="18">
        <f t="shared" si="29"/>
        <v>0</v>
      </c>
      <c r="AO71" s="18">
        <f t="shared" si="29"/>
        <v>0</v>
      </c>
      <c r="AQ71" s="28" t="str">
        <f t="shared" si="26"/>
        <v xml:space="preserve">    0x8040,  // 1</v>
      </c>
    </row>
    <row r="72" spans="1:43" ht="18.75" x14ac:dyDescent="0.3">
      <c r="A72" s="6"/>
      <c r="B72" s="16">
        <v>50</v>
      </c>
      <c r="C72" s="19" t="str">
        <f t="shared" si="22"/>
        <v>32</v>
      </c>
      <c r="D72" s="20" t="str">
        <f t="shared" si="28"/>
        <v>2</v>
      </c>
      <c r="E72" s="21">
        <v>1</v>
      </c>
      <c r="F72" s="21">
        <v>1</v>
      </c>
      <c r="G72" s="21">
        <v>1</v>
      </c>
      <c r="H72" s="21">
        <v>0</v>
      </c>
      <c r="I72" s="21">
        <v>1</v>
      </c>
      <c r="J72" s="21">
        <v>1</v>
      </c>
      <c r="K72" s="21">
        <v>1</v>
      </c>
      <c r="L72" s="21">
        <v>0</v>
      </c>
      <c r="M72" s="21">
        <v>1</v>
      </c>
      <c r="N72" s="21">
        <v>1</v>
      </c>
      <c r="O72" s="21">
        <v>0</v>
      </c>
      <c r="P72" s="21">
        <v>0</v>
      </c>
      <c r="Q72" s="21">
        <v>0</v>
      </c>
      <c r="R72" s="21">
        <v>0</v>
      </c>
      <c r="S72" s="21">
        <v>0</v>
      </c>
      <c r="T72" s="21">
        <v>0</v>
      </c>
      <c r="U72" s="22">
        <f t="shared" si="23"/>
        <v>10212</v>
      </c>
      <c r="V72" s="19" t="str">
        <f t="shared" si="24"/>
        <v>27E4</v>
      </c>
      <c r="W72" s="7"/>
      <c r="X72" s="23">
        <v>10212</v>
      </c>
      <c r="Y72" s="19" t="str">
        <f t="shared" si="20"/>
        <v>27E4</v>
      </c>
      <c r="Z72" s="18">
        <f t="shared" si="30"/>
        <v>1</v>
      </c>
      <c r="AA72" s="18">
        <f t="shared" si="29"/>
        <v>1</v>
      </c>
      <c r="AB72" s="18">
        <f t="shared" si="29"/>
        <v>1</v>
      </c>
      <c r="AC72" s="18">
        <f t="shared" si="29"/>
        <v>0</v>
      </c>
      <c r="AD72" s="18">
        <f t="shared" si="29"/>
        <v>1</v>
      </c>
      <c r="AE72" s="18">
        <f t="shared" si="29"/>
        <v>1</v>
      </c>
      <c r="AF72" s="18">
        <f t="shared" si="29"/>
        <v>1</v>
      </c>
      <c r="AG72" s="18">
        <f t="shared" si="29"/>
        <v>0</v>
      </c>
      <c r="AH72" s="18">
        <f t="shared" si="29"/>
        <v>1</v>
      </c>
      <c r="AI72" s="18">
        <f t="shared" si="29"/>
        <v>1</v>
      </c>
      <c r="AJ72" s="18">
        <f t="shared" si="29"/>
        <v>0</v>
      </c>
      <c r="AK72" s="18">
        <f t="shared" si="29"/>
        <v>0</v>
      </c>
      <c r="AL72" s="18">
        <f t="shared" si="29"/>
        <v>0</v>
      </c>
      <c r="AM72" s="18">
        <f t="shared" si="29"/>
        <v>0</v>
      </c>
      <c r="AN72" s="18">
        <f t="shared" si="29"/>
        <v>0</v>
      </c>
      <c r="AO72" s="18">
        <f t="shared" si="29"/>
        <v>0</v>
      </c>
      <c r="AQ72" s="28" t="str">
        <f t="shared" si="26"/>
        <v xml:space="preserve">    0x27E4,  // 2</v>
      </c>
    </row>
    <row r="73" spans="1:43" ht="18.75" x14ac:dyDescent="0.3">
      <c r="A73" s="6"/>
      <c r="B73" s="16">
        <v>51</v>
      </c>
      <c r="C73" s="19" t="str">
        <f t="shared" si="22"/>
        <v>33</v>
      </c>
      <c r="D73" s="20" t="str">
        <f t="shared" si="28"/>
        <v>3</v>
      </c>
      <c r="E73" s="21">
        <v>1</v>
      </c>
      <c r="F73" s="21">
        <v>1</v>
      </c>
      <c r="G73" s="21">
        <v>1</v>
      </c>
      <c r="H73" s="21">
        <v>1</v>
      </c>
      <c r="I73" s="21">
        <v>1</v>
      </c>
      <c r="J73" s="21">
        <v>1</v>
      </c>
      <c r="K73" s="21">
        <v>0</v>
      </c>
      <c r="L73" s="21">
        <v>0</v>
      </c>
      <c r="M73" s="21">
        <v>1</v>
      </c>
      <c r="N73" s="21">
        <v>1</v>
      </c>
      <c r="O73" s="21">
        <v>0</v>
      </c>
      <c r="P73" s="21">
        <v>0</v>
      </c>
      <c r="Q73" s="21">
        <v>0</v>
      </c>
      <c r="R73" s="21">
        <v>0</v>
      </c>
      <c r="S73" s="21">
        <v>0</v>
      </c>
      <c r="T73" s="21">
        <v>0</v>
      </c>
      <c r="U73" s="22">
        <f t="shared" si="23"/>
        <v>42468</v>
      </c>
      <c r="V73" s="19" t="str">
        <f t="shared" si="24"/>
        <v>A5E4</v>
      </c>
      <c r="W73" s="7"/>
      <c r="X73" s="23">
        <v>42468</v>
      </c>
      <c r="Y73" s="19" t="str">
        <f t="shared" si="20"/>
        <v>A5E4</v>
      </c>
      <c r="Z73" s="18">
        <f t="shared" si="30"/>
        <v>1</v>
      </c>
      <c r="AA73" s="18">
        <f t="shared" si="29"/>
        <v>1</v>
      </c>
      <c r="AB73" s="18">
        <f t="shared" si="29"/>
        <v>1</v>
      </c>
      <c r="AC73" s="18">
        <f t="shared" si="29"/>
        <v>1</v>
      </c>
      <c r="AD73" s="18">
        <f t="shared" si="29"/>
        <v>1</v>
      </c>
      <c r="AE73" s="18">
        <f t="shared" si="29"/>
        <v>1</v>
      </c>
      <c r="AF73" s="18">
        <f t="shared" si="29"/>
        <v>0</v>
      </c>
      <c r="AG73" s="18">
        <f t="shared" si="29"/>
        <v>0</v>
      </c>
      <c r="AH73" s="18">
        <f t="shared" si="29"/>
        <v>1</v>
      </c>
      <c r="AI73" s="18">
        <f t="shared" si="29"/>
        <v>1</v>
      </c>
      <c r="AJ73" s="18">
        <f t="shared" si="29"/>
        <v>0</v>
      </c>
      <c r="AK73" s="18">
        <f t="shared" si="29"/>
        <v>0</v>
      </c>
      <c r="AL73" s="18">
        <f t="shared" si="29"/>
        <v>0</v>
      </c>
      <c r="AM73" s="18">
        <f t="shared" si="29"/>
        <v>0</v>
      </c>
      <c r="AN73" s="18">
        <f t="shared" si="29"/>
        <v>0</v>
      </c>
      <c r="AO73" s="18">
        <f t="shared" si="29"/>
        <v>0</v>
      </c>
      <c r="AQ73" s="28" t="str">
        <f t="shared" si="26"/>
        <v xml:space="preserve">    0xA5E4,  // 3</v>
      </c>
    </row>
    <row r="74" spans="1:43" ht="18.75" x14ac:dyDescent="0.3">
      <c r="A74" s="6"/>
      <c r="B74" s="16">
        <v>52</v>
      </c>
      <c r="C74" s="19" t="str">
        <f t="shared" si="22"/>
        <v>34</v>
      </c>
      <c r="D74" s="20" t="str">
        <f t="shared" si="28"/>
        <v>4</v>
      </c>
      <c r="E74" s="21">
        <v>0</v>
      </c>
      <c r="F74" s="21">
        <v>0</v>
      </c>
      <c r="G74" s="21">
        <v>1</v>
      </c>
      <c r="H74" s="21">
        <v>1</v>
      </c>
      <c r="I74" s="21">
        <v>0</v>
      </c>
      <c r="J74" s="21">
        <v>0</v>
      </c>
      <c r="K74" s="21">
        <v>0</v>
      </c>
      <c r="L74" s="21">
        <v>1</v>
      </c>
      <c r="M74" s="21">
        <v>1</v>
      </c>
      <c r="N74" s="21">
        <v>1</v>
      </c>
      <c r="O74" s="21">
        <v>0</v>
      </c>
      <c r="P74" s="21">
        <v>0</v>
      </c>
      <c r="Q74" s="21">
        <v>0</v>
      </c>
      <c r="R74" s="21">
        <v>0</v>
      </c>
      <c r="S74" s="21">
        <v>0</v>
      </c>
      <c r="T74" s="21">
        <v>0</v>
      </c>
      <c r="U74" s="22">
        <f t="shared" si="23"/>
        <v>33217</v>
      </c>
      <c r="V74" s="19" t="str">
        <f t="shared" si="24"/>
        <v>81C1</v>
      </c>
      <c r="W74" s="7"/>
      <c r="X74" s="23">
        <v>33217</v>
      </c>
      <c r="Y74" s="19" t="str">
        <f t="shared" si="20"/>
        <v>81C1</v>
      </c>
      <c r="Z74" s="18">
        <f t="shared" si="30"/>
        <v>0</v>
      </c>
      <c r="AA74" s="18">
        <f t="shared" si="29"/>
        <v>0</v>
      </c>
      <c r="AB74" s="18">
        <f t="shared" si="29"/>
        <v>1</v>
      </c>
      <c r="AC74" s="18">
        <f t="shared" si="29"/>
        <v>1</v>
      </c>
      <c r="AD74" s="18">
        <f t="shared" si="29"/>
        <v>0</v>
      </c>
      <c r="AE74" s="18">
        <f t="shared" si="29"/>
        <v>0</v>
      </c>
      <c r="AF74" s="18">
        <f t="shared" si="29"/>
        <v>0</v>
      </c>
      <c r="AG74" s="18">
        <f t="shared" si="29"/>
        <v>1</v>
      </c>
      <c r="AH74" s="18">
        <f t="shared" si="29"/>
        <v>1</v>
      </c>
      <c r="AI74" s="18">
        <f t="shared" si="29"/>
        <v>1</v>
      </c>
      <c r="AJ74" s="18">
        <f t="shared" si="29"/>
        <v>0</v>
      </c>
      <c r="AK74" s="18">
        <f t="shared" si="29"/>
        <v>0</v>
      </c>
      <c r="AL74" s="18">
        <f t="shared" si="29"/>
        <v>0</v>
      </c>
      <c r="AM74" s="18">
        <f t="shared" si="29"/>
        <v>0</v>
      </c>
      <c r="AN74" s="18">
        <f t="shared" si="29"/>
        <v>0</v>
      </c>
      <c r="AO74" s="18">
        <f t="shared" si="29"/>
        <v>0</v>
      </c>
      <c r="AQ74" s="28" t="str">
        <f t="shared" si="26"/>
        <v xml:space="preserve">    0x81C1,  // 4</v>
      </c>
    </row>
    <row r="75" spans="1:43" ht="18.75" x14ac:dyDescent="0.3">
      <c r="A75" s="6"/>
      <c r="B75" s="16">
        <v>53</v>
      </c>
      <c r="C75" s="19" t="str">
        <f t="shared" si="22"/>
        <v>35</v>
      </c>
      <c r="D75" s="20" t="str">
        <f t="shared" si="28"/>
        <v>5</v>
      </c>
      <c r="E75" s="21">
        <v>1</v>
      </c>
      <c r="F75" s="21">
        <v>1</v>
      </c>
      <c r="G75" s="21">
        <v>0</v>
      </c>
      <c r="H75" s="21">
        <v>1</v>
      </c>
      <c r="I75" s="21">
        <v>1</v>
      </c>
      <c r="J75" s="21">
        <v>1</v>
      </c>
      <c r="K75" s="21">
        <v>0</v>
      </c>
      <c r="L75" s="21">
        <v>1</v>
      </c>
      <c r="M75" s="21">
        <v>1</v>
      </c>
      <c r="N75" s="21">
        <v>1</v>
      </c>
      <c r="O75" s="21">
        <v>0</v>
      </c>
      <c r="P75" s="21">
        <v>0</v>
      </c>
      <c r="Q75" s="21">
        <v>0</v>
      </c>
      <c r="R75" s="21">
        <v>0</v>
      </c>
      <c r="S75" s="21">
        <v>0</v>
      </c>
      <c r="T75" s="21">
        <v>0</v>
      </c>
      <c r="U75" s="22">
        <f t="shared" si="23"/>
        <v>42405</v>
      </c>
      <c r="V75" s="19" t="str">
        <f t="shared" si="24"/>
        <v>A5A5</v>
      </c>
      <c r="W75" s="7"/>
      <c r="X75" s="23">
        <v>42405</v>
      </c>
      <c r="Y75" s="19" t="str">
        <f t="shared" si="20"/>
        <v>A5A5</v>
      </c>
      <c r="Z75" s="18">
        <f t="shared" si="30"/>
        <v>1</v>
      </c>
      <c r="AA75" s="18">
        <f t="shared" si="29"/>
        <v>1</v>
      </c>
      <c r="AB75" s="18">
        <f t="shared" si="29"/>
        <v>0</v>
      </c>
      <c r="AC75" s="18">
        <f t="shared" si="29"/>
        <v>1</v>
      </c>
      <c r="AD75" s="18">
        <f t="shared" si="29"/>
        <v>1</v>
      </c>
      <c r="AE75" s="18">
        <f t="shared" si="29"/>
        <v>1</v>
      </c>
      <c r="AF75" s="18">
        <f t="shared" si="29"/>
        <v>0</v>
      </c>
      <c r="AG75" s="18">
        <f t="shared" si="29"/>
        <v>1</v>
      </c>
      <c r="AH75" s="18">
        <f t="shared" si="29"/>
        <v>1</v>
      </c>
      <c r="AI75" s="18">
        <f t="shared" si="29"/>
        <v>1</v>
      </c>
      <c r="AJ75" s="18">
        <f t="shared" si="29"/>
        <v>0</v>
      </c>
      <c r="AK75" s="18">
        <f t="shared" si="29"/>
        <v>0</v>
      </c>
      <c r="AL75" s="18">
        <f t="shared" si="29"/>
        <v>0</v>
      </c>
      <c r="AM75" s="18">
        <f t="shared" si="29"/>
        <v>0</v>
      </c>
      <c r="AN75" s="18">
        <f t="shared" si="29"/>
        <v>0</v>
      </c>
      <c r="AO75" s="18">
        <f t="shared" si="29"/>
        <v>0</v>
      </c>
      <c r="AQ75" s="28" t="str">
        <f t="shared" si="26"/>
        <v xml:space="preserve">    0xA5A5,  // 5</v>
      </c>
    </row>
    <row r="76" spans="1:43" ht="18.75" x14ac:dyDescent="0.3">
      <c r="A76" s="6"/>
      <c r="B76" s="16">
        <v>54</v>
      </c>
      <c r="C76" s="19" t="str">
        <f t="shared" si="22"/>
        <v>36</v>
      </c>
      <c r="D76" s="20" t="str">
        <f t="shared" si="28"/>
        <v>6</v>
      </c>
      <c r="E76" s="21">
        <v>1</v>
      </c>
      <c r="F76" s="21">
        <v>1</v>
      </c>
      <c r="G76" s="21">
        <v>0</v>
      </c>
      <c r="H76" s="21">
        <v>1</v>
      </c>
      <c r="I76" s="21">
        <v>1</v>
      </c>
      <c r="J76" s="21">
        <v>1</v>
      </c>
      <c r="K76" s="21">
        <v>1</v>
      </c>
      <c r="L76" s="21">
        <v>1</v>
      </c>
      <c r="M76" s="21">
        <v>1</v>
      </c>
      <c r="N76" s="21">
        <v>1</v>
      </c>
      <c r="O76" s="21">
        <v>0</v>
      </c>
      <c r="P76" s="21">
        <v>0</v>
      </c>
      <c r="Q76" s="21">
        <v>0</v>
      </c>
      <c r="R76" s="21">
        <v>0</v>
      </c>
      <c r="S76" s="21">
        <v>0</v>
      </c>
      <c r="T76" s="21">
        <v>0</v>
      </c>
      <c r="U76" s="22">
        <f t="shared" si="23"/>
        <v>42917</v>
      </c>
      <c r="V76" s="19" t="str">
        <f t="shared" si="24"/>
        <v>A7A5</v>
      </c>
      <c r="W76" s="7"/>
      <c r="X76" s="23">
        <v>42917</v>
      </c>
      <c r="Y76" s="19" t="str">
        <f t="shared" si="20"/>
        <v>A7A5</v>
      </c>
      <c r="Z76" s="18">
        <f t="shared" si="30"/>
        <v>1</v>
      </c>
      <c r="AA76" s="18">
        <f t="shared" si="29"/>
        <v>1</v>
      </c>
      <c r="AB76" s="18">
        <f t="shared" si="29"/>
        <v>0</v>
      </c>
      <c r="AC76" s="18">
        <f t="shared" si="29"/>
        <v>1</v>
      </c>
      <c r="AD76" s="18">
        <f t="shared" si="29"/>
        <v>1</v>
      </c>
      <c r="AE76" s="18">
        <f t="shared" si="29"/>
        <v>1</v>
      </c>
      <c r="AF76" s="18">
        <f t="shared" si="29"/>
        <v>1</v>
      </c>
      <c r="AG76" s="18">
        <f t="shared" si="29"/>
        <v>1</v>
      </c>
      <c r="AH76" s="18">
        <f t="shared" si="29"/>
        <v>1</v>
      </c>
      <c r="AI76" s="18">
        <f t="shared" si="29"/>
        <v>1</v>
      </c>
      <c r="AJ76" s="18">
        <f t="shared" si="29"/>
        <v>0</v>
      </c>
      <c r="AK76" s="18">
        <f t="shared" si="29"/>
        <v>0</v>
      </c>
      <c r="AL76" s="18">
        <f t="shared" si="29"/>
        <v>0</v>
      </c>
      <c r="AM76" s="18">
        <f t="shared" si="29"/>
        <v>0</v>
      </c>
      <c r="AN76" s="18">
        <f t="shared" si="29"/>
        <v>0</v>
      </c>
      <c r="AO76" s="18">
        <f t="shared" si="29"/>
        <v>0</v>
      </c>
      <c r="AQ76" s="28" t="str">
        <f t="shared" si="26"/>
        <v xml:space="preserve">    0xA7A5,  // 6</v>
      </c>
    </row>
    <row r="77" spans="1:43" ht="18.75" x14ac:dyDescent="0.3">
      <c r="A77" s="6"/>
      <c r="B77" s="16">
        <v>55</v>
      </c>
      <c r="C77" s="19" t="str">
        <f t="shared" si="22"/>
        <v>37</v>
      </c>
      <c r="D77" s="20" t="str">
        <f t="shared" si="28"/>
        <v>7</v>
      </c>
      <c r="E77" s="21">
        <v>1</v>
      </c>
      <c r="F77" s="21">
        <v>1</v>
      </c>
      <c r="G77" s="21">
        <v>1</v>
      </c>
      <c r="H77" s="21">
        <v>1</v>
      </c>
      <c r="I77" s="21">
        <v>0</v>
      </c>
      <c r="J77" s="21">
        <v>0</v>
      </c>
      <c r="K77" s="21">
        <v>0</v>
      </c>
      <c r="L77" s="21">
        <v>1</v>
      </c>
      <c r="M77" s="21">
        <v>0</v>
      </c>
      <c r="N77" s="21">
        <v>0</v>
      </c>
      <c r="O77" s="21">
        <v>0</v>
      </c>
      <c r="P77" s="21">
        <v>0</v>
      </c>
      <c r="Q77" s="21">
        <v>0</v>
      </c>
      <c r="R77" s="21">
        <v>0</v>
      </c>
      <c r="S77" s="21">
        <v>0</v>
      </c>
      <c r="T77" s="21">
        <v>0</v>
      </c>
      <c r="U77" s="22">
        <f t="shared" si="23"/>
        <v>32869</v>
      </c>
      <c r="V77" s="19" t="str">
        <f t="shared" si="24"/>
        <v>8065</v>
      </c>
      <c r="W77" s="7"/>
      <c r="X77" s="23">
        <v>32869</v>
      </c>
      <c r="Y77" s="19" t="str">
        <f t="shared" si="20"/>
        <v>8065</v>
      </c>
      <c r="Z77" s="18">
        <f t="shared" si="30"/>
        <v>1</v>
      </c>
      <c r="AA77" s="18">
        <f t="shared" si="29"/>
        <v>1</v>
      </c>
      <c r="AB77" s="18">
        <f t="shared" si="29"/>
        <v>1</v>
      </c>
      <c r="AC77" s="18">
        <f t="shared" si="29"/>
        <v>1</v>
      </c>
      <c r="AD77" s="18">
        <f t="shared" si="29"/>
        <v>0</v>
      </c>
      <c r="AE77" s="18">
        <f t="shared" si="29"/>
        <v>0</v>
      </c>
      <c r="AF77" s="18">
        <f t="shared" si="29"/>
        <v>0</v>
      </c>
      <c r="AG77" s="18">
        <f t="shared" si="29"/>
        <v>1</v>
      </c>
      <c r="AH77" s="18">
        <f t="shared" si="29"/>
        <v>0</v>
      </c>
      <c r="AI77" s="18">
        <f t="shared" si="29"/>
        <v>0</v>
      </c>
      <c r="AJ77" s="18">
        <f t="shared" si="29"/>
        <v>0</v>
      </c>
      <c r="AK77" s="18">
        <f t="shared" si="29"/>
        <v>0</v>
      </c>
      <c r="AL77" s="18">
        <f t="shared" si="29"/>
        <v>0</v>
      </c>
      <c r="AM77" s="18">
        <f t="shared" si="29"/>
        <v>0</v>
      </c>
      <c r="AN77" s="18">
        <f t="shared" si="29"/>
        <v>0</v>
      </c>
      <c r="AO77" s="18">
        <f t="shared" si="29"/>
        <v>0</v>
      </c>
      <c r="AQ77" s="28" t="str">
        <f t="shared" si="26"/>
        <v xml:space="preserve">    0x8065,  // 7</v>
      </c>
    </row>
    <row r="78" spans="1:43" ht="18.75" x14ac:dyDescent="0.3">
      <c r="A78" s="6"/>
      <c r="B78" s="16">
        <v>56</v>
      </c>
      <c r="C78" s="19" t="str">
        <f t="shared" si="22"/>
        <v>38</v>
      </c>
      <c r="D78" s="20" t="str">
        <f t="shared" si="28"/>
        <v>8</v>
      </c>
      <c r="E78" s="21">
        <v>1</v>
      </c>
      <c r="F78" s="21">
        <v>1</v>
      </c>
      <c r="G78" s="21">
        <v>1</v>
      </c>
      <c r="H78" s="21">
        <v>1</v>
      </c>
      <c r="I78" s="21">
        <v>1</v>
      </c>
      <c r="J78" s="21">
        <v>1</v>
      </c>
      <c r="K78" s="21">
        <v>1</v>
      </c>
      <c r="L78" s="21">
        <v>1</v>
      </c>
      <c r="M78" s="21">
        <v>1</v>
      </c>
      <c r="N78" s="21">
        <v>1</v>
      </c>
      <c r="O78" s="21">
        <v>0</v>
      </c>
      <c r="P78" s="21">
        <v>0</v>
      </c>
      <c r="Q78" s="21">
        <v>0</v>
      </c>
      <c r="R78" s="21">
        <v>0</v>
      </c>
      <c r="S78" s="21">
        <v>0</v>
      </c>
      <c r="T78" s="21">
        <v>0</v>
      </c>
      <c r="U78" s="22">
        <f t="shared" si="23"/>
        <v>42981</v>
      </c>
      <c r="V78" s="19" t="str">
        <f t="shared" si="24"/>
        <v>A7E5</v>
      </c>
      <c r="W78" s="7"/>
      <c r="X78" s="23">
        <v>42981</v>
      </c>
      <c r="Y78" s="19" t="str">
        <f t="shared" si="20"/>
        <v>A7E5</v>
      </c>
      <c r="Z78" s="18">
        <f t="shared" si="30"/>
        <v>1</v>
      </c>
      <c r="AA78" s="18">
        <f t="shared" si="29"/>
        <v>1</v>
      </c>
      <c r="AB78" s="18">
        <f t="shared" si="29"/>
        <v>1</v>
      </c>
      <c r="AC78" s="18">
        <f t="shared" si="29"/>
        <v>1</v>
      </c>
      <c r="AD78" s="18">
        <f t="shared" si="29"/>
        <v>1</v>
      </c>
      <c r="AE78" s="18">
        <f t="shared" si="29"/>
        <v>1</v>
      </c>
      <c r="AF78" s="18">
        <f t="shared" si="29"/>
        <v>1</v>
      </c>
      <c r="AG78" s="18">
        <f t="shared" si="29"/>
        <v>1</v>
      </c>
      <c r="AH78" s="18">
        <f t="shared" si="29"/>
        <v>1</v>
      </c>
      <c r="AI78" s="18">
        <f t="shared" si="29"/>
        <v>1</v>
      </c>
      <c r="AJ78" s="18">
        <f t="shared" si="29"/>
        <v>0</v>
      </c>
      <c r="AK78" s="18">
        <f t="shared" si="29"/>
        <v>0</v>
      </c>
      <c r="AL78" s="18">
        <f t="shared" si="29"/>
        <v>0</v>
      </c>
      <c r="AM78" s="18">
        <f t="shared" si="29"/>
        <v>0</v>
      </c>
      <c r="AN78" s="18">
        <f t="shared" si="29"/>
        <v>0</v>
      </c>
      <c r="AO78" s="18">
        <f t="shared" si="29"/>
        <v>0</v>
      </c>
      <c r="AQ78" s="28" t="str">
        <f t="shared" si="26"/>
        <v xml:space="preserve">    0xA7E5,  // 8</v>
      </c>
    </row>
    <row r="79" spans="1:43" ht="18.75" x14ac:dyDescent="0.3">
      <c r="A79" s="6"/>
      <c r="B79" s="16">
        <v>57</v>
      </c>
      <c r="C79" s="19" t="str">
        <f t="shared" si="22"/>
        <v>39</v>
      </c>
      <c r="D79" s="20" t="str">
        <f t="shared" si="28"/>
        <v>9</v>
      </c>
      <c r="E79" s="21">
        <v>1</v>
      </c>
      <c r="F79" s="21">
        <v>1</v>
      </c>
      <c r="G79" s="21">
        <v>1</v>
      </c>
      <c r="H79" s="21">
        <v>1</v>
      </c>
      <c r="I79" s="21">
        <v>1</v>
      </c>
      <c r="J79" s="21">
        <v>1</v>
      </c>
      <c r="K79" s="21">
        <v>0</v>
      </c>
      <c r="L79" s="21">
        <v>1</v>
      </c>
      <c r="M79" s="21">
        <v>1</v>
      </c>
      <c r="N79" s="21">
        <v>1</v>
      </c>
      <c r="O79" s="21">
        <v>0</v>
      </c>
      <c r="P79" s="21">
        <v>0</v>
      </c>
      <c r="Q79" s="21">
        <v>0</v>
      </c>
      <c r="R79" s="21">
        <v>0</v>
      </c>
      <c r="S79" s="21">
        <v>0</v>
      </c>
      <c r="T79" s="21">
        <v>0</v>
      </c>
      <c r="U79" s="22">
        <f t="shared" si="23"/>
        <v>42469</v>
      </c>
      <c r="V79" s="19" t="str">
        <f t="shared" si="24"/>
        <v>A5E5</v>
      </c>
      <c r="W79" s="7"/>
      <c r="X79" s="23">
        <v>42469</v>
      </c>
      <c r="Y79" s="19" t="str">
        <f t="shared" si="20"/>
        <v>A5E5</v>
      </c>
      <c r="Z79" s="18">
        <f t="shared" si="30"/>
        <v>1</v>
      </c>
      <c r="AA79" s="18">
        <f t="shared" si="29"/>
        <v>1</v>
      </c>
      <c r="AB79" s="18">
        <f t="shared" si="29"/>
        <v>1</v>
      </c>
      <c r="AC79" s="18">
        <f t="shared" si="29"/>
        <v>1</v>
      </c>
      <c r="AD79" s="18">
        <f t="shared" si="29"/>
        <v>1</v>
      </c>
      <c r="AE79" s="18">
        <f t="shared" si="29"/>
        <v>1</v>
      </c>
      <c r="AF79" s="18">
        <f t="shared" si="29"/>
        <v>0</v>
      </c>
      <c r="AG79" s="18">
        <f t="shared" si="29"/>
        <v>1</v>
      </c>
      <c r="AH79" s="18">
        <f t="shared" si="29"/>
        <v>1</v>
      </c>
      <c r="AI79" s="18">
        <f t="shared" si="29"/>
        <v>1</v>
      </c>
      <c r="AJ79" s="18">
        <f t="shared" si="29"/>
        <v>0</v>
      </c>
      <c r="AK79" s="18">
        <f t="shared" si="29"/>
        <v>0</v>
      </c>
      <c r="AL79" s="18">
        <f t="shared" si="29"/>
        <v>0</v>
      </c>
      <c r="AM79" s="18">
        <f t="shared" si="29"/>
        <v>0</v>
      </c>
      <c r="AN79" s="18">
        <f t="shared" si="29"/>
        <v>0</v>
      </c>
      <c r="AO79" s="18">
        <f t="shared" si="29"/>
        <v>0</v>
      </c>
      <c r="AQ79" s="28" t="str">
        <f t="shared" si="26"/>
        <v xml:space="preserve">    0xA5E5,  // 9</v>
      </c>
    </row>
    <row r="80" spans="1:43" ht="18.75" x14ac:dyDescent="0.3">
      <c r="A80" s="6"/>
      <c r="B80" s="16">
        <v>58</v>
      </c>
      <c r="C80" s="19" t="str">
        <f t="shared" si="22"/>
        <v>3A</v>
      </c>
      <c r="D80" s="20" t="str">
        <f t="shared" si="28"/>
        <v>:</v>
      </c>
      <c r="E80" s="21">
        <v>1</v>
      </c>
      <c r="F80" s="21">
        <v>0</v>
      </c>
      <c r="G80" s="21">
        <v>0</v>
      </c>
      <c r="H80" s="21">
        <v>0</v>
      </c>
      <c r="I80" s="21">
        <v>1</v>
      </c>
      <c r="J80" s="21">
        <v>0</v>
      </c>
      <c r="K80" s="21">
        <v>0</v>
      </c>
      <c r="L80" s="21">
        <v>0</v>
      </c>
      <c r="M80" s="21">
        <v>0</v>
      </c>
      <c r="N80" s="21">
        <v>0</v>
      </c>
      <c r="O80" s="21">
        <v>0</v>
      </c>
      <c r="P80" s="21">
        <v>0</v>
      </c>
      <c r="Q80" s="21">
        <v>0</v>
      </c>
      <c r="R80" s="21">
        <v>0</v>
      </c>
      <c r="S80" s="21">
        <v>0</v>
      </c>
      <c r="T80" s="21">
        <v>0</v>
      </c>
      <c r="U80" s="22">
        <f t="shared" si="23"/>
        <v>1028</v>
      </c>
      <c r="V80" s="19" t="str">
        <f t="shared" si="24"/>
        <v>0404</v>
      </c>
      <c r="W80" s="7"/>
      <c r="X80" s="23">
        <v>1028</v>
      </c>
      <c r="Y80" s="19" t="str">
        <f t="shared" si="20"/>
        <v>0404</v>
      </c>
      <c r="Z80" s="18">
        <f t="shared" si="30"/>
        <v>1</v>
      </c>
      <c r="AA80" s="18">
        <f t="shared" si="29"/>
        <v>0</v>
      </c>
      <c r="AB80" s="18">
        <f t="shared" si="29"/>
        <v>0</v>
      </c>
      <c r="AC80" s="18">
        <f t="shared" si="29"/>
        <v>0</v>
      </c>
      <c r="AD80" s="18">
        <f t="shared" si="29"/>
        <v>1</v>
      </c>
      <c r="AE80" s="18">
        <f t="shared" si="29"/>
        <v>0</v>
      </c>
      <c r="AF80" s="18">
        <f t="shared" si="29"/>
        <v>0</v>
      </c>
      <c r="AG80" s="18">
        <f t="shared" si="29"/>
        <v>0</v>
      </c>
      <c r="AH80" s="18">
        <f t="shared" si="29"/>
        <v>0</v>
      </c>
      <c r="AI80" s="18">
        <f t="shared" si="29"/>
        <v>0</v>
      </c>
      <c r="AJ80" s="18">
        <f t="shared" si="29"/>
        <v>0</v>
      </c>
      <c r="AK80" s="18">
        <f t="shared" si="29"/>
        <v>0</v>
      </c>
      <c r="AL80" s="18">
        <f t="shared" si="29"/>
        <v>0</v>
      </c>
      <c r="AM80" s="18">
        <f t="shared" si="29"/>
        <v>0</v>
      </c>
      <c r="AN80" s="18">
        <f t="shared" si="29"/>
        <v>0</v>
      </c>
      <c r="AO80" s="18">
        <f t="shared" si="29"/>
        <v>0</v>
      </c>
      <c r="AQ80" s="28" t="str">
        <f t="shared" si="26"/>
        <v xml:space="preserve">    0x0404,  // :</v>
      </c>
    </row>
    <row r="81" spans="1:43" ht="18.75" x14ac:dyDescent="0.3">
      <c r="A81" s="6"/>
      <c r="B81" s="16">
        <v>59</v>
      </c>
      <c r="C81" s="19" t="str">
        <f t="shared" si="22"/>
        <v>3B</v>
      </c>
      <c r="D81" s="20" t="str">
        <f t="shared" si="28"/>
        <v>;</v>
      </c>
      <c r="E81" s="21">
        <v>1</v>
      </c>
      <c r="F81" s="21">
        <v>0</v>
      </c>
      <c r="G81" s="21">
        <v>0</v>
      </c>
      <c r="H81" s="21">
        <v>0</v>
      </c>
      <c r="I81" s="21">
        <v>1</v>
      </c>
      <c r="J81" s="21">
        <v>0</v>
      </c>
      <c r="K81" s="21">
        <v>0</v>
      </c>
      <c r="L81" s="21">
        <v>0</v>
      </c>
      <c r="M81" s="21">
        <v>0</v>
      </c>
      <c r="N81" s="21">
        <v>0</v>
      </c>
      <c r="O81" s="21">
        <v>0</v>
      </c>
      <c r="P81" s="21">
        <v>0</v>
      </c>
      <c r="Q81" s="21">
        <v>0</v>
      </c>
      <c r="R81" s="21">
        <v>0</v>
      </c>
      <c r="S81" s="21">
        <v>1</v>
      </c>
      <c r="T81" s="21">
        <v>0</v>
      </c>
      <c r="U81" s="22">
        <f t="shared" si="23"/>
        <v>5124</v>
      </c>
      <c r="V81" s="19" t="str">
        <f t="shared" si="24"/>
        <v>1404</v>
      </c>
      <c r="W81" s="7"/>
      <c r="X81" s="23">
        <v>5124</v>
      </c>
      <c r="Y81" s="19" t="str">
        <f t="shared" si="20"/>
        <v>1404</v>
      </c>
      <c r="Z81" s="18">
        <f t="shared" si="30"/>
        <v>1</v>
      </c>
      <c r="AA81" s="18">
        <f t="shared" si="29"/>
        <v>0</v>
      </c>
      <c r="AB81" s="18">
        <f t="shared" si="29"/>
        <v>0</v>
      </c>
      <c r="AC81" s="18">
        <f t="shared" si="29"/>
        <v>0</v>
      </c>
      <c r="AD81" s="18">
        <f t="shared" si="29"/>
        <v>1</v>
      </c>
      <c r="AE81" s="18">
        <f t="shared" si="29"/>
        <v>0</v>
      </c>
      <c r="AF81" s="18">
        <f t="shared" si="29"/>
        <v>0</v>
      </c>
      <c r="AG81" s="18">
        <f t="shared" si="29"/>
        <v>0</v>
      </c>
      <c r="AH81" s="18">
        <f t="shared" si="29"/>
        <v>0</v>
      </c>
      <c r="AI81" s="18">
        <f t="shared" si="29"/>
        <v>0</v>
      </c>
      <c r="AJ81" s="18">
        <f t="shared" si="29"/>
        <v>0</v>
      </c>
      <c r="AK81" s="18">
        <f t="shared" si="29"/>
        <v>0</v>
      </c>
      <c r="AL81" s="18">
        <f t="shared" si="29"/>
        <v>0</v>
      </c>
      <c r="AM81" s="18">
        <f t="shared" si="29"/>
        <v>0</v>
      </c>
      <c r="AN81" s="18">
        <f t="shared" si="29"/>
        <v>1</v>
      </c>
      <c r="AO81" s="18">
        <f t="shared" si="29"/>
        <v>0</v>
      </c>
      <c r="AQ81" s="28" t="str">
        <f t="shared" si="26"/>
        <v xml:space="preserve">    0x1404,  // ;</v>
      </c>
    </row>
    <row r="82" spans="1:43" ht="18.75" x14ac:dyDescent="0.3">
      <c r="A82" s="6"/>
      <c r="B82" s="16">
        <v>60</v>
      </c>
      <c r="C82" s="19" t="str">
        <f t="shared" si="22"/>
        <v>3C</v>
      </c>
      <c r="D82" s="20" t="str">
        <f t="shared" si="28"/>
        <v>&lt;</v>
      </c>
      <c r="E82" s="21">
        <v>0</v>
      </c>
      <c r="F82" s="21">
        <v>0</v>
      </c>
      <c r="G82" s="21">
        <v>0</v>
      </c>
      <c r="H82" s="21">
        <v>0</v>
      </c>
      <c r="I82" s="21">
        <v>0</v>
      </c>
      <c r="J82" s="21">
        <v>0</v>
      </c>
      <c r="K82" s="21">
        <v>0</v>
      </c>
      <c r="L82" s="21">
        <v>0</v>
      </c>
      <c r="M82" s="21">
        <v>0</v>
      </c>
      <c r="N82" s="21">
        <v>0</v>
      </c>
      <c r="O82" s="21">
        <v>0</v>
      </c>
      <c r="P82" s="21">
        <v>0</v>
      </c>
      <c r="Q82" s="21">
        <v>1</v>
      </c>
      <c r="R82" s="21">
        <v>1</v>
      </c>
      <c r="S82" s="21">
        <v>0</v>
      </c>
      <c r="T82" s="21">
        <v>0</v>
      </c>
      <c r="U82" s="22">
        <f t="shared" si="23"/>
        <v>16400</v>
      </c>
      <c r="V82" s="19" t="str">
        <f t="shared" si="24"/>
        <v>4010</v>
      </c>
      <c r="W82" s="7"/>
      <c r="X82" s="23">
        <v>16400</v>
      </c>
      <c r="Y82" s="19" t="str">
        <f t="shared" si="20"/>
        <v>4010</v>
      </c>
      <c r="Z82" s="18">
        <f t="shared" si="30"/>
        <v>0</v>
      </c>
      <c r="AA82" s="18">
        <f t="shared" si="29"/>
        <v>0</v>
      </c>
      <c r="AB82" s="18">
        <f t="shared" si="29"/>
        <v>0</v>
      </c>
      <c r="AC82" s="18">
        <f t="shared" si="29"/>
        <v>0</v>
      </c>
      <c r="AD82" s="18">
        <f t="shared" si="29"/>
        <v>0</v>
      </c>
      <c r="AE82" s="18">
        <f t="shared" si="29"/>
        <v>0</v>
      </c>
      <c r="AF82" s="18">
        <f t="shared" si="29"/>
        <v>0</v>
      </c>
      <c r="AG82" s="18">
        <f t="shared" si="29"/>
        <v>0</v>
      </c>
      <c r="AH82" s="18">
        <f t="shared" si="29"/>
        <v>0</v>
      </c>
      <c r="AI82" s="18">
        <f t="shared" si="29"/>
        <v>0</v>
      </c>
      <c r="AJ82" s="18">
        <f t="shared" si="29"/>
        <v>0</v>
      </c>
      <c r="AK82" s="18">
        <f t="shared" si="29"/>
        <v>0</v>
      </c>
      <c r="AL82" s="18">
        <f t="shared" si="29"/>
        <v>1</v>
      </c>
      <c r="AM82" s="18">
        <f t="shared" si="29"/>
        <v>1</v>
      </c>
      <c r="AN82" s="18">
        <f t="shared" si="29"/>
        <v>0</v>
      </c>
      <c r="AO82" s="18">
        <f t="shared" si="29"/>
        <v>0</v>
      </c>
      <c r="AQ82" s="28" t="str">
        <f t="shared" si="26"/>
        <v xml:space="preserve">    0x4010,  // &lt;</v>
      </c>
    </row>
    <row r="83" spans="1:43" ht="18.75" x14ac:dyDescent="0.3">
      <c r="A83" s="6"/>
      <c r="B83" s="16">
        <v>61</v>
      </c>
      <c r="C83" s="19" t="str">
        <f t="shared" si="22"/>
        <v>3D</v>
      </c>
      <c r="D83" s="20" t="str">
        <f t="shared" si="28"/>
        <v>=</v>
      </c>
      <c r="E83" s="21">
        <v>0</v>
      </c>
      <c r="F83" s="21">
        <v>0</v>
      </c>
      <c r="G83" s="21">
        <v>0</v>
      </c>
      <c r="H83" s="21">
        <v>0</v>
      </c>
      <c r="I83" s="21">
        <v>1</v>
      </c>
      <c r="J83" s="21">
        <v>1</v>
      </c>
      <c r="K83" s="21">
        <v>0</v>
      </c>
      <c r="L83" s="21">
        <v>0</v>
      </c>
      <c r="M83" s="21">
        <v>1</v>
      </c>
      <c r="N83" s="21">
        <v>1</v>
      </c>
      <c r="O83" s="21">
        <v>0</v>
      </c>
      <c r="P83" s="21">
        <v>0</v>
      </c>
      <c r="Q83" s="21">
        <v>0</v>
      </c>
      <c r="R83" s="21">
        <v>0</v>
      </c>
      <c r="S83" s="21">
        <v>0</v>
      </c>
      <c r="T83" s="21">
        <v>0</v>
      </c>
      <c r="U83" s="22">
        <f t="shared" si="23"/>
        <v>9600</v>
      </c>
      <c r="V83" s="19" t="str">
        <f t="shared" si="24"/>
        <v>2580</v>
      </c>
      <c r="W83" s="7"/>
      <c r="X83" s="23">
        <v>9600</v>
      </c>
      <c r="Y83" s="19" t="str">
        <f t="shared" si="20"/>
        <v>2580</v>
      </c>
      <c r="Z83" s="18">
        <f t="shared" si="30"/>
        <v>0</v>
      </c>
      <c r="AA83" s="18">
        <f t="shared" si="29"/>
        <v>0</v>
      </c>
      <c r="AB83" s="18">
        <f t="shared" si="29"/>
        <v>0</v>
      </c>
      <c r="AC83" s="18">
        <f t="shared" si="29"/>
        <v>0</v>
      </c>
      <c r="AD83" s="18">
        <f t="shared" si="29"/>
        <v>1</v>
      </c>
      <c r="AE83" s="18">
        <f t="shared" si="29"/>
        <v>1</v>
      </c>
      <c r="AF83" s="18">
        <f t="shared" si="29"/>
        <v>0</v>
      </c>
      <c r="AG83" s="18">
        <f t="shared" si="29"/>
        <v>0</v>
      </c>
      <c r="AH83" s="18">
        <f t="shared" si="29"/>
        <v>1</v>
      </c>
      <c r="AI83" s="18">
        <f t="shared" si="29"/>
        <v>1</v>
      </c>
      <c r="AJ83" s="18">
        <f t="shared" si="29"/>
        <v>0</v>
      </c>
      <c r="AK83" s="18">
        <f t="shared" si="29"/>
        <v>0</v>
      </c>
      <c r="AL83" s="18">
        <f t="shared" si="29"/>
        <v>0</v>
      </c>
      <c r="AM83" s="18">
        <f t="shared" si="29"/>
        <v>0</v>
      </c>
      <c r="AN83" s="18">
        <f t="shared" si="29"/>
        <v>0</v>
      </c>
      <c r="AO83" s="18">
        <f t="shared" si="29"/>
        <v>0</v>
      </c>
      <c r="AQ83" s="28" t="str">
        <f t="shared" si="26"/>
        <v xml:space="preserve">    0x2580,  // =</v>
      </c>
    </row>
    <row r="84" spans="1:43" ht="18.75" x14ac:dyDescent="0.3">
      <c r="A84" s="6"/>
      <c r="B84" s="16">
        <v>62</v>
      </c>
      <c r="C84" s="19" t="str">
        <f t="shared" si="22"/>
        <v>3E</v>
      </c>
      <c r="D84" s="20" t="str">
        <f t="shared" si="28"/>
        <v>&gt;</v>
      </c>
      <c r="E84" s="21">
        <v>0</v>
      </c>
      <c r="F84" s="21">
        <v>0</v>
      </c>
      <c r="G84" s="21">
        <v>0</v>
      </c>
      <c r="H84" s="21">
        <v>0</v>
      </c>
      <c r="I84" s="21">
        <v>0</v>
      </c>
      <c r="J84" s="21">
        <v>0</v>
      </c>
      <c r="K84" s="21">
        <v>0</v>
      </c>
      <c r="L84" s="21">
        <v>0</v>
      </c>
      <c r="M84" s="21">
        <v>0</v>
      </c>
      <c r="N84" s="21">
        <v>0</v>
      </c>
      <c r="O84" s="21">
        <v>1</v>
      </c>
      <c r="P84" s="21">
        <v>0</v>
      </c>
      <c r="Q84" s="21">
        <v>0</v>
      </c>
      <c r="R84" s="21">
        <v>0</v>
      </c>
      <c r="S84" s="21">
        <v>0</v>
      </c>
      <c r="T84" s="21">
        <v>1</v>
      </c>
      <c r="U84" s="22">
        <f t="shared" si="23"/>
        <v>2050</v>
      </c>
      <c r="V84" s="19" t="str">
        <f t="shared" si="24"/>
        <v>0802</v>
      </c>
      <c r="W84" s="7"/>
      <c r="X84" s="23">
        <v>2050</v>
      </c>
      <c r="Y84" s="19" t="str">
        <f t="shared" si="20"/>
        <v>0802</v>
      </c>
      <c r="Z84" s="18">
        <f t="shared" si="30"/>
        <v>0</v>
      </c>
      <c r="AA84" s="18">
        <f t="shared" si="29"/>
        <v>0</v>
      </c>
      <c r="AB84" s="18">
        <f t="shared" si="29"/>
        <v>0</v>
      </c>
      <c r="AC84" s="18">
        <f t="shared" si="29"/>
        <v>0</v>
      </c>
      <c r="AD84" s="18">
        <f t="shared" si="29"/>
        <v>0</v>
      </c>
      <c r="AE84" s="18">
        <f t="shared" si="29"/>
        <v>0</v>
      </c>
      <c r="AF84" s="18">
        <f t="shared" si="29"/>
        <v>0</v>
      </c>
      <c r="AG84" s="18">
        <f t="shared" si="29"/>
        <v>0</v>
      </c>
      <c r="AH84" s="18">
        <f t="shared" si="29"/>
        <v>0</v>
      </c>
      <c r="AI84" s="18">
        <f t="shared" si="29"/>
        <v>0</v>
      </c>
      <c r="AJ84" s="18">
        <f t="shared" si="29"/>
        <v>1</v>
      </c>
      <c r="AK84" s="18">
        <f t="shared" si="29"/>
        <v>0</v>
      </c>
      <c r="AL84" s="18">
        <f t="shared" si="29"/>
        <v>0</v>
      </c>
      <c r="AM84" s="18">
        <f t="shared" si="29"/>
        <v>0</v>
      </c>
      <c r="AN84" s="18">
        <f t="shared" si="29"/>
        <v>0</v>
      </c>
      <c r="AO84" s="18">
        <f t="shared" si="29"/>
        <v>1</v>
      </c>
      <c r="AQ84" s="28" t="str">
        <f t="shared" si="26"/>
        <v xml:space="preserve">    0x0802,  // &gt;</v>
      </c>
    </row>
    <row r="85" spans="1:43" ht="18.75" x14ac:dyDescent="0.3">
      <c r="A85" s="6"/>
      <c r="B85" s="16">
        <v>63</v>
      </c>
      <c r="C85" s="19" t="str">
        <f t="shared" si="22"/>
        <v>3F</v>
      </c>
      <c r="D85" s="20" t="str">
        <f t="shared" si="28"/>
        <v>?</v>
      </c>
      <c r="E85" s="21">
        <v>1</v>
      </c>
      <c r="F85" s="21">
        <v>1</v>
      </c>
      <c r="G85" s="21">
        <v>1</v>
      </c>
      <c r="H85" s="21">
        <v>0</v>
      </c>
      <c r="I85" s="21">
        <v>0</v>
      </c>
      <c r="J85" s="21">
        <v>0</v>
      </c>
      <c r="K85" s="21">
        <v>0</v>
      </c>
      <c r="L85" s="21">
        <v>1</v>
      </c>
      <c r="M85" s="21">
        <v>0</v>
      </c>
      <c r="N85" s="21">
        <v>1</v>
      </c>
      <c r="O85" s="21">
        <v>0</v>
      </c>
      <c r="P85" s="21">
        <v>0</v>
      </c>
      <c r="Q85" s="21">
        <v>0</v>
      </c>
      <c r="R85" s="21">
        <v>0</v>
      </c>
      <c r="S85" s="21">
        <v>1</v>
      </c>
      <c r="T85" s="21">
        <v>0</v>
      </c>
      <c r="U85" s="22">
        <f t="shared" si="23"/>
        <v>4325</v>
      </c>
      <c r="V85" s="19" t="str">
        <f t="shared" si="24"/>
        <v>10E5</v>
      </c>
      <c r="W85" s="7"/>
      <c r="X85" s="23">
        <v>4325</v>
      </c>
      <c r="Y85" s="19" t="str">
        <f t="shared" si="20"/>
        <v>10E5</v>
      </c>
      <c r="Z85" s="18">
        <f t="shared" si="30"/>
        <v>1</v>
      </c>
      <c r="AA85" s="18">
        <f t="shared" si="29"/>
        <v>1</v>
      </c>
      <c r="AB85" s="18">
        <f t="shared" si="29"/>
        <v>1</v>
      </c>
      <c r="AC85" s="18">
        <f t="shared" si="29"/>
        <v>0</v>
      </c>
      <c r="AD85" s="18">
        <f t="shared" si="29"/>
        <v>0</v>
      </c>
      <c r="AE85" s="18">
        <f t="shared" si="29"/>
        <v>0</v>
      </c>
      <c r="AF85" s="18">
        <f t="shared" si="29"/>
        <v>0</v>
      </c>
      <c r="AG85" s="18">
        <f t="shared" si="29"/>
        <v>1</v>
      </c>
      <c r="AH85" s="18">
        <f t="shared" si="29"/>
        <v>0</v>
      </c>
      <c r="AI85" s="18">
        <f t="shared" si="29"/>
        <v>1</v>
      </c>
      <c r="AJ85" s="18">
        <f t="shared" si="29"/>
        <v>0</v>
      </c>
      <c r="AK85" s="18">
        <f t="shared" si="29"/>
        <v>0</v>
      </c>
      <c r="AL85" s="18">
        <f t="shared" si="29"/>
        <v>0</v>
      </c>
      <c r="AM85" s="18">
        <f t="shared" si="29"/>
        <v>0</v>
      </c>
      <c r="AN85" s="18">
        <f t="shared" si="29"/>
        <v>1</v>
      </c>
      <c r="AO85" s="18">
        <f t="shared" ref="AA85:AO102" si="31">IF(_xlfn.BITAND($X85,AO$19)=0,0,1)</f>
        <v>0</v>
      </c>
      <c r="AQ85" s="28" t="str">
        <f t="shared" si="26"/>
        <v xml:space="preserve">    0x10E5,  // ?</v>
      </c>
    </row>
    <row r="86" spans="1:43" ht="18.75" x14ac:dyDescent="0.3">
      <c r="A86" s="6"/>
      <c r="B86" s="16">
        <v>64</v>
      </c>
      <c r="C86" s="19" t="str">
        <f t="shared" si="22"/>
        <v>40</v>
      </c>
      <c r="D86" s="20" t="str">
        <f t="shared" si="28"/>
        <v>@</v>
      </c>
      <c r="E86" s="21">
        <v>1</v>
      </c>
      <c r="F86" s="21">
        <v>1</v>
      </c>
      <c r="G86" s="21">
        <v>1</v>
      </c>
      <c r="H86" s="21">
        <v>1</v>
      </c>
      <c r="I86" s="21">
        <v>1</v>
      </c>
      <c r="J86" s="21">
        <v>0</v>
      </c>
      <c r="K86" s="21">
        <v>1</v>
      </c>
      <c r="L86" s="21">
        <v>0</v>
      </c>
      <c r="M86" s="21">
        <v>1</v>
      </c>
      <c r="N86" s="21">
        <v>0</v>
      </c>
      <c r="O86" s="21">
        <v>0</v>
      </c>
      <c r="P86" s="21">
        <v>0</v>
      </c>
      <c r="Q86" s="21">
        <v>0</v>
      </c>
      <c r="R86" s="21">
        <v>1</v>
      </c>
      <c r="S86" s="21">
        <v>1</v>
      </c>
      <c r="T86" s="21">
        <v>0</v>
      </c>
      <c r="U86" s="22">
        <f t="shared" si="23"/>
        <v>55140</v>
      </c>
      <c r="V86" s="19" t="str">
        <f t="shared" si="24"/>
        <v>D764</v>
      </c>
      <c r="W86" s="7"/>
      <c r="X86" s="23">
        <v>55140</v>
      </c>
      <c r="Y86" s="19" t="str">
        <f t="shared" ref="Y86:Y149" si="32">DEC2HEX(X86,4)</f>
        <v>D764</v>
      </c>
      <c r="Z86" s="18">
        <f t="shared" si="30"/>
        <v>1</v>
      </c>
      <c r="AA86" s="18">
        <f t="shared" si="31"/>
        <v>1</v>
      </c>
      <c r="AB86" s="18">
        <f t="shared" si="31"/>
        <v>1</v>
      </c>
      <c r="AC86" s="18">
        <f t="shared" si="31"/>
        <v>1</v>
      </c>
      <c r="AD86" s="18">
        <f t="shared" si="31"/>
        <v>1</v>
      </c>
      <c r="AE86" s="18">
        <f t="shared" si="31"/>
        <v>0</v>
      </c>
      <c r="AF86" s="18">
        <f t="shared" si="31"/>
        <v>1</v>
      </c>
      <c r="AG86" s="18">
        <f t="shared" si="31"/>
        <v>0</v>
      </c>
      <c r="AH86" s="18">
        <f t="shared" si="31"/>
        <v>1</v>
      </c>
      <c r="AI86" s="18">
        <f t="shared" si="31"/>
        <v>0</v>
      </c>
      <c r="AJ86" s="18">
        <f t="shared" si="31"/>
        <v>0</v>
      </c>
      <c r="AK86" s="18">
        <f t="shared" si="31"/>
        <v>0</v>
      </c>
      <c r="AL86" s="18">
        <f t="shared" si="31"/>
        <v>0</v>
      </c>
      <c r="AM86" s="18">
        <f t="shared" si="31"/>
        <v>1</v>
      </c>
      <c r="AN86" s="18">
        <f t="shared" si="31"/>
        <v>1</v>
      </c>
      <c r="AO86" s="18">
        <f t="shared" si="31"/>
        <v>0</v>
      </c>
      <c r="AQ86" s="28" t="str">
        <f t="shared" si="26"/>
        <v xml:space="preserve">    0xD764,  // @</v>
      </c>
    </row>
    <row r="87" spans="1:43" ht="18.75" x14ac:dyDescent="0.3">
      <c r="A87" s="6"/>
      <c r="B87" s="16">
        <v>65</v>
      </c>
      <c r="C87" s="19" t="str">
        <f t="shared" ref="C87:C150" si="33">DEC2HEX(B87,2)</f>
        <v>41</v>
      </c>
      <c r="D87" s="20" t="str">
        <f t="shared" ref="D87:D148" si="34">CHAR(B87)</f>
        <v>A</v>
      </c>
      <c r="E87" s="21">
        <v>1</v>
      </c>
      <c r="F87" s="21">
        <v>1</v>
      </c>
      <c r="G87" s="21">
        <v>1</v>
      </c>
      <c r="H87" s="21">
        <v>1</v>
      </c>
      <c r="I87" s="21">
        <v>0</v>
      </c>
      <c r="J87" s="21">
        <v>0</v>
      </c>
      <c r="K87" s="21">
        <v>1</v>
      </c>
      <c r="L87" s="21">
        <v>1</v>
      </c>
      <c r="M87" s="21">
        <v>1</v>
      </c>
      <c r="N87" s="21">
        <v>1</v>
      </c>
      <c r="O87" s="21">
        <v>0</v>
      </c>
      <c r="P87" s="21">
        <v>0</v>
      </c>
      <c r="Q87" s="21">
        <v>0</v>
      </c>
      <c r="R87" s="21">
        <v>0</v>
      </c>
      <c r="S87" s="21">
        <v>0</v>
      </c>
      <c r="T87" s="21">
        <v>0</v>
      </c>
      <c r="U87" s="22">
        <f t="shared" ref="U87:U150" si="35">SUMPRODUCT(E$19:T$19,E87:T87)</f>
        <v>33765</v>
      </c>
      <c r="V87" s="19" t="str">
        <f t="shared" ref="V87:V150" si="36">DEC2HEX(U87,4)</f>
        <v>83E5</v>
      </c>
      <c r="W87" s="7"/>
      <c r="X87" s="23">
        <v>33765</v>
      </c>
      <c r="Y87" s="19" t="str">
        <f t="shared" si="32"/>
        <v>83E5</v>
      </c>
      <c r="Z87" s="18">
        <f t="shared" si="30"/>
        <v>1</v>
      </c>
      <c r="AA87" s="18">
        <f t="shared" si="31"/>
        <v>1</v>
      </c>
      <c r="AB87" s="18">
        <f t="shared" si="31"/>
        <v>1</v>
      </c>
      <c r="AC87" s="18">
        <f t="shared" si="31"/>
        <v>1</v>
      </c>
      <c r="AD87" s="18">
        <f t="shared" si="31"/>
        <v>0</v>
      </c>
      <c r="AE87" s="18">
        <f t="shared" si="31"/>
        <v>0</v>
      </c>
      <c r="AF87" s="18">
        <f t="shared" si="31"/>
        <v>1</v>
      </c>
      <c r="AG87" s="18">
        <f t="shared" si="31"/>
        <v>1</v>
      </c>
      <c r="AH87" s="18">
        <f t="shared" si="31"/>
        <v>1</v>
      </c>
      <c r="AI87" s="18">
        <f t="shared" si="31"/>
        <v>1</v>
      </c>
      <c r="AJ87" s="18">
        <f t="shared" si="31"/>
        <v>0</v>
      </c>
      <c r="AK87" s="18">
        <f t="shared" si="31"/>
        <v>0</v>
      </c>
      <c r="AL87" s="18">
        <f t="shared" si="31"/>
        <v>0</v>
      </c>
      <c r="AM87" s="18">
        <f t="shared" si="31"/>
        <v>0</v>
      </c>
      <c r="AN87" s="18">
        <f t="shared" si="31"/>
        <v>0</v>
      </c>
      <c r="AO87" s="18">
        <f t="shared" si="31"/>
        <v>0</v>
      </c>
      <c r="AQ87" s="28" t="str">
        <f t="shared" ref="AQ87:AQ150" si="37">_xlfn.CONCAT("    0x", V87, ",  // ", D87)</f>
        <v xml:space="preserve">    0x83E5,  // A</v>
      </c>
    </row>
    <row r="88" spans="1:43" ht="18.75" x14ac:dyDescent="0.3">
      <c r="A88" s="6"/>
      <c r="B88" s="16">
        <v>66</v>
      </c>
      <c r="C88" s="19" t="str">
        <f t="shared" si="33"/>
        <v>42</v>
      </c>
      <c r="D88" s="20" t="str">
        <f t="shared" si="34"/>
        <v>B</v>
      </c>
      <c r="E88" s="21">
        <v>1</v>
      </c>
      <c r="F88" s="21">
        <v>1</v>
      </c>
      <c r="G88" s="21">
        <v>1</v>
      </c>
      <c r="H88" s="21">
        <v>1</v>
      </c>
      <c r="I88" s="21">
        <v>1</v>
      </c>
      <c r="J88" s="21">
        <v>1</v>
      </c>
      <c r="K88" s="21">
        <v>0</v>
      </c>
      <c r="L88" s="21">
        <v>0</v>
      </c>
      <c r="M88" s="21">
        <v>0</v>
      </c>
      <c r="N88" s="21">
        <v>1</v>
      </c>
      <c r="O88" s="21">
        <v>0</v>
      </c>
      <c r="P88" s="21">
        <v>1</v>
      </c>
      <c r="Q88" s="21">
        <v>0</v>
      </c>
      <c r="R88" s="21">
        <v>0</v>
      </c>
      <c r="S88" s="21">
        <v>1</v>
      </c>
      <c r="T88" s="21">
        <v>0</v>
      </c>
      <c r="U88" s="22">
        <f t="shared" si="35"/>
        <v>46316</v>
      </c>
      <c r="V88" s="19" t="str">
        <f t="shared" si="36"/>
        <v>B4EC</v>
      </c>
      <c r="W88" s="7"/>
      <c r="X88" s="23">
        <v>46316</v>
      </c>
      <c r="Y88" s="19" t="str">
        <f t="shared" si="32"/>
        <v>B4EC</v>
      </c>
      <c r="Z88" s="18">
        <f t="shared" si="30"/>
        <v>1</v>
      </c>
      <c r="AA88" s="18">
        <f t="shared" si="31"/>
        <v>1</v>
      </c>
      <c r="AB88" s="18">
        <f t="shared" si="31"/>
        <v>1</v>
      </c>
      <c r="AC88" s="18">
        <f t="shared" si="31"/>
        <v>1</v>
      </c>
      <c r="AD88" s="18">
        <f t="shared" si="31"/>
        <v>1</v>
      </c>
      <c r="AE88" s="18">
        <f t="shared" si="31"/>
        <v>1</v>
      </c>
      <c r="AF88" s="18">
        <f t="shared" si="31"/>
        <v>0</v>
      </c>
      <c r="AG88" s="18">
        <f t="shared" si="31"/>
        <v>0</v>
      </c>
      <c r="AH88" s="18">
        <f t="shared" si="31"/>
        <v>0</v>
      </c>
      <c r="AI88" s="18">
        <f t="shared" si="31"/>
        <v>1</v>
      </c>
      <c r="AJ88" s="18">
        <f t="shared" si="31"/>
        <v>0</v>
      </c>
      <c r="AK88" s="18">
        <f t="shared" si="31"/>
        <v>1</v>
      </c>
      <c r="AL88" s="18">
        <f t="shared" si="31"/>
        <v>0</v>
      </c>
      <c r="AM88" s="18">
        <f t="shared" si="31"/>
        <v>0</v>
      </c>
      <c r="AN88" s="18">
        <f t="shared" si="31"/>
        <v>1</v>
      </c>
      <c r="AO88" s="18">
        <f t="shared" si="31"/>
        <v>0</v>
      </c>
      <c r="AQ88" s="28" t="str">
        <f t="shared" si="37"/>
        <v xml:space="preserve">    0xB4EC,  // B</v>
      </c>
    </row>
    <row r="89" spans="1:43" ht="18.75" x14ac:dyDescent="0.3">
      <c r="A89" s="6"/>
      <c r="B89" s="16">
        <v>67</v>
      </c>
      <c r="C89" s="19" t="str">
        <f t="shared" si="33"/>
        <v>43</v>
      </c>
      <c r="D89" s="20" t="str">
        <f t="shared" si="34"/>
        <v>C</v>
      </c>
      <c r="E89" s="21">
        <v>1</v>
      </c>
      <c r="F89" s="21">
        <v>1</v>
      </c>
      <c r="G89" s="21">
        <v>0</v>
      </c>
      <c r="H89" s="21">
        <v>0</v>
      </c>
      <c r="I89" s="21">
        <v>1</v>
      </c>
      <c r="J89" s="21">
        <v>1</v>
      </c>
      <c r="K89" s="21">
        <v>1</v>
      </c>
      <c r="L89" s="21">
        <v>1</v>
      </c>
      <c r="M89" s="21">
        <v>0</v>
      </c>
      <c r="N89" s="21">
        <v>0</v>
      </c>
      <c r="O89" s="21">
        <v>0</v>
      </c>
      <c r="P89" s="21">
        <v>0</v>
      </c>
      <c r="Q89" s="21">
        <v>0</v>
      </c>
      <c r="R89" s="21">
        <v>0</v>
      </c>
      <c r="S89" s="21">
        <v>0</v>
      </c>
      <c r="T89" s="21">
        <v>0</v>
      </c>
      <c r="U89" s="22">
        <f t="shared" si="35"/>
        <v>9765</v>
      </c>
      <c r="V89" s="19" t="str">
        <f t="shared" si="36"/>
        <v>2625</v>
      </c>
      <c r="W89" s="7"/>
      <c r="X89" s="23">
        <v>9765</v>
      </c>
      <c r="Y89" s="19" t="str">
        <f t="shared" si="32"/>
        <v>2625</v>
      </c>
      <c r="Z89" s="18">
        <f t="shared" si="30"/>
        <v>1</v>
      </c>
      <c r="AA89" s="18">
        <f t="shared" si="31"/>
        <v>1</v>
      </c>
      <c r="AB89" s="18">
        <f t="shared" si="31"/>
        <v>0</v>
      </c>
      <c r="AC89" s="18">
        <f t="shared" si="31"/>
        <v>0</v>
      </c>
      <c r="AD89" s="18">
        <f t="shared" si="31"/>
        <v>1</v>
      </c>
      <c r="AE89" s="18">
        <f t="shared" si="31"/>
        <v>1</v>
      </c>
      <c r="AF89" s="18">
        <f t="shared" si="31"/>
        <v>1</v>
      </c>
      <c r="AG89" s="18">
        <f t="shared" si="31"/>
        <v>1</v>
      </c>
      <c r="AH89" s="18">
        <f t="shared" si="31"/>
        <v>0</v>
      </c>
      <c r="AI89" s="18">
        <f t="shared" si="31"/>
        <v>0</v>
      </c>
      <c r="AJ89" s="18">
        <f t="shared" si="31"/>
        <v>0</v>
      </c>
      <c r="AK89" s="18">
        <f t="shared" si="31"/>
        <v>0</v>
      </c>
      <c r="AL89" s="18">
        <f t="shared" si="31"/>
        <v>0</v>
      </c>
      <c r="AM89" s="18">
        <f t="shared" si="31"/>
        <v>0</v>
      </c>
      <c r="AN89" s="18">
        <f t="shared" si="31"/>
        <v>0</v>
      </c>
      <c r="AO89" s="18">
        <f t="shared" si="31"/>
        <v>0</v>
      </c>
      <c r="AQ89" s="28" t="str">
        <f t="shared" si="37"/>
        <v xml:space="preserve">    0x2625,  // C</v>
      </c>
    </row>
    <row r="90" spans="1:43" ht="18.75" x14ac:dyDescent="0.3">
      <c r="A90" s="6"/>
      <c r="B90" s="16">
        <v>68</v>
      </c>
      <c r="C90" s="19" t="str">
        <f t="shared" si="33"/>
        <v>44</v>
      </c>
      <c r="D90" s="20" t="str">
        <f t="shared" si="34"/>
        <v>D</v>
      </c>
      <c r="E90" s="21">
        <v>1</v>
      </c>
      <c r="F90" s="21">
        <v>1</v>
      </c>
      <c r="G90" s="21">
        <v>1</v>
      </c>
      <c r="H90" s="21">
        <v>1</v>
      </c>
      <c r="I90" s="21">
        <v>1</v>
      </c>
      <c r="J90" s="21">
        <v>1</v>
      </c>
      <c r="K90" s="21">
        <v>0</v>
      </c>
      <c r="L90" s="21">
        <v>0</v>
      </c>
      <c r="M90" s="21">
        <v>0</v>
      </c>
      <c r="N90" s="21">
        <v>0</v>
      </c>
      <c r="O90" s="21">
        <v>0</v>
      </c>
      <c r="P90" s="21">
        <v>1</v>
      </c>
      <c r="Q90" s="21">
        <v>0</v>
      </c>
      <c r="R90" s="21">
        <v>0</v>
      </c>
      <c r="S90" s="21">
        <v>1</v>
      </c>
      <c r="T90" s="21">
        <v>0</v>
      </c>
      <c r="U90" s="22">
        <f t="shared" si="35"/>
        <v>46188</v>
      </c>
      <c r="V90" s="19" t="str">
        <f t="shared" si="36"/>
        <v>B46C</v>
      </c>
      <c r="W90" s="7"/>
      <c r="X90" s="23">
        <v>46188</v>
      </c>
      <c r="Y90" s="19" t="str">
        <f t="shared" si="32"/>
        <v>B46C</v>
      </c>
      <c r="Z90" s="18">
        <f t="shared" si="30"/>
        <v>1</v>
      </c>
      <c r="AA90" s="18">
        <f t="shared" si="31"/>
        <v>1</v>
      </c>
      <c r="AB90" s="18">
        <f t="shared" si="31"/>
        <v>1</v>
      </c>
      <c r="AC90" s="18">
        <f t="shared" si="31"/>
        <v>1</v>
      </c>
      <c r="AD90" s="18">
        <f t="shared" si="31"/>
        <v>1</v>
      </c>
      <c r="AE90" s="18">
        <f t="shared" si="31"/>
        <v>1</v>
      </c>
      <c r="AF90" s="18">
        <f t="shared" si="31"/>
        <v>0</v>
      </c>
      <c r="AG90" s="18">
        <f t="shared" si="31"/>
        <v>0</v>
      </c>
      <c r="AH90" s="18">
        <f t="shared" si="31"/>
        <v>0</v>
      </c>
      <c r="AI90" s="18">
        <f t="shared" si="31"/>
        <v>0</v>
      </c>
      <c r="AJ90" s="18">
        <f t="shared" si="31"/>
        <v>0</v>
      </c>
      <c r="AK90" s="18">
        <f t="shared" si="31"/>
        <v>1</v>
      </c>
      <c r="AL90" s="18">
        <f t="shared" si="31"/>
        <v>0</v>
      </c>
      <c r="AM90" s="18">
        <f t="shared" si="31"/>
        <v>0</v>
      </c>
      <c r="AN90" s="18">
        <f t="shared" si="31"/>
        <v>1</v>
      </c>
      <c r="AO90" s="18">
        <f t="shared" si="31"/>
        <v>0</v>
      </c>
      <c r="AQ90" s="28" t="str">
        <f t="shared" si="37"/>
        <v xml:space="preserve">    0xB46C,  // D</v>
      </c>
    </row>
    <row r="91" spans="1:43" ht="18.75" x14ac:dyDescent="0.3">
      <c r="A91" s="6"/>
      <c r="B91" s="16">
        <v>69</v>
      </c>
      <c r="C91" s="19" t="str">
        <f t="shared" si="33"/>
        <v>45</v>
      </c>
      <c r="D91" s="20" t="str">
        <f t="shared" si="34"/>
        <v>E</v>
      </c>
      <c r="E91" s="21">
        <v>1</v>
      </c>
      <c r="F91" s="21">
        <v>1</v>
      </c>
      <c r="G91" s="21">
        <v>0</v>
      </c>
      <c r="H91" s="21">
        <v>0</v>
      </c>
      <c r="I91" s="21">
        <v>1</v>
      </c>
      <c r="J91" s="21">
        <v>1</v>
      </c>
      <c r="K91" s="21">
        <v>1</v>
      </c>
      <c r="L91" s="21">
        <v>1</v>
      </c>
      <c r="M91" s="21">
        <v>1</v>
      </c>
      <c r="N91" s="21">
        <v>1</v>
      </c>
      <c r="O91" s="21">
        <v>0</v>
      </c>
      <c r="P91" s="21">
        <v>0</v>
      </c>
      <c r="Q91" s="21">
        <v>0</v>
      </c>
      <c r="R91" s="21">
        <v>0</v>
      </c>
      <c r="S91" s="21">
        <v>0</v>
      </c>
      <c r="T91" s="21">
        <v>0</v>
      </c>
      <c r="U91" s="22">
        <f t="shared" si="35"/>
        <v>10149</v>
      </c>
      <c r="V91" s="19" t="str">
        <f t="shared" si="36"/>
        <v>27A5</v>
      </c>
      <c r="W91" s="7"/>
      <c r="X91" s="23">
        <v>10149</v>
      </c>
      <c r="Y91" s="19" t="str">
        <f t="shared" si="32"/>
        <v>27A5</v>
      </c>
      <c r="Z91" s="18">
        <f t="shared" si="30"/>
        <v>1</v>
      </c>
      <c r="AA91" s="18">
        <f t="shared" si="31"/>
        <v>1</v>
      </c>
      <c r="AB91" s="18">
        <f t="shared" si="31"/>
        <v>0</v>
      </c>
      <c r="AC91" s="18">
        <f t="shared" si="31"/>
        <v>0</v>
      </c>
      <c r="AD91" s="18">
        <f t="shared" si="31"/>
        <v>1</v>
      </c>
      <c r="AE91" s="18">
        <f t="shared" si="31"/>
        <v>1</v>
      </c>
      <c r="AF91" s="18">
        <f t="shared" si="31"/>
        <v>1</v>
      </c>
      <c r="AG91" s="18">
        <f t="shared" si="31"/>
        <v>1</v>
      </c>
      <c r="AH91" s="18">
        <f t="shared" si="31"/>
        <v>1</v>
      </c>
      <c r="AI91" s="18">
        <f t="shared" si="31"/>
        <v>1</v>
      </c>
      <c r="AJ91" s="18">
        <f t="shared" si="31"/>
        <v>0</v>
      </c>
      <c r="AK91" s="18">
        <f t="shared" si="31"/>
        <v>0</v>
      </c>
      <c r="AL91" s="18">
        <f t="shared" si="31"/>
        <v>0</v>
      </c>
      <c r="AM91" s="18">
        <f t="shared" si="31"/>
        <v>0</v>
      </c>
      <c r="AN91" s="18">
        <f t="shared" si="31"/>
        <v>0</v>
      </c>
      <c r="AO91" s="18">
        <f t="shared" si="31"/>
        <v>0</v>
      </c>
      <c r="AQ91" s="28" t="str">
        <f t="shared" si="37"/>
        <v xml:space="preserve">    0x27A5,  // E</v>
      </c>
    </row>
    <row r="92" spans="1:43" ht="18.75" x14ac:dyDescent="0.3">
      <c r="A92" s="6"/>
      <c r="B92" s="16">
        <v>70</v>
      </c>
      <c r="C92" s="19" t="str">
        <f t="shared" si="33"/>
        <v>46</v>
      </c>
      <c r="D92" s="20" t="str">
        <f t="shared" si="34"/>
        <v>F</v>
      </c>
      <c r="E92" s="21">
        <v>1</v>
      </c>
      <c r="F92" s="21">
        <v>1</v>
      </c>
      <c r="G92" s="21">
        <v>0</v>
      </c>
      <c r="H92" s="21">
        <v>0</v>
      </c>
      <c r="I92" s="21">
        <v>0</v>
      </c>
      <c r="J92" s="21">
        <v>0</v>
      </c>
      <c r="K92" s="21">
        <v>1</v>
      </c>
      <c r="L92" s="21">
        <v>1</v>
      </c>
      <c r="M92" s="21">
        <v>1</v>
      </c>
      <c r="N92" s="21">
        <v>1</v>
      </c>
      <c r="O92" s="21">
        <v>0</v>
      </c>
      <c r="P92" s="21">
        <v>0</v>
      </c>
      <c r="Q92" s="21">
        <v>0</v>
      </c>
      <c r="R92" s="21">
        <v>0</v>
      </c>
      <c r="S92" s="21">
        <v>0</v>
      </c>
      <c r="T92" s="21">
        <v>0</v>
      </c>
      <c r="U92" s="22">
        <f t="shared" si="35"/>
        <v>933</v>
      </c>
      <c r="V92" s="19" t="str">
        <f t="shared" si="36"/>
        <v>03A5</v>
      </c>
      <c r="W92" s="7"/>
      <c r="X92" s="23">
        <v>933</v>
      </c>
      <c r="Y92" s="19" t="str">
        <f t="shared" si="32"/>
        <v>03A5</v>
      </c>
      <c r="Z92" s="18">
        <f t="shared" si="30"/>
        <v>1</v>
      </c>
      <c r="AA92" s="18">
        <f t="shared" si="31"/>
        <v>1</v>
      </c>
      <c r="AB92" s="18">
        <f t="shared" si="31"/>
        <v>0</v>
      </c>
      <c r="AC92" s="18">
        <f t="shared" si="31"/>
        <v>0</v>
      </c>
      <c r="AD92" s="18">
        <f t="shared" si="31"/>
        <v>0</v>
      </c>
      <c r="AE92" s="18">
        <f t="shared" si="31"/>
        <v>0</v>
      </c>
      <c r="AF92" s="18">
        <f t="shared" si="31"/>
        <v>1</v>
      </c>
      <c r="AG92" s="18">
        <f t="shared" si="31"/>
        <v>1</v>
      </c>
      <c r="AH92" s="18">
        <f t="shared" si="31"/>
        <v>1</v>
      </c>
      <c r="AI92" s="18">
        <f t="shared" si="31"/>
        <v>1</v>
      </c>
      <c r="AJ92" s="18">
        <f t="shared" si="31"/>
        <v>0</v>
      </c>
      <c r="AK92" s="18">
        <f t="shared" si="31"/>
        <v>0</v>
      </c>
      <c r="AL92" s="18">
        <f t="shared" si="31"/>
        <v>0</v>
      </c>
      <c r="AM92" s="18">
        <f t="shared" si="31"/>
        <v>0</v>
      </c>
      <c r="AN92" s="18">
        <f t="shared" si="31"/>
        <v>0</v>
      </c>
      <c r="AO92" s="18">
        <f t="shared" si="31"/>
        <v>0</v>
      </c>
      <c r="AQ92" s="28" t="str">
        <f t="shared" si="37"/>
        <v xml:space="preserve">    0x03A5,  // F</v>
      </c>
    </row>
    <row r="93" spans="1:43" ht="18.75" x14ac:dyDescent="0.3">
      <c r="A93" s="6"/>
      <c r="B93" s="16">
        <v>71</v>
      </c>
      <c r="C93" s="19" t="str">
        <f t="shared" si="33"/>
        <v>47</v>
      </c>
      <c r="D93" s="20" t="str">
        <f t="shared" si="34"/>
        <v>G</v>
      </c>
      <c r="E93" s="21">
        <v>1</v>
      </c>
      <c r="F93" s="21">
        <v>1</v>
      </c>
      <c r="G93" s="21">
        <v>0</v>
      </c>
      <c r="H93" s="21">
        <v>1</v>
      </c>
      <c r="I93" s="21">
        <v>1</v>
      </c>
      <c r="J93" s="21">
        <v>1</v>
      </c>
      <c r="K93" s="21">
        <v>1</v>
      </c>
      <c r="L93" s="21">
        <v>1</v>
      </c>
      <c r="M93" s="21">
        <v>0</v>
      </c>
      <c r="N93" s="21">
        <v>1</v>
      </c>
      <c r="O93" s="21">
        <v>0</v>
      </c>
      <c r="P93" s="21">
        <v>0</v>
      </c>
      <c r="Q93" s="21">
        <v>0</v>
      </c>
      <c r="R93" s="21">
        <v>0</v>
      </c>
      <c r="S93" s="21">
        <v>0</v>
      </c>
      <c r="T93" s="21">
        <v>0</v>
      </c>
      <c r="U93" s="22">
        <f t="shared" si="35"/>
        <v>42661</v>
      </c>
      <c r="V93" s="19" t="str">
        <f t="shared" si="36"/>
        <v>A6A5</v>
      </c>
      <c r="W93" s="7"/>
      <c r="X93" s="23">
        <v>42661</v>
      </c>
      <c r="Y93" s="19" t="str">
        <f t="shared" si="32"/>
        <v>A6A5</v>
      </c>
      <c r="Z93" s="18">
        <f t="shared" si="30"/>
        <v>1</v>
      </c>
      <c r="AA93" s="18">
        <f t="shared" si="31"/>
        <v>1</v>
      </c>
      <c r="AB93" s="18">
        <f t="shared" si="31"/>
        <v>0</v>
      </c>
      <c r="AC93" s="18">
        <f t="shared" si="31"/>
        <v>1</v>
      </c>
      <c r="AD93" s="18">
        <f t="shared" si="31"/>
        <v>1</v>
      </c>
      <c r="AE93" s="18">
        <f t="shared" si="31"/>
        <v>1</v>
      </c>
      <c r="AF93" s="18">
        <f t="shared" si="31"/>
        <v>1</v>
      </c>
      <c r="AG93" s="18">
        <f t="shared" si="31"/>
        <v>1</v>
      </c>
      <c r="AH93" s="18">
        <f t="shared" si="31"/>
        <v>0</v>
      </c>
      <c r="AI93" s="18">
        <f t="shared" si="31"/>
        <v>1</v>
      </c>
      <c r="AJ93" s="18">
        <f t="shared" si="31"/>
        <v>0</v>
      </c>
      <c r="AK93" s="18">
        <f t="shared" si="31"/>
        <v>0</v>
      </c>
      <c r="AL93" s="18">
        <f t="shared" si="31"/>
        <v>0</v>
      </c>
      <c r="AM93" s="18">
        <f t="shared" si="31"/>
        <v>0</v>
      </c>
      <c r="AN93" s="18">
        <f t="shared" si="31"/>
        <v>0</v>
      </c>
      <c r="AO93" s="18">
        <f t="shared" si="31"/>
        <v>0</v>
      </c>
      <c r="AQ93" s="28" t="str">
        <f t="shared" si="37"/>
        <v xml:space="preserve">    0xA6A5,  // G</v>
      </c>
    </row>
    <row r="94" spans="1:43" ht="18.75" x14ac:dyDescent="0.3">
      <c r="A94" s="6"/>
      <c r="B94" s="16">
        <v>72</v>
      </c>
      <c r="C94" s="19" t="str">
        <f t="shared" si="33"/>
        <v>48</v>
      </c>
      <c r="D94" s="20" t="str">
        <f t="shared" si="34"/>
        <v>H</v>
      </c>
      <c r="E94" s="21">
        <v>0</v>
      </c>
      <c r="F94" s="21">
        <v>0</v>
      </c>
      <c r="G94" s="21">
        <v>1</v>
      </c>
      <c r="H94" s="21">
        <v>1</v>
      </c>
      <c r="I94" s="21">
        <v>0</v>
      </c>
      <c r="J94" s="21">
        <v>0</v>
      </c>
      <c r="K94" s="21">
        <v>1</v>
      </c>
      <c r="L94" s="21">
        <v>1</v>
      </c>
      <c r="M94" s="21">
        <v>1</v>
      </c>
      <c r="N94" s="21">
        <v>1</v>
      </c>
      <c r="O94" s="21">
        <v>0</v>
      </c>
      <c r="P94" s="21">
        <v>0</v>
      </c>
      <c r="Q94" s="21">
        <v>0</v>
      </c>
      <c r="R94" s="21">
        <v>0</v>
      </c>
      <c r="S94" s="21">
        <v>0</v>
      </c>
      <c r="T94" s="21">
        <v>0</v>
      </c>
      <c r="U94" s="22">
        <f t="shared" si="35"/>
        <v>33729</v>
      </c>
      <c r="V94" s="19" t="str">
        <f t="shared" si="36"/>
        <v>83C1</v>
      </c>
      <c r="W94" s="7"/>
      <c r="X94" s="23">
        <v>33729</v>
      </c>
      <c r="Y94" s="19" t="str">
        <f t="shared" si="32"/>
        <v>83C1</v>
      </c>
      <c r="Z94" s="18">
        <f t="shared" si="30"/>
        <v>0</v>
      </c>
      <c r="AA94" s="18">
        <f t="shared" si="31"/>
        <v>0</v>
      </c>
      <c r="AB94" s="18">
        <f t="shared" si="31"/>
        <v>1</v>
      </c>
      <c r="AC94" s="18">
        <f t="shared" si="31"/>
        <v>1</v>
      </c>
      <c r="AD94" s="18">
        <f t="shared" si="31"/>
        <v>0</v>
      </c>
      <c r="AE94" s="18">
        <f t="shared" si="31"/>
        <v>0</v>
      </c>
      <c r="AF94" s="18">
        <f t="shared" si="31"/>
        <v>1</v>
      </c>
      <c r="AG94" s="18">
        <f t="shared" si="31"/>
        <v>1</v>
      </c>
      <c r="AH94" s="18">
        <f t="shared" si="31"/>
        <v>1</v>
      </c>
      <c r="AI94" s="18">
        <f t="shared" si="31"/>
        <v>1</v>
      </c>
      <c r="AJ94" s="18">
        <f t="shared" si="31"/>
        <v>0</v>
      </c>
      <c r="AK94" s="18">
        <f t="shared" si="31"/>
        <v>0</v>
      </c>
      <c r="AL94" s="18">
        <f t="shared" si="31"/>
        <v>0</v>
      </c>
      <c r="AM94" s="18">
        <f t="shared" si="31"/>
        <v>0</v>
      </c>
      <c r="AN94" s="18">
        <f t="shared" si="31"/>
        <v>0</v>
      </c>
      <c r="AO94" s="18">
        <f t="shared" si="31"/>
        <v>0</v>
      </c>
      <c r="AQ94" s="28" t="str">
        <f t="shared" si="37"/>
        <v xml:space="preserve">    0x83C1,  // H</v>
      </c>
    </row>
    <row r="95" spans="1:43" ht="18.75" x14ac:dyDescent="0.3">
      <c r="A95" s="6"/>
      <c r="B95" s="16">
        <v>73</v>
      </c>
      <c r="C95" s="19" t="str">
        <f t="shared" si="33"/>
        <v>49</v>
      </c>
      <c r="D95" s="20" t="str">
        <f t="shared" si="34"/>
        <v>I</v>
      </c>
      <c r="E95" s="21">
        <v>1</v>
      </c>
      <c r="F95" s="21">
        <v>1</v>
      </c>
      <c r="G95" s="21">
        <v>0</v>
      </c>
      <c r="H95" s="21">
        <v>0</v>
      </c>
      <c r="I95" s="21">
        <v>1</v>
      </c>
      <c r="J95" s="21">
        <v>1</v>
      </c>
      <c r="K95" s="21">
        <v>0</v>
      </c>
      <c r="L95" s="21">
        <v>0</v>
      </c>
      <c r="M95" s="21">
        <v>0</v>
      </c>
      <c r="N95" s="21">
        <v>0</v>
      </c>
      <c r="O95" s="21">
        <v>0</v>
      </c>
      <c r="P95" s="21">
        <v>1</v>
      </c>
      <c r="Q95" s="21">
        <v>0</v>
      </c>
      <c r="R95" s="21">
        <v>0</v>
      </c>
      <c r="S95" s="21">
        <v>1</v>
      </c>
      <c r="T95" s="21">
        <v>0</v>
      </c>
      <c r="U95" s="22">
        <f t="shared" si="35"/>
        <v>13356</v>
      </c>
      <c r="V95" s="19" t="str">
        <f t="shared" si="36"/>
        <v>342C</v>
      </c>
      <c r="W95" s="7"/>
      <c r="X95" s="23">
        <v>13356</v>
      </c>
      <c r="Y95" s="19" t="str">
        <f t="shared" si="32"/>
        <v>342C</v>
      </c>
      <c r="Z95" s="18">
        <f t="shared" si="30"/>
        <v>1</v>
      </c>
      <c r="AA95" s="18">
        <f t="shared" si="31"/>
        <v>1</v>
      </c>
      <c r="AB95" s="18">
        <f t="shared" si="31"/>
        <v>0</v>
      </c>
      <c r="AC95" s="18">
        <f t="shared" si="31"/>
        <v>0</v>
      </c>
      <c r="AD95" s="18">
        <f t="shared" si="31"/>
        <v>1</v>
      </c>
      <c r="AE95" s="18">
        <f t="shared" si="31"/>
        <v>1</v>
      </c>
      <c r="AF95" s="18">
        <f t="shared" si="31"/>
        <v>0</v>
      </c>
      <c r="AG95" s="18">
        <f t="shared" si="31"/>
        <v>0</v>
      </c>
      <c r="AH95" s="18">
        <f t="shared" si="31"/>
        <v>0</v>
      </c>
      <c r="AI95" s="18">
        <f t="shared" si="31"/>
        <v>0</v>
      </c>
      <c r="AJ95" s="18">
        <f t="shared" si="31"/>
        <v>0</v>
      </c>
      <c r="AK95" s="18">
        <f t="shared" si="31"/>
        <v>1</v>
      </c>
      <c r="AL95" s="18">
        <f t="shared" si="31"/>
        <v>0</v>
      </c>
      <c r="AM95" s="18">
        <f t="shared" si="31"/>
        <v>0</v>
      </c>
      <c r="AN95" s="18">
        <f t="shared" si="31"/>
        <v>1</v>
      </c>
      <c r="AO95" s="18">
        <f t="shared" si="31"/>
        <v>0</v>
      </c>
      <c r="AQ95" s="28" t="str">
        <f t="shared" si="37"/>
        <v xml:space="preserve">    0x342C,  // I</v>
      </c>
    </row>
    <row r="96" spans="1:43" ht="18.75" x14ac:dyDescent="0.3">
      <c r="A96" s="6"/>
      <c r="B96" s="16">
        <v>74</v>
      </c>
      <c r="C96" s="19" t="str">
        <f t="shared" si="33"/>
        <v>4A</v>
      </c>
      <c r="D96" s="20" t="str">
        <f t="shared" si="34"/>
        <v>J</v>
      </c>
      <c r="E96" s="21">
        <v>0</v>
      </c>
      <c r="F96" s="21">
        <v>0</v>
      </c>
      <c r="G96" s="21">
        <v>1</v>
      </c>
      <c r="H96" s="21">
        <v>1</v>
      </c>
      <c r="I96" s="21">
        <v>1</v>
      </c>
      <c r="J96" s="21">
        <v>1</v>
      </c>
      <c r="K96" s="21">
        <v>0</v>
      </c>
      <c r="L96" s="21">
        <v>0</v>
      </c>
      <c r="M96" s="21">
        <v>0</v>
      </c>
      <c r="N96" s="21">
        <v>0</v>
      </c>
      <c r="O96" s="21">
        <v>0</v>
      </c>
      <c r="P96" s="21">
        <v>0</v>
      </c>
      <c r="Q96" s="21">
        <v>0</v>
      </c>
      <c r="R96" s="21">
        <v>0</v>
      </c>
      <c r="S96" s="21">
        <v>0</v>
      </c>
      <c r="T96" s="21">
        <v>0</v>
      </c>
      <c r="U96" s="22">
        <f t="shared" si="35"/>
        <v>42048</v>
      </c>
      <c r="V96" s="19" t="str">
        <f t="shared" si="36"/>
        <v>A440</v>
      </c>
      <c r="W96" s="7"/>
      <c r="X96" s="23">
        <v>5164</v>
      </c>
      <c r="Y96" s="19" t="str">
        <f t="shared" si="32"/>
        <v>142C</v>
      </c>
      <c r="Z96" s="18">
        <f t="shared" si="30"/>
        <v>1</v>
      </c>
      <c r="AA96" s="18">
        <f t="shared" si="31"/>
        <v>1</v>
      </c>
      <c r="AB96" s="18">
        <f t="shared" si="31"/>
        <v>0</v>
      </c>
      <c r="AC96" s="18">
        <f t="shared" si="31"/>
        <v>0</v>
      </c>
      <c r="AD96" s="18">
        <f t="shared" si="31"/>
        <v>1</v>
      </c>
      <c r="AE96" s="18">
        <f t="shared" si="31"/>
        <v>0</v>
      </c>
      <c r="AF96" s="18">
        <f t="shared" si="31"/>
        <v>0</v>
      </c>
      <c r="AG96" s="18">
        <f t="shared" si="31"/>
        <v>0</v>
      </c>
      <c r="AH96" s="18">
        <f t="shared" si="31"/>
        <v>0</v>
      </c>
      <c r="AI96" s="18">
        <f t="shared" si="31"/>
        <v>0</v>
      </c>
      <c r="AJ96" s="18">
        <f t="shared" si="31"/>
        <v>0</v>
      </c>
      <c r="AK96" s="18">
        <f t="shared" si="31"/>
        <v>1</v>
      </c>
      <c r="AL96" s="18">
        <f t="shared" si="31"/>
        <v>0</v>
      </c>
      <c r="AM96" s="18">
        <f t="shared" si="31"/>
        <v>0</v>
      </c>
      <c r="AN96" s="18">
        <f t="shared" si="31"/>
        <v>1</v>
      </c>
      <c r="AO96" s="18">
        <f t="shared" si="31"/>
        <v>0</v>
      </c>
      <c r="AQ96" s="28" t="str">
        <f t="shared" si="37"/>
        <v xml:space="preserve">    0xA440,  // J</v>
      </c>
    </row>
    <row r="97" spans="1:43" ht="18.75" x14ac:dyDescent="0.3">
      <c r="A97" s="6"/>
      <c r="B97" s="16">
        <v>75</v>
      </c>
      <c r="C97" s="19" t="str">
        <f t="shared" si="33"/>
        <v>4B</v>
      </c>
      <c r="D97" s="20" t="str">
        <f t="shared" si="34"/>
        <v>K</v>
      </c>
      <c r="E97" s="21">
        <v>0</v>
      </c>
      <c r="F97" s="21">
        <v>0</v>
      </c>
      <c r="G97" s="21">
        <v>0</v>
      </c>
      <c r="H97" s="21">
        <v>0</v>
      </c>
      <c r="I97" s="21">
        <v>0</v>
      </c>
      <c r="J97" s="21">
        <v>0</v>
      </c>
      <c r="K97" s="21">
        <v>1</v>
      </c>
      <c r="L97" s="21">
        <v>1</v>
      </c>
      <c r="M97" s="21">
        <v>1</v>
      </c>
      <c r="N97" s="21">
        <v>0</v>
      </c>
      <c r="O97" s="21">
        <v>0</v>
      </c>
      <c r="P97" s="21">
        <v>0</v>
      </c>
      <c r="Q97" s="21">
        <v>1</v>
      </c>
      <c r="R97" s="21">
        <v>1</v>
      </c>
      <c r="S97" s="21">
        <v>0</v>
      </c>
      <c r="T97" s="21">
        <v>0</v>
      </c>
      <c r="U97" s="22">
        <f t="shared" si="35"/>
        <v>17169</v>
      </c>
      <c r="V97" s="19" t="str">
        <f t="shared" si="36"/>
        <v>4311</v>
      </c>
      <c r="W97" s="7"/>
      <c r="X97" s="23">
        <v>17169</v>
      </c>
      <c r="Y97" s="19" t="str">
        <f t="shared" si="32"/>
        <v>4311</v>
      </c>
      <c r="Z97" s="18">
        <f t="shared" si="30"/>
        <v>0</v>
      </c>
      <c r="AA97" s="18">
        <f t="shared" si="31"/>
        <v>0</v>
      </c>
      <c r="AB97" s="18">
        <f t="shared" si="31"/>
        <v>0</v>
      </c>
      <c r="AC97" s="18">
        <f t="shared" si="31"/>
        <v>0</v>
      </c>
      <c r="AD97" s="18">
        <f t="shared" si="31"/>
        <v>0</v>
      </c>
      <c r="AE97" s="18">
        <f t="shared" si="31"/>
        <v>0</v>
      </c>
      <c r="AF97" s="18">
        <f t="shared" si="31"/>
        <v>1</v>
      </c>
      <c r="AG97" s="18">
        <f t="shared" si="31"/>
        <v>1</v>
      </c>
      <c r="AH97" s="18">
        <f t="shared" si="31"/>
        <v>1</v>
      </c>
      <c r="AI97" s="18">
        <f t="shared" si="31"/>
        <v>0</v>
      </c>
      <c r="AJ97" s="18">
        <f t="shared" si="31"/>
        <v>0</v>
      </c>
      <c r="AK97" s="18">
        <f t="shared" si="31"/>
        <v>0</v>
      </c>
      <c r="AL97" s="18">
        <f t="shared" si="31"/>
        <v>1</v>
      </c>
      <c r="AM97" s="18">
        <f t="shared" si="31"/>
        <v>1</v>
      </c>
      <c r="AN97" s="18">
        <f t="shared" si="31"/>
        <v>0</v>
      </c>
      <c r="AO97" s="18">
        <f t="shared" si="31"/>
        <v>0</v>
      </c>
      <c r="AQ97" s="28" t="str">
        <f t="shared" si="37"/>
        <v xml:space="preserve">    0x4311,  // K</v>
      </c>
    </row>
    <row r="98" spans="1:43" ht="18.75" x14ac:dyDescent="0.3">
      <c r="A98" s="6"/>
      <c r="B98" s="16">
        <v>76</v>
      </c>
      <c r="C98" s="19" t="str">
        <f t="shared" si="33"/>
        <v>4C</v>
      </c>
      <c r="D98" s="20" t="str">
        <f t="shared" si="34"/>
        <v>L</v>
      </c>
      <c r="E98" s="21">
        <v>0</v>
      </c>
      <c r="F98" s="21">
        <v>0</v>
      </c>
      <c r="G98" s="21">
        <v>0</v>
      </c>
      <c r="H98" s="21">
        <v>0</v>
      </c>
      <c r="I98" s="21">
        <v>1</v>
      </c>
      <c r="J98" s="21">
        <v>1</v>
      </c>
      <c r="K98" s="21">
        <v>1</v>
      </c>
      <c r="L98" s="21">
        <v>1</v>
      </c>
      <c r="M98" s="21">
        <v>0</v>
      </c>
      <c r="N98" s="21">
        <v>0</v>
      </c>
      <c r="O98" s="21">
        <v>0</v>
      </c>
      <c r="P98" s="21">
        <v>0</v>
      </c>
      <c r="Q98" s="21">
        <v>0</v>
      </c>
      <c r="R98" s="21">
        <v>0</v>
      </c>
      <c r="S98" s="21">
        <v>0</v>
      </c>
      <c r="T98" s="21">
        <v>0</v>
      </c>
      <c r="U98" s="22">
        <f t="shared" si="35"/>
        <v>9729</v>
      </c>
      <c r="V98" s="19" t="str">
        <f t="shared" si="36"/>
        <v>2601</v>
      </c>
      <c r="W98" s="7"/>
      <c r="X98" s="23">
        <v>9729</v>
      </c>
      <c r="Y98" s="19" t="str">
        <f t="shared" si="32"/>
        <v>2601</v>
      </c>
      <c r="Z98" s="18">
        <f t="shared" si="30"/>
        <v>0</v>
      </c>
      <c r="AA98" s="18">
        <f t="shared" si="31"/>
        <v>0</v>
      </c>
      <c r="AB98" s="18">
        <f t="shared" si="31"/>
        <v>0</v>
      </c>
      <c r="AC98" s="18">
        <f t="shared" si="31"/>
        <v>0</v>
      </c>
      <c r="AD98" s="18">
        <f t="shared" si="31"/>
        <v>1</v>
      </c>
      <c r="AE98" s="18">
        <f t="shared" si="31"/>
        <v>1</v>
      </c>
      <c r="AF98" s="18">
        <f t="shared" si="31"/>
        <v>1</v>
      </c>
      <c r="AG98" s="18">
        <f t="shared" si="31"/>
        <v>1</v>
      </c>
      <c r="AH98" s="18">
        <f t="shared" si="31"/>
        <v>0</v>
      </c>
      <c r="AI98" s="18">
        <f t="shared" si="31"/>
        <v>0</v>
      </c>
      <c r="AJ98" s="18">
        <f t="shared" si="31"/>
        <v>0</v>
      </c>
      <c r="AK98" s="18">
        <f t="shared" si="31"/>
        <v>0</v>
      </c>
      <c r="AL98" s="18">
        <f t="shared" si="31"/>
        <v>0</v>
      </c>
      <c r="AM98" s="18">
        <f t="shared" si="31"/>
        <v>0</v>
      </c>
      <c r="AN98" s="18">
        <f t="shared" si="31"/>
        <v>0</v>
      </c>
      <c r="AO98" s="18">
        <f t="shared" si="31"/>
        <v>0</v>
      </c>
      <c r="AQ98" s="28" t="str">
        <f t="shared" si="37"/>
        <v xml:space="preserve">    0x2601,  // L</v>
      </c>
    </row>
    <row r="99" spans="1:43" ht="18.75" x14ac:dyDescent="0.3">
      <c r="A99" s="6"/>
      <c r="B99" s="16">
        <v>77</v>
      </c>
      <c r="C99" s="19" t="str">
        <f t="shared" si="33"/>
        <v>4D</v>
      </c>
      <c r="D99" s="20" t="str">
        <f t="shared" si="34"/>
        <v>M</v>
      </c>
      <c r="E99" s="21">
        <v>0</v>
      </c>
      <c r="F99" s="21">
        <v>0</v>
      </c>
      <c r="G99" s="21">
        <v>1</v>
      </c>
      <c r="H99" s="21">
        <v>1</v>
      </c>
      <c r="I99" s="21">
        <v>0</v>
      </c>
      <c r="J99" s="21">
        <v>0</v>
      </c>
      <c r="K99" s="21">
        <v>1</v>
      </c>
      <c r="L99" s="21">
        <v>1</v>
      </c>
      <c r="M99" s="21">
        <v>0</v>
      </c>
      <c r="N99" s="21">
        <v>0</v>
      </c>
      <c r="O99" s="21">
        <v>1</v>
      </c>
      <c r="P99" s="21">
        <v>0</v>
      </c>
      <c r="Q99" s="21">
        <v>1</v>
      </c>
      <c r="R99" s="21">
        <v>0</v>
      </c>
      <c r="S99" s="21">
        <v>0</v>
      </c>
      <c r="T99" s="21">
        <v>0</v>
      </c>
      <c r="U99" s="22">
        <f t="shared" si="35"/>
        <v>33363</v>
      </c>
      <c r="V99" s="19" t="str">
        <f t="shared" si="36"/>
        <v>8253</v>
      </c>
      <c r="W99" s="7"/>
      <c r="X99" s="23">
        <v>33363</v>
      </c>
      <c r="Y99" s="19" t="str">
        <f t="shared" si="32"/>
        <v>8253</v>
      </c>
      <c r="Z99" s="18">
        <f t="shared" si="30"/>
        <v>0</v>
      </c>
      <c r="AA99" s="18">
        <f t="shared" si="31"/>
        <v>0</v>
      </c>
      <c r="AB99" s="18">
        <f t="shared" si="31"/>
        <v>1</v>
      </c>
      <c r="AC99" s="18">
        <f t="shared" si="31"/>
        <v>1</v>
      </c>
      <c r="AD99" s="18">
        <f t="shared" si="31"/>
        <v>0</v>
      </c>
      <c r="AE99" s="18">
        <f t="shared" si="31"/>
        <v>0</v>
      </c>
      <c r="AF99" s="18">
        <f t="shared" si="31"/>
        <v>1</v>
      </c>
      <c r="AG99" s="18">
        <f t="shared" si="31"/>
        <v>1</v>
      </c>
      <c r="AH99" s="18">
        <f t="shared" si="31"/>
        <v>0</v>
      </c>
      <c r="AI99" s="18">
        <f t="shared" si="31"/>
        <v>0</v>
      </c>
      <c r="AJ99" s="18">
        <f t="shared" si="31"/>
        <v>1</v>
      </c>
      <c r="AK99" s="18">
        <f t="shared" si="31"/>
        <v>0</v>
      </c>
      <c r="AL99" s="18">
        <f t="shared" si="31"/>
        <v>1</v>
      </c>
      <c r="AM99" s="18">
        <f t="shared" si="31"/>
        <v>0</v>
      </c>
      <c r="AN99" s="18">
        <f t="shared" si="31"/>
        <v>0</v>
      </c>
      <c r="AO99" s="18">
        <f t="shared" si="31"/>
        <v>0</v>
      </c>
      <c r="AQ99" s="28" t="str">
        <f t="shared" si="37"/>
        <v xml:space="preserve">    0x8253,  // M</v>
      </c>
    </row>
    <row r="100" spans="1:43" ht="18.75" x14ac:dyDescent="0.3">
      <c r="A100" s="6"/>
      <c r="B100" s="16">
        <v>78</v>
      </c>
      <c r="C100" s="19" t="str">
        <f t="shared" si="33"/>
        <v>4E</v>
      </c>
      <c r="D100" s="20" t="str">
        <f t="shared" si="34"/>
        <v>N</v>
      </c>
      <c r="E100" s="21">
        <v>0</v>
      </c>
      <c r="F100" s="21">
        <v>0</v>
      </c>
      <c r="G100" s="21">
        <v>1</v>
      </c>
      <c r="H100" s="21">
        <v>1</v>
      </c>
      <c r="I100" s="21">
        <v>0</v>
      </c>
      <c r="J100" s="21">
        <v>0</v>
      </c>
      <c r="K100" s="21">
        <v>1</v>
      </c>
      <c r="L100" s="21">
        <v>1</v>
      </c>
      <c r="M100" s="21">
        <v>0</v>
      </c>
      <c r="N100" s="21">
        <v>0</v>
      </c>
      <c r="O100" s="21">
        <v>1</v>
      </c>
      <c r="P100" s="21">
        <v>0</v>
      </c>
      <c r="Q100" s="21">
        <v>0</v>
      </c>
      <c r="R100" s="21">
        <v>1</v>
      </c>
      <c r="S100" s="21">
        <v>0</v>
      </c>
      <c r="T100" s="21">
        <v>0</v>
      </c>
      <c r="U100" s="22">
        <f t="shared" si="35"/>
        <v>49731</v>
      </c>
      <c r="V100" s="19" t="str">
        <f t="shared" si="36"/>
        <v>C243</v>
      </c>
      <c r="W100" s="7"/>
      <c r="X100" s="23">
        <v>49731</v>
      </c>
      <c r="Y100" s="19" t="str">
        <f t="shared" si="32"/>
        <v>C243</v>
      </c>
      <c r="Z100" s="18">
        <f t="shared" si="30"/>
        <v>0</v>
      </c>
      <c r="AA100" s="18">
        <f t="shared" si="31"/>
        <v>0</v>
      </c>
      <c r="AB100" s="18">
        <f t="shared" si="31"/>
        <v>1</v>
      </c>
      <c r="AC100" s="18">
        <f t="shared" si="31"/>
        <v>1</v>
      </c>
      <c r="AD100" s="18">
        <f t="shared" si="31"/>
        <v>0</v>
      </c>
      <c r="AE100" s="18">
        <f t="shared" si="31"/>
        <v>0</v>
      </c>
      <c r="AF100" s="18">
        <f t="shared" si="31"/>
        <v>1</v>
      </c>
      <c r="AG100" s="18">
        <f t="shared" si="31"/>
        <v>1</v>
      </c>
      <c r="AH100" s="18">
        <f t="shared" si="31"/>
        <v>0</v>
      </c>
      <c r="AI100" s="18">
        <f t="shared" si="31"/>
        <v>0</v>
      </c>
      <c r="AJ100" s="18">
        <f t="shared" si="31"/>
        <v>1</v>
      </c>
      <c r="AK100" s="18">
        <f t="shared" si="31"/>
        <v>0</v>
      </c>
      <c r="AL100" s="18">
        <f t="shared" si="31"/>
        <v>0</v>
      </c>
      <c r="AM100" s="18">
        <f t="shared" si="31"/>
        <v>1</v>
      </c>
      <c r="AN100" s="18">
        <f t="shared" si="31"/>
        <v>0</v>
      </c>
      <c r="AO100" s="18">
        <f t="shared" si="31"/>
        <v>0</v>
      </c>
      <c r="AQ100" s="28" t="str">
        <f t="shared" si="37"/>
        <v xml:space="preserve">    0xC243,  // N</v>
      </c>
    </row>
    <row r="101" spans="1:43" ht="18.75" x14ac:dyDescent="0.3">
      <c r="A101" s="6"/>
      <c r="B101" s="16">
        <v>79</v>
      </c>
      <c r="C101" s="19" t="str">
        <f t="shared" si="33"/>
        <v>4F</v>
      </c>
      <c r="D101" s="20" t="str">
        <f t="shared" si="34"/>
        <v>O</v>
      </c>
      <c r="E101" s="21">
        <v>1</v>
      </c>
      <c r="F101" s="21">
        <v>1</v>
      </c>
      <c r="G101" s="21">
        <v>1</v>
      </c>
      <c r="H101" s="21">
        <v>1</v>
      </c>
      <c r="I101" s="21">
        <v>1</v>
      </c>
      <c r="J101" s="21">
        <v>1</v>
      </c>
      <c r="K101" s="21">
        <v>1</v>
      </c>
      <c r="L101" s="21">
        <v>1</v>
      </c>
      <c r="M101" s="21">
        <v>0</v>
      </c>
      <c r="N101" s="21">
        <v>0</v>
      </c>
      <c r="O101" s="21">
        <v>0</v>
      </c>
      <c r="P101" s="21">
        <v>0</v>
      </c>
      <c r="Q101" s="21">
        <v>1</v>
      </c>
      <c r="R101" s="21">
        <v>0</v>
      </c>
      <c r="S101" s="21">
        <v>0</v>
      </c>
      <c r="T101" s="21">
        <v>0</v>
      </c>
      <c r="U101" s="22">
        <f t="shared" si="35"/>
        <v>42613</v>
      </c>
      <c r="V101" s="19" t="str">
        <f t="shared" si="36"/>
        <v>A675</v>
      </c>
      <c r="W101" s="7"/>
      <c r="X101" s="23">
        <v>42613</v>
      </c>
      <c r="Y101" s="19" t="str">
        <f t="shared" si="32"/>
        <v>A675</v>
      </c>
      <c r="Z101" s="18">
        <f t="shared" si="30"/>
        <v>1</v>
      </c>
      <c r="AA101" s="18">
        <f t="shared" si="31"/>
        <v>1</v>
      </c>
      <c r="AB101" s="18">
        <f t="shared" si="31"/>
        <v>1</v>
      </c>
      <c r="AC101" s="18">
        <f t="shared" si="31"/>
        <v>1</v>
      </c>
      <c r="AD101" s="18">
        <f t="shared" si="31"/>
        <v>1</v>
      </c>
      <c r="AE101" s="18">
        <f t="shared" si="31"/>
        <v>1</v>
      </c>
      <c r="AF101" s="18">
        <f t="shared" si="31"/>
        <v>1</v>
      </c>
      <c r="AG101" s="18">
        <f t="shared" si="31"/>
        <v>1</v>
      </c>
      <c r="AH101" s="18">
        <f t="shared" si="31"/>
        <v>0</v>
      </c>
      <c r="AI101" s="18">
        <f t="shared" si="31"/>
        <v>0</v>
      </c>
      <c r="AJ101" s="18">
        <f t="shared" si="31"/>
        <v>0</v>
      </c>
      <c r="AK101" s="18">
        <f t="shared" si="31"/>
        <v>0</v>
      </c>
      <c r="AL101" s="18">
        <f t="shared" si="31"/>
        <v>1</v>
      </c>
      <c r="AM101" s="18">
        <f t="shared" si="31"/>
        <v>0</v>
      </c>
      <c r="AN101" s="18">
        <f t="shared" si="31"/>
        <v>0</v>
      </c>
      <c r="AO101" s="18">
        <f t="shared" si="31"/>
        <v>0</v>
      </c>
      <c r="AQ101" s="28" t="str">
        <f t="shared" si="37"/>
        <v xml:space="preserve">    0xA675,  // O</v>
      </c>
    </row>
    <row r="102" spans="1:43" ht="18.75" x14ac:dyDescent="0.3">
      <c r="A102" s="6"/>
      <c r="B102" s="16">
        <v>80</v>
      </c>
      <c r="C102" s="19" t="str">
        <f t="shared" si="33"/>
        <v>50</v>
      </c>
      <c r="D102" s="20" t="str">
        <f t="shared" si="34"/>
        <v>P</v>
      </c>
      <c r="E102" s="21">
        <v>1</v>
      </c>
      <c r="F102" s="21">
        <v>1</v>
      </c>
      <c r="G102" s="21">
        <v>1</v>
      </c>
      <c r="H102" s="21">
        <v>0</v>
      </c>
      <c r="I102" s="21">
        <v>0</v>
      </c>
      <c r="J102" s="21">
        <v>0</v>
      </c>
      <c r="K102" s="21">
        <v>1</v>
      </c>
      <c r="L102" s="21">
        <v>1</v>
      </c>
      <c r="M102" s="21">
        <v>1</v>
      </c>
      <c r="N102" s="21">
        <v>1</v>
      </c>
      <c r="O102" s="21">
        <v>0</v>
      </c>
      <c r="P102" s="21">
        <v>0</v>
      </c>
      <c r="Q102" s="21">
        <v>0</v>
      </c>
      <c r="R102" s="21">
        <v>0</v>
      </c>
      <c r="S102" s="21">
        <v>0</v>
      </c>
      <c r="T102" s="21">
        <v>0</v>
      </c>
      <c r="U102" s="22">
        <f t="shared" si="35"/>
        <v>997</v>
      </c>
      <c r="V102" s="19" t="str">
        <f t="shared" si="36"/>
        <v>03E5</v>
      </c>
      <c r="W102" s="7"/>
      <c r="X102" s="23">
        <v>997</v>
      </c>
      <c r="Y102" s="19" t="str">
        <f t="shared" si="32"/>
        <v>03E5</v>
      </c>
      <c r="Z102" s="18">
        <f t="shared" si="30"/>
        <v>1</v>
      </c>
      <c r="AA102" s="18">
        <f t="shared" si="31"/>
        <v>1</v>
      </c>
      <c r="AB102" s="18">
        <f t="shared" si="31"/>
        <v>1</v>
      </c>
      <c r="AC102" s="18">
        <f t="shared" si="31"/>
        <v>0</v>
      </c>
      <c r="AD102" s="18">
        <f t="shared" si="31"/>
        <v>0</v>
      </c>
      <c r="AE102" s="18">
        <f t="shared" si="31"/>
        <v>0</v>
      </c>
      <c r="AF102" s="18">
        <f t="shared" si="31"/>
        <v>1</v>
      </c>
      <c r="AG102" s="18">
        <f t="shared" si="31"/>
        <v>1</v>
      </c>
      <c r="AH102" s="18">
        <f t="shared" si="31"/>
        <v>1</v>
      </c>
      <c r="AI102" s="18">
        <f t="shared" si="31"/>
        <v>1</v>
      </c>
      <c r="AJ102" s="18">
        <f t="shared" si="31"/>
        <v>0</v>
      </c>
      <c r="AK102" s="18">
        <f t="shared" si="31"/>
        <v>0</v>
      </c>
      <c r="AL102" s="18">
        <f t="shared" si="31"/>
        <v>0</v>
      </c>
      <c r="AM102" s="18">
        <f t="shared" si="31"/>
        <v>0</v>
      </c>
      <c r="AN102" s="18">
        <f t="shared" si="31"/>
        <v>0</v>
      </c>
      <c r="AO102" s="18">
        <f t="shared" ref="AA102:AO119" si="38">IF(_xlfn.BITAND($X102,AO$19)=0,0,1)</f>
        <v>0</v>
      </c>
      <c r="AQ102" s="28" t="str">
        <f t="shared" si="37"/>
        <v xml:space="preserve">    0x03E5,  // P</v>
      </c>
    </row>
    <row r="103" spans="1:43" ht="18.75" x14ac:dyDescent="0.3">
      <c r="A103" s="6"/>
      <c r="B103" s="16">
        <v>81</v>
      </c>
      <c r="C103" s="19" t="str">
        <f t="shared" si="33"/>
        <v>51</v>
      </c>
      <c r="D103" s="20" t="str">
        <f t="shared" si="34"/>
        <v>Q</v>
      </c>
      <c r="E103" s="21">
        <v>1</v>
      </c>
      <c r="F103" s="21">
        <v>1</v>
      </c>
      <c r="G103" s="21">
        <v>1</v>
      </c>
      <c r="H103" s="21">
        <v>1</v>
      </c>
      <c r="I103" s="21">
        <v>1</v>
      </c>
      <c r="J103" s="21">
        <v>1</v>
      </c>
      <c r="K103" s="21">
        <v>1</v>
      </c>
      <c r="L103" s="21">
        <v>1</v>
      </c>
      <c r="M103" s="21">
        <v>0</v>
      </c>
      <c r="N103" s="21">
        <v>0</v>
      </c>
      <c r="O103" s="21">
        <v>0</v>
      </c>
      <c r="P103" s="21">
        <v>0</v>
      </c>
      <c r="Q103" s="21">
        <v>0</v>
      </c>
      <c r="R103" s="21">
        <v>1</v>
      </c>
      <c r="S103" s="21">
        <v>0</v>
      </c>
      <c r="T103" s="21">
        <v>0</v>
      </c>
      <c r="U103" s="22">
        <f t="shared" si="35"/>
        <v>58981</v>
      </c>
      <c r="V103" s="19" t="str">
        <f t="shared" si="36"/>
        <v>E665</v>
      </c>
      <c r="W103" s="7"/>
      <c r="X103" s="23">
        <v>58981</v>
      </c>
      <c r="Y103" s="19" t="str">
        <f t="shared" si="32"/>
        <v>E665</v>
      </c>
      <c r="Z103" s="18">
        <f t="shared" si="30"/>
        <v>1</v>
      </c>
      <c r="AA103" s="18">
        <f t="shared" si="38"/>
        <v>1</v>
      </c>
      <c r="AB103" s="18">
        <f t="shared" si="38"/>
        <v>1</v>
      </c>
      <c r="AC103" s="18">
        <f t="shared" si="38"/>
        <v>1</v>
      </c>
      <c r="AD103" s="18">
        <f t="shared" si="38"/>
        <v>1</v>
      </c>
      <c r="AE103" s="18">
        <f t="shared" si="38"/>
        <v>1</v>
      </c>
      <c r="AF103" s="18">
        <f t="shared" si="38"/>
        <v>1</v>
      </c>
      <c r="AG103" s="18">
        <f t="shared" si="38"/>
        <v>1</v>
      </c>
      <c r="AH103" s="18">
        <f t="shared" si="38"/>
        <v>0</v>
      </c>
      <c r="AI103" s="18">
        <f t="shared" si="38"/>
        <v>0</v>
      </c>
      <c r="AJ103" s="18">
        <f t="shared" si="38"/>
        <v>0</v>
      </c>
      <c r="AK103" s="18">
        <f t="shared" si="38"/>
        <v>0</v>
      </c>
      <c r="AL103" s="18">
        <f t="shared" si="38"/>
        <v>0</v>
      </c>
      <c r="AM103" s="18">
        <f t="shared" si="38"/>
        <v>1</v>
      </c>
      <c r="AN103" s="18">
        <f t="shared" si="38"/>
        <v>0</v>
      </c>
      <c r="AO103" s="18">
        <f t="shared" si="38"/>
        <v>0</v>
      </c>
      <c r="AQ103" s="28" t="str">
        <f t="shared" si="37"/>
        <v xml:space="preserve">    0xE665,  // Q</v>
      </c>
    </row>
    <row r="104" spans="1:43" ht="18.75" x14ac:dyDescent="0.3">
      <c r="A104" s="6"/>
      <c r="B104" s="16">
        <v>82</v>
      </c>
      <c r="C104" s="19" t="str">
        <f t="shared" si="33"/>
        <v>52</v>
      </c>
      <c r="D104" s="20" t="str">
        <f t="shared" si="34"/>
        <v>R</v>
      </c>
      <c r="E104" s="21">
        <v>1</v>
      </c>
      <c r="F104" s="21">
        <v>1</v>
      </c>
      <c r="G104" s="21">
        <v>1</v>
      </c>
      <c r="H104" s="21">
        <v>0</v>
      </c>
      <c r="I104" s="21">
        <v>0</v>
      </c>
      <c r="J104" s="21">
        <v>0</v>
      </c>
      <c r="K104" s="21">
        <v>1</v>
      </c>
      <c r="L104" s="21">
        <v>1</v>
      </c>
      <c r="M104" s="21">
        <v>1</v>
      </c>
      <c r="N104" s="21">
        <v>1</v>
      </c>
      <c r="O104" s="21">
        <v>0</v>
      </c>
      <c r="P104" s="21">
        <v>0</v>
      </c>
      <c r="Q104" s="21">
        <v>0</v>
      </c>
      <c r="R104" s="21">
        <v>1</v>
      </c>
      <c r="S104" s="21">
        <v>0</v>
      </c>
      <c r="T104" s="21">
        <v>0</v>
      </c>
      <c r="U104" s="22">
        <f t="shared" si="35"/>
        <v>17381</v>
      </c>
      <c r="V104" s="19" t="str">
        <f t="shared" si="36"/>
        <v>43E5</v>
      </c>
      <c r="W104" s="7"/>
      <c r="X104" s="23">
        <v>17381</v>
      </c>
      <c r="Y104" s="19" t="str">
        <f t="shared" si="32"/>
        <v>43E5</v>
      </c>
      <c r="Z104" s="18">
        <f t="shared" si="30"/>
        <v>1</v>
      </c>
      <c r="AA104" s="18">
        <f t="shared" si="38"/>
        <v>1</v>
      </c>
      <c r="AB104" s="18">
        <f t="shared" si="38"/>
        <v>1</v>
      </c>
      <c r="AC104" s="18">
        <f t="shared" si="38"/>
        <v>0</v>
      </c>
      <c r="AD104" s="18">
        <f t="shared" si="38"/>
        <v>0</v>
      </c>
      <c r="AE104" s="18">
        <f t="shared" si="38"/>
        <v>0</v>
      </c>
      <c r="AF104" s="18">
        <f t="shared" si="38"/>
        <v>1</v>
      </c>
      <c r="AG104" s="18">
        <f t="shared" si="38"/>
        <v>1</v>
      </c>
      <c r="AH104" s="18">
        <f t="shared" si="38"/>
        <v>1</v>
      </c>
      <c r="AI104" s="18">
        <f t="shared" si="38"/>
        <v>1</v>
      </c>
      <c r="AJ104" s="18">
        <f t="shared" si="38"/>
        <v>0</v>
      </c>
      <c r="AK104" s="18">
        <f t="shared" si="38"/>
        <v>0</v>
      </c>
      <c r="AL104" s="18">
        <f t="shared" si="38"/>
        <v>0</v>
      </c>
      <c r="AM104" s="18">
        <f t="shared" si="38"/>
        <v>1</v>
      </c>
      <c r="AN104" s="18">
        <f t="shared" si="38"/>
        <v>0</v>
      </c>
      <c r="AO104" s="18">
        <f t="shared" si="38"/>
        <v>0</v>
      </c>
      <c r="AQ104" s="28" t="str">
        <f t="shared" si="37"/>
        <v xml:space="preserve">    0x43E5,  // R</v>
      </c>
    </row>
    <row r="105" spans="1:43" ht="18.75" x14ac:dyDescent="0.3">
      <c r="A105" s="6"/>
      <c r="B105" s="16">
        <v>83</v>
      </c>
      <c r="C105" s="19" t="str">
        <f t="shared" si="33"/>
        <v>53</v>
      </c>
      <c r="D105" s="20" t="str">
        <f t="shared" si="34"/>
        <v>S</v>
      </c>
      <c r="E105" s="21">
        <v>1</v>
      </c>
      <c r="F105" s="21">
        <v>1</v>
      </c>
      <c r="G105" s="21">
        <v>0</v>
      </c>
      <c r="H105" s="21">
        <v>0</v>
      </c>
      <c r="I105" s="21">
        <v>1</v>
      </c>
      <c r="J105" s="21">
        <v>1</v>
      </c>
      <c r="K105" s="21">
        <v>0</v>
      </c>
      <c r="L105" s="21">
        <v>0</v>
      </c>
      <c r="M105" s="21">
        <v>0</v>
      </c>
      <c r="N105" s="21">
        <v>0</v>
      </c>
      <c r="O105" s="21">
        <v>1</v>
      </c>
      <c r="P105" s="21">
        <v>0</v>
      </c>
      <c r="Q105" s="21">
        <v>0</v>
      </c>
      <c r="R105" s="21">
        <v>1</v>
      </c>
      <c r="S105" s="21">
        <v>0</v>
      </c>
      <c r="T105" s="21">
        <v>0</v>
      </c>
      <c r="U105" s="22">
        <f t="shared" si="35"/>
        <v>25638</v>
      </c>
      <c r="V105" s="19" t="str">
        <f t="shared" si="36"/>
        <v>6426</v>
      </c>
      <c r="W105" s="7"/>
      <c r="X105" s="23">
        <v>25638</v>
      </c>
      <c r="Y105" s="19" t="str">
        <f t="shared" si="32"/>
        <v>6426</v>
      </c>
      <c r="Z105" s="18">
        <f t="shared" si="30"/>
        <v>1</v>
      </c>
      <c r="AA105" s="18">
        <f t="shared" si="38"/>
        <v>1</v>
      </c>
      <c r="AB105" s="18">
        <f t="shared" si="38"/>
        <v>0</v>
      </c>
      <c r="AC105" s="18">
        <f t="shared" si="38"/>
        <v>0</v>
      </c>
      <c r="AD105" s="18">
        <f t="shared" si="38"/>
        <v>1</v>
      </c>
      <c r="AE105" s="18">
        <f t="shared" si="38"/>
        <v>1</v>
      </c>
      <c r="AF105" s="18">
        <f t="shared" si="38"/>
        <v>0</v>
      </c>
      <c r="AG105" s="18">
        <f t="shared" si="38"/>
        <v>0</v>
      </c>
      <c r="AH105" s="18">
        <f t="shared" si="38"/>
        <v>0</v>
      </c>
      <c r="AI105" s="18">
        <f t="shared" si="38"/>
        <v>0</v>
      </c>
      <c r="AJ105" s="18">
        <f t="shared" si="38"/>
        <v>1</v>
      </c>
      <c r="AK105" s="18">
        <f t="shared" si="38"/>
        <v>0</v>
      </c>
      <c r="AL105" s="18">
        <f t="shared" si="38"/>
        <v>0</v>
      </c>
      <c r="AM105" s="18">
        <f t="shared" si="38"/>
        <v>1</v>
      </c>
      <c r="AN105" s="18">
        <f t="shared" si="38"/>
        <v>0</v>
      </c>
      <c r="AO105" s="18">
        <f t="shared" si="38"/>
        <v>0</v>
      </c>
      <c r="AQ105" s="28" t="str">
        <f t="shared" si="37"/>
        <v xml:space="preserve">    0x6426,  // S</v>
      </c>
    </row>
    <row r="106" spans="1:43" ht="18.75" x14ac:dyDescent="0.3">
      <c r="A106" s="6"/>
      <c r="B106" s="16">
        <v>84</v>
      </c>
      <c r="C106" s="19" t="str">
        <f t="shared" si="33"/>
        <v>54</v>
      </c>
      <c r="D106" s="20" t="str">
        <f t="shared" si="34"/>
        <v>T</v>
      </c>
      <c r="E106" s="21">
        <v>1</v>
      </c>
      <c r="F106" s="21">
        <v>1</v>
      </c>
      <c r="G106" s="21">
        <v>0</v>
      </c>
      <c r="H106" s="21">
        <v>0</v>
      </c>
      <c r="I106" s="21">
        <v>0</v>
      </c>
      <c r="J106" s="21">
        <v>0</v>
      </c>
      <c r="K106" s="21">
        <v>0</v>
      </c>
      <c r="L106" s="21">
        <v>0</v>
      </c>
      <c r="M106" s="21">
        <v>0</v>
      </c>
      <c r="N106" s="21">
        <v>0</v>
      </c>
      <c r="O106" s="21">
        <v>0</v>
      </c>
      <c r="P106" s="21">
        <v>1</v>
      </c>
      <c r="Q106" s="21">
        <v>0</v>
      </c>
      <c r="R106" s="21">
        <v>0</v>
      </c>
      <c r="S106" s="21">
        <v>1</v>
      </c>
      <c r="T106" s="21">
        <v>0</v>
      </c>
      <c r="U106" s="22">
        <f t="shared" si="35"/>
        <v>4140</v>
      </c>
      <c r="V106" s="19" t="str">
        <f t="shared" si="36"/>
        <v>102C</v>
      </c>
      <c r="W106" s="7"/>
      <c r="X106" s="23">
        <v>4140</v>
      </c>
      <c r="Y106" s="19" t="str">
        <f t="shared" si="32"/>
        <v>102C</v>
      </c>
      <c r="Z106" s="18">
        <f t="shared" si="30"/>
        <v>1</v>
      </c>
      <c r="AA106" s="18">
        <f t="shared" si="38"/>
        <v>1</v>
      </c>
      <c r="AB106" s="18">
        <f t="shared" si="38"/>
        <v>0</v>
      </c>
      <c r="AC106" s="18">
        <f t="shared" si="38"/>
        <v>0</v>
      </c>
      <c r="AD106" s="18">
        <f t="shared" si="38"/>
        <v>0</v>
      </c>
      <c r="AE106" s="18">
        <f t="shared" si="38"/>
        <v>0</v>
      </c>
      <c r="AF106" s="18">
        <f t="shared" si="38"/>
        <v>0</v>
      </c>
      <c r="AG106" s="18">
        <f t="shared" si="38"/>
        <v>0</v>
      </c>
      <c r="AH106" s="18">
        <f t="shared" si="38"/>
        <v>0</v>
      </c>
      <c r="AI106" s="18">
        <f t="shared" si="38"/>
        <v>0</v>
      </c>
      <c r="AJ106" s="18">
        <f t="shared" si="38"/>
        <v>0</v>
      </c>
      <c r="AK106" s="18">
        <f t="shared" si="38"/>
        <v>1</v>
      </c>
      <c r="AL106" s="18">
        <f t="shared" si="38"/>
        <v>0</v>
      </c>
      <c r="AM106" s="18">
        <f t="shared" si="38"/>
        <v>0</v>
      </c>
      <c r="AN106" s="18">
        <f t="shared" si="38"/>
        <v>1</v>
      </c>
      <c r="AO106" s="18">
        <f t="shared" si="38"/>
        <v>0</v>
      </c>
      <c r="AQ106" s="28" t="str">
        <f t="shared" si="37"/>
        <v xml:space="preserve">    0x102C,  // T</v>
      </c>
    </row>
    <row r="107" spans="1:43" ht="18.75" x14ac:dyDescent="0.3">
      <c r="A107" s="6"/>
      <c r="B107" s="16">
        <v>85</v>
      </c>
      <c r="C107" s="19" t="str">
        <f t="shared" si="33"/>
        <v>55</v>
      </c>
      <c r="D107" s="20" t="str">
        <f t="shared" si="34"/>
        <v>U</v>
      </c>
      <c r="E107" s="21">
        <v>0</v>
      </c>
      <c r="F107" s="21">
        <v>0</v>
      </c>
      <c r="G107" s="21">
        <v>1</v>
      </c>
      <c r="H107" s="21">
        <v>1</v>
      </c>
      <c r="I107" s="21">
        <v>1</v>
      </c>
      <c r="J107" s="21">
        <v>1</v>
      </c>
      <c r="K107" s="21">
        <v>1</v>
      </c>
      <c r="L107" s="21">
        <v>1</v>
      </c>
      <c r="M107" s="21">
        <v>0</v>
      </c>
      <c r="N107" s="21">
        <v>0</v>
      </c>
      <c r="O107" s="21">
        <v>0</v>
      </c>
      <c r="P107" s="21">
        <v>0</v>
      </c>
      <c r="Q107" s="21">
        <v>0</v>
      </c>
      <c r="R107" s="21">
        <v>0</v>
      </c>
      <c r="S107" s="21">
        <v>0</v>
      </c>
      <c r="T107" s="21">
        <v>0</v>
      </c>
      <c r="U107" s="22">
        <f t="shared" si="35"/>
        <v>42561</v>
      </c>
      <c r="V107" s="19" t="str">
        <f t="shared" si="36"/>
        <v>A641</v>
      </c>
      <c r="W107" s="7"/>
      <c r="X107" s="23">
        <v>42561</v>
      </c>
      <c r="Y107" s="19" t="str">
        <f t="shared" si="32"/>
        <v>A641</v>
      </c>
      <c r="Z107" s="18">
        <f t="shared" si="30"/>
        <v>0</v>
      </c>
      <c r="AA107" s="18">
        <f t="shared" si="38"/>
        <v>0</v>
      </c>
      <c r="AB107" s="18">
        <f t="shared" si="38"/>
        <v>1</v>
      </c>
      <c r="AC107" s="18">
        <f t="shared" si="38"/>
        <v>1</v>
      </c>
      <c r="AD107" s="18">
        <f t="shared" si="38"/>
        <v>1</v>
      </c>
      <c r="AE107" s="18">
        <f t="shared" si="38"/>
        <v>1</v>
      </c>
      <c r="AF107" s="18">
        <f t="shared" si="38"/>
        <v>1</v>
      </c>
      <c r="AG107" s="18">
        <f t="shared" si="38"/>
        <v>1</v>
      </c>
      <c r="AH107" s="18">
        <f t="shared" si="38"/>
        <v>0</v>
      </c>
      <c r="AI107" s="18">
        <f t="shared" si="38"/>
        <v>0</v>
      </c>
      <c r="AJ107" s="18">
        <f t="shared" si="38"/>
        <v>0</v>
      </c>
      <c r="AK107" s="18">
        <f t="shared" si="38"/>
        <v>0</v>
      </c>
      <c r="AL107" s="18">
        <f t="shared" si="38"/>
        <v>0</v>
      </c>
      <c r="AM107" s="18">
        <f t="shared" si="38"/>
        <v>0</v>
      </c>
      <c r="AN107" s="18">
        <f t="shared" si="38"/>
        <v>0</v>
      </c>
      <c r="AO107" s="18">
        <f t="shared" si="38"/>
        <v>0</v>
      </c>
      <c r="AQ107" s="28" t="str">
        <f t="shared" si="37"/>
        <v xml:space="preserve">    0xA641,  // U</v>
      </c>
    </row>
    <row r="108" spans="1:43" ht="18.75" x14ac:dyDescent="0.3">
      <c r="A108" s="6"/>
      <c r="B108" s="16">
        <v>86</v>
      </c>
      <c r="C108" s="19" t="str">
        <f t="shared" si="33"/>
        <v>56</v>
      </c>
      <c r="D108" s="20" t="str">
        <f t="shared" si="34"/>
        <v>V</v>
      </c>
      <c r="E108" s="21">
        <v>0</v>
      </c>
      <c r="F108" s="21">
        <v>0</v>
      </c>
      <c r="G108" s="21">
        <v>0</v>
      </c>
      <c r="H108" s="21">
        <v>0</v>
      </c>
      <c r="I108" s="21">
        <v>0</v>
      </c>
      <c r="J108" s="21">
        <v>0</v>
      </c>
      <c r="K108" s="21">
        <v>1</v>
      </c>
      <c r="L108" s="21">
        <v>1</v>
      </c>
      <c r="M108" s="21">
        <v>0</v>
      </c>
      <c r="N108" s="21">
        <v>0</v>
      </c>
      <c r="O108" s="21">
        <v>0</v>
      </c>
      <c r="P108" s="21">
        <v>0</v>
      </c>
      <c r="Q108" s="21">
        <v>1</v>
      </c>
      <c r="R108" s="21">
        <v>0</v>
      </c>
      <c r="S108" s="21">
        <v>0</v>
      </c>
      <c r="T108" s="21">
        <v>1</v>
      </c>
      <c r="U108" s="22">
        <f t="shared" si="35"/>
        <v>2577</v>
      </c>
      <c r="V108" s="19" t="str">
        <f t="shared" si="36"/>
        <v>0A11</v>
      </c>
      <c r="W108" s="7"/>
      <c r="X108" s="23">
        <v>2577</v>
      </c>
      <c r="Y108" s="19" t="str">
        <f t="shared" si="32"/>
        <v>0A11</v>
      </c>
      <c r="Z108" s="18">
        <f t="shared" si="30"/>
        <v>0</v>
      </c>
      <c r="AA108" s="18">
        <f t="shared" si="38"/>
        <v>0</v>
      </c>
      <c r="AB108" s="18">
        <f t="shared" si="38"/>
        <v>0</v>
      </c>
      <c r="AC108" s="18">
        <f t="shared" si="38"/>
        <v>0</v>
      </c>
      <c r="AD108" s="18">
        <f t="shared" si="38"/>
        <v>0</v>
      </c>
      <c r="AE108" s="18">
        <f t="shared" si="38"/>
        <v>0</v>
      </c>
      <c r="AF108" s="18">
        <f t="shared" si="38"/>
        <v>1</v>
      </c>
      <c r="AG108" s="18">
        <f t="shared" si="38"/>
        <v>1</v>
      </c>
      <c r="AH108" s="18">
        <f t="shared" si="38"/>
        <v>0</v>
      </c>
      <c r="AI108" s="18">
        <f t="shared" si="38"/>
        <v>0</v>
      </c>
      <c r="AJ108" s="18">
        <f t="shared" si="38"/>
        <v>0</v>
      </c>
      <c r="AK108" s="18">
        <f t="shared" si="38"/>
        <v>0</v>
      </c>
      <c r="AL108" s="18">
        <f t="shared" si="38"/>
        <v>1</v>
      </c>
      <c r="AM108" s="18">
        <f t="shared" si="38"/>
        <v>0</v>
      </c>
      <c r="AN108" s="18">
        <f t="shared" si="38"/>
        <v>0</v>
      </c>
      <c r="AO108" s="18">
        <f t="shared" si="38"/>
        <v>1</v>
      </c>
      <c r="AQ108" s="28" t="str">
        <f t="shared" si="37"/>
        <v xml:space="preserve">    0x0A11,  // V</v>
      </c>
    </row>
    <row r="109" spans="1:43" ht="18.75" x14ac:dyDescent="0.3">
      <c r="A109" s="6"/>
      <c r="B109" s="16">
        <v>87</v>
      </c>
      <c r="C109" s="19" t="str">
        <f t="shared" si="33"/>
        <v>57</v>
      </c>
      <c r="D109" s="20" t="str">
        <f t="shared" si="34"/>
        <v>W</v>
      </c>
      <c r="E109" s="21">
        <v>0</v>
      </c>
      <c r="F109" s="21">
        <v>0</v>
      </c>
      <c r="G109" s="21">
        <v>1</v>
      </c>
      <c r="H109" s="21">
        <v>1</v>
      </c>
      <c r="I109" s="21">
        <v>0</v>
      </c>
      <c r="J109" s="21">
        <v>0</v>
      </c>
      <c r="K109" s="21">
        <v>1</v>
      </c>
      <c r="L109" s="21">
        <v>1</v>
      </c>
      <c r="M109" s="21">
        <v>0</v>
      </c>
      <c r="N109" s="21">
        <v>0</v>
      </c>
      <c r="O109" s="21">
        <v>0</v>
      </c>
      <c r="P109" s="21">
        <v>0</v>
      </c>
      <c r="Q109" s="21">
        <v>0</v>
      </c>
      <c r="R109" s="21">
        <v>1</v>
      </c>
      <c r="S109" s="21">
        <v>0</v>
      </c>
      <c r="T109" s="21">
        <v>1</v>
      </c>
      <c r="U109" s="22">
        <f t="shared" si="35"/>
        <v>51777</v>
      </c>
      <c r="V109" s="19" t="str">
        <f t="shared" si="36"/>
        <v>CA41</v>
      </c>
      <c r="W109" s="7"/>
      <c r="X109" s="23">
        <v>51777</v>
      </c>
      <c r="Y109" s="19" t="str">
        <f t="shared" si="32"/>
        <v>CA41</v>
      </c>
      <c r="Z109" s="18">
        <f t="shared" si="30"/>
        <v>0</v>
      </c>
      <c r="AA109" s="18">
        <f t="shared" si="38"/>
        <v>0</v>
      </c>
      <c r="AB109" s="18">
        <f t="shared" si="38"/>
        <v>1</v>
      </c>
      <c r="AC109" s="18">
        <f t="shared" si="38"/>
        <v>1</v>
      </c>
      <c r="AD109" s="18">
        <f t="shared" si="38"/>
        <v>0</v>
      </c>
      <c r="AE109" s="18">
        <f t="shared" si="38"/>
        <v>0</v>
      </c>
      <c r="AF109" s="18">
        <f t="shared" si="38"/>
        <v>1</v>
      </c>
      <c r="AG109" s="18">
        <f t="shared" si="38"/>
        <v>1</v>
      </c>
      <c r="AH109" s="18">
        <f t="shared" si="38"/>
        <v>0</v>
      </c>
      <c r="AI109" s="18">
        <f t="shared" si="38"/>
        <v>0</v>
      </c>
      <c r="AJ109" s="18">
        <f t="shared" si="38"/>
        <v>0</v>
      </c>
      <c r="AK109" s="18">
        <f t="shared" si="38"/>
        <v>0</v>
      </c>
      <c r="AL109" s="18">
        <f t="shared" si="38"/>
        <v>0</v>
      </c>
      <c r="AM109" s="18">
        <f t="shared" si="38"/>
        <v>1</v>
      </c>
      <c r="AN109" s="18">
        <f t="shared" si="38"/>
        <v>0</v>
      </c>
      <c r="AO109" s="18">
        <f t="shared" si="38"/>
        <v>1</v>
      </c>
      <c r="AQ109" s="28" t="str">
        <f t="shared" si="37"/>
        <v xml:space="preserve">    0xCA41,  // W</v>
      </c>
    </row>
    <row r="110" spans="1:43" ht="18.75" x14ac:dyDescent="0.3">
      <c r="A110" s="6"/>
      <c r="B110" s="16">
        <v>88</v>
      </c>
      <c r="C110" s="19" t="str">
        <f t="shared" si="33"/>
        <v>58</v>
      </c>
      <c r="D110" s="20" t="str">
        <f t="shared" si="34"/>
        <v>X</v>
      </c>
      <c r="E110" s="21">
        <v>0</v>
      </c>
      <c r="F110" s="21">
        <v>0</v>
      </c>
      <c r="G110" s="21">
        <v>0</v>
      </c>
      <c r="H110" s="21">
        <v>0</v>
      </c>
      <c r="I110" s="21">
        <v>0</v>
      </c>
      <c r="J110" s="21">
        <v>0</v>
      </c>
      <c r="K110" s="21">
        <v>0</v>
      </c>
      <c r="L110" s="21">
        <v>0</v>
      </c>
      <c r="M110" s="21">
        <v>0</v>
      </c>
      <c r="N110" s="21">
        <v>0</v>
      </c>
      <c r="O110" s="21">
        <v>1</v>
      </c>
      <c r="P110" s="21">
        <v>0</v>
      </c>
      <c r="Q110" s="21">
        <v>1</v>
      </c>
      <c r="R110" s="21">
        <v>1</v>
      </c>
      <c r="S110" s="21">
        <v>0</v>
      </c>
      <c r="T110" s="21">
        <v>1</v>
      </c>
      <c r="U110" s="22">
        <f t="shared" si="35"/>
        <v>18450</v>
      </c>
      <c r="V110" s="19" t="str">
        <f t="shared" si="36"/>
        <v>4812</v>
      </c>
      <c r="W110" s="7"/>
      <c r="X110" s="23">
        <v>18450</v>
      </c>
      <c r="Y110" s="19" t="str">
        <f t="shared" si="32"/>
        <v>4812</v>
      </c>
      <c r="Z110" s="18">
        <f t="shared" si="30"/>
        <v>0</v>
      </c>
      <c r="AA110" s="18">
        <f t="shared" si="38"/>
        <v>0</v>
      </c>
      <c r="AB110" s="18">
        <f t="shared" si="38"/>
        <v>0</v>
      </c>
      <c r="AC110" s="18">
        <f t="shared" si="38"/>
        <v>0</v>
      </c>
      <c r="AD110" s="18">
        <f t="shared" si="38"/>
        <v>0</v>
      </c>
      <c r="AE110" s="18">
        <f t="shared" si="38"/>
        <v>0</v>
      </c>
      <c r="AF110" s="18">
        <f t="shared" si="38"/>
        <v>0</v>
      </c>
      <c r="AG110" s="18">
        <f t="shared" si="38"/>
        <v>0</v>
      </c>
      <c r="AH110" s="18">
        <f t="shared" si="38"/>
        <v>0</v>
      </c>
      <c r="AI110" s="18">
        <f t="shared" si="38"/>
        <v>0</v>
      </c>
      <c r="AJ110" s="18">
        <f t="shared" si="38"/>
        <v>1</v>
      </c>
      <c r="AK110" s="18">
        <f t="shared" si="38"/>
        <v>0</v>
      </c>
      <c r="AL110" s="18">
        <f t="shared" si="38"/>
        <v>1</v>
      </c>
      <c r="AM110" s="18">
        <f t="shared" si="38"/>
        <v>1</v>
      </c>
      <c r="AN110" s="18">
        <f t="shared" si="38"/>
        <v>0</v>
      </c>
      <c r="AO110" s="18">
        <f t="shared" si="38"/>
        <v>1</v>
      </c>
      <c r="AQ110" s="28" t="str">
        <f t="shared" si="37"/>
        <v xml:space="preserve">    0x4812,  // X</v>
      </c>
    </row>
    <row r="111" spans="1:43" ht="18.75" x14ac:dyDescent="0.3">
      <c r="A111" s="6"/>
      <c r="B111" s="16">
        <v>89</v>
      </c>
      <c r="C111" s="19" t="str">
        <f t="shared" si="33"/>
        <v>59</v>
      </c>
      <c r="D111" s="20" t="str">
        <f t="shared" si="34"/>
        <v>Y</v>
      </c>
      <c r="E111" s="21">
        <v>0</v>
      </c>
      <c r="F111" s="21">
        <v>0</v>
      </c>
      <c r="G111" s="21">
        <v>0</v>
      </c>
      <c r="H111" s="21">
        <v>0</v>
      </c>
      <c r="I111" s="21">
        <v>0</v>
      </c>
      <c r="J111" s="21">
        <v>0</v>
      </c>
      <c r="K111" s="21">
        <v>0</v>
      </c>
      <c r="L111" s="21">
        <v>0</v>
      </c>
      <c r="M111" s="21">
        <v>0</v>
      </c>
      <c r="N111" s="21">
        <v>0</v>
      </c>
      <c r="O111" s="21">
        <v>1</v>
      </c>
      <c r="P111" s="21">
        <v>0</v>
      </c>
      <c r="Q111" s="21">
        <v>1</v>
      </c>
      <c r="R111" s="21">
        <v>0</v>
      </c>
      <c r="S111" s="21">
        <v>1</v>
      </c>
      <c r="T111" s="21">
        <v>0</v>
      </c>
      <c r="U111" s="22">
        <f t="shared" si="35"/>
        <v>4114</v>
      </c>
      <c r="V111" s="19" t="str">
        <f t="shared" si="36"/>
        <v>1012</v>
      </c>
      <c r="W111" s="7"/>
      <c r="X111" s="23">
        <v>4114</v>
      </c>
      <c r="Y111" s="19" t="str">
        <f t="shared" si="32"/>
        <v>1012</v>
      </c>
      <c r="Z111" s="18">
        <f t="shared" si="30"/>
        <v>0</v>
      </c>
      <c r="AA111" s="18">
        <f t="shared" si="38"/>
        <v>0</v>
      </c>
      <c r="AB111" s="18">
        <f t="shared" si="38"/>
        <v>0</v>
      </c>
      <c r="AC111" s="18">
        <f t="shared" si="38"/>
        <v>0</v>
      </c>
      <c r="AD111" s="18">
        <f t="shared" si="38"/>
        <v>0</v>
      </c>
      <c r="AE111" s="18">
        <f t="shared" si="38"/>
        <v>0</v>
      </c>
      <c r="AF111" s="18">
        <f t="shared" si="38"/>
        <v>0</v>
      </c>
      <c r="AG111" s="18">
        <f t="shared" si="38"/>
        <v>0</v>
      </c>
      <c r="AH111" s="18">
        <f t="shared" si="38"/>
        <v>0</v>
      </c>
      <c r="AI111" s="18">
        <f t="shared" si="38"/>
        <v>0</v>
      </c>
      <c r="AJ111" s="18">
        <f t="shared" si="38"/>
        <v>1</v>
      </c>
      <c r="AK111" s="18">
        <f t="shared" si="38"/>
        <v>0</v>
      </c>
      <c r="AL111" s="18">
        <f t="shared" si="38"/>
        <v>1</v>
      </c>
      <c r="AM111" s="18">
        <f t="shared" si="38"/>
        <v>0</v>
      </c>
      <c r="AN111" s="18">
        <f t="shared" si="38"/>
        <v>1</v>
      </c>
      <c r="AO111" s="18">
        <f t="shared" si="38"/>
        <v>0</v>
      </c>
      <c r="AQ111" s="28" t="str">
        <f t="shared" si="37"/>
        <v xml:space="preserve">    0x1012,  // Y</v>
      </c>
    </row>
    <row r="112" spans="1:43" ht="18.75" x14ac:dyDescent="0.3">
      <c r="A112" s="6"/>
      <c r="B112" s="16">
        <v>90</v>
      </c>
      <c r="C112" s="19" t="str">
        <f t="shared" si="33"/>
        <v>5A</v>
      </c>
      <c r="D112" s="20" t="str">
        <f t="shared" si="34"/>
        <v>Z</v>
      </c>
      <c r="E112" s="21">
        <v>1</v>
      </c>
      <c r="F112" s="21">
        <v>1</v>
      </c>
      <c r="G112" s="21">
        <v>0</v>
      </c>
      <c r="H112" s="21">
        <v>0</v>
      </c>
      <c r="I112" s="21">
        <v>1</v>
      </c>
      <c r="J112" s="21">
        <v>1</v>
      </c>
      <c r="K112" s="21">
        <v>0</v>
      </c>
      <c r="L112" s="21">
        <v>0</v>
      </c>
      <c r="M112" s="21">
        <v>0</v>
      </c>
      <c r="N112" s="21">
        <v>0</v>
      </c>
      <c r="O112" s="21">
        <v>0</v>
      </c>
      <c r="P112" s="21">
        <v>0</v>
      </c>
      <c r="Q112" s="21">
        <v>1</v>
      </c>
      <c r="R112" s="21">
        <v>0</v>
      </c>
      <c r="S112" s="21">
        <v>0</v>
      </c>
      <c r="T112" s="21">
        <v>1</v>
      </c>
      <c r="U112" s="22">
        <f t="shared" si="35"/>
        <v>11316</v>
      </c>
      <c r="V112" s="19" t="str">
        <f t="shared" si="36"/>
        <v>2C34</v>
      </c>
      <c r="W112" s="7"/>
      <c r="X112" s="23">
        <v>11316</v>
      </c>
      <c r="Y112" s="19" t="str">
        <f t="shared" si="32"/>
        <v>2C34</v>
      </c>
      <c r="Z112" s="18">
        <f t="shared" si="30"/>
        <v>1</v>
      </c>
      <c r="AA112" s="18">
        <f t="shared" si="38"/>
        <v>1</v>
      </c>
      <c r="AB112" s="18">
        <f t="shared" si="38"/>
        <v>0</v>
      </c>
      <c r="AC112" s="18">
        <f t="shared" si="38"/>
        <v>0</v>
      </c>
      <c r="AD112" s="18">
        <f t="shared" si="38"/>
        <v>1</v>
      </c>
      <c r="AE112" s="18">
        <f t="shared" si="38"/>
        <v>1</v>
      </c>
      <c r="AF112" s="18">
        <f t="shared" si="38"/>
        <v>0</v>
      </c>
      <c r="AG112" s="18">
        <f t="shared" si="38"/>
        <v>0</v>
      </c>
      <c r="AH112" s="18">
        <f t="shared" si="38"/>
        <v>0</v>
      </c>
      <c r="AI112" s="18">
        <f t="shared" si="38"/>
        <v>0</v>
      </c>
      <c r="AJ112" s="18">
        <f t="shared" si="38"/>
        <v>0</v>
      </c>
      <c r="AK112" s="18">
        <f t="shared" si="38"/>
        <v>0</v>
      </c>
      <c r="AL112" s="18">
        <f t="shared" si="38"/>
        <v>1</v>
      </c>
      <c r="AM112" s="18">
        <f t="shared" si="38"/>
        <v>0</v>
      </c>
      <c r="AN112" s="18">
        <f t="shared" si="38"/>
        <v>0</v>
      </c>
      <c r="AO112" s="18">
        <f t="shared" si="38"/>
        <v>1</v>
      </c>
      <c r="AQ112" s="28" t="str">
        <f t="shared" si="37"/>
        <v xml:space="preserve">    0x2C34,  // Z</v>
      </c>
    </row>
    <row r="113" spans="1:43" ht="18.75" x14ac:dyDescent="0.3">
      <c r="A113" s="6"/>
      <c r="B113" s="16">
        <v>91</v>
      </c>
      <c r="C113" s="19" t="str">
        <f t="shared" si="33"/>
        <v>5B</v>
      </c>
      <c r="D113" s="20" t="str">
        <f t="shared" si="34"/>
        <v>[</v>
      </c>
      <c r="E113" s="21">
        <v>0</v>
      </c>
      <c r="F113" s="21">
        <v>1</v>
      </c>
      <c r="G113" s="21">
        <v>0</v>
      </c>
      <c r="H113" s="21">
        <v>0</v>
      </c>
      <c r="I113" s="21">
        <v>0</v>
      </c>
      <c r="J113" s="21">
        <v>1</v>
      </c>
      <c r="K113" s="21">
        <v>0</v>
      </c>
      <c r="L113" s="21">
        <v>0</v>
      </c>
      <c r="M113" s="21">
        <v>0</v>
      </c>
      <c r="N113" s="21">
        <v>0</v>
      </c>
      <c r="O113" s="21">
        <v>0</v>
      </c>
      <c r="P113" s="21">
        <v>1</v>
      </c>
      <c r="Q113" s="21">
        <v>0</v>
      </c>
      <c r="R113" s="21">
        <v>0</v>
      </c>
      <c r="S113" s="21">
        <v>1</v>
      </c>
      <c r="T113" s="21">
        <v>0</v>
      </c>
      <c r="U113" s="22">
        <f t="shared" si="35"/>
        <v>12328</v>
      </c>
      <c r="V113" s="19" t="str">
        <f t="shared" si="36"/>
        <v>3028</v>
      </c>
      <c r="W113" s="7"/>
      <c r="X113" s="23">
        <v>12328</v>
      </c>
      <c r="Y113" s="19" t="str">
        <f t="shared" si="32"/>
        <v>3028</v>
      </c>
      <c r="Z113" s="18">
        <f t="shared" si="30"/>
        <v>0</v>
      </c>
      <c r="AA113" s="18">
        <f t="shared" si="38"/>
        <v>1</v>
      </c>
      <c r="AB113" s="18">
        <f t="shared" si="38"/>
        <v>0</v>
      </c>
      <c r="AC113" s="18">
        <f t="shared" si="38"/>
        <v>0</v>
      </c>
      <c r="AD113" s="18">
        <f t="shared" si="38"/>
        <v>0</v>
      </c>
      <c r="AE113" s="18">
        <f t="shared" si="38"/>
        <v>1</v>
      </c>
      <c r="AF113" s="18">
        <f t="shared" si="38"/>
        <v>0</v>
      </c>
      <c r="AG113" s="18">
        <f t="shared" si="38"/>
        <v>0</v>
      </c>
      <c r="AH113" s="18">
        <f t="shared" si="38"/>
        <v>0</v>
      </c>
      <c r="AI113" s="18">
        <f t="shared" si="38"/>
        <v>0</v>
      </c>
      <c r="AJ113" s="18">
        <f t="shared" si="38"/>
        <v>0</v>
      </c>
      <c r="AK113" s="18">
        <f t="shared" si="38"/>
        <v>1</v>
      </c>
      <c r="AL113" s="18">
        <f t="shared" si="38"/>
        <v>0</v>
      </c>
      <c r="AM113" s="18">
        <f t="shared" si="38"/>
        <v>0</v>
      </c>
      <c r="AN113" s="18">
        <f t="shared" si="38"/>
        <v>1</v>
      </c>
      <c r="AO113" s="18">
        <f t="shared" si="38"/>
        <v>0</v>
      </c>
      <c r="AQ113" s="28" t="str">
        <f t="shared" si="37"/>
        <v xml:space="preserve">    0x3028,  // [</v>
      </c>
    </row>
    <row r="114" spans="1:43" ht="18.75" x14ac:dyDescent="0.3">
      <c r="A114" s="6"/>
      <c r="B114" s="16">
        <v>92</v>
      </c>
      <c r="C114" s="19" t="str">
        <f t="shared" si="33"/>
        <v>5C</v>
      </c>
      <c r="D114" s="24" t="s">
        <v>170</v>
      </c>
      <c r="E114" s="21">
        <v>0</v>
      </c>
      <c r="F114" s="21">
        <v>0</v>
      </c>
      <c r="G114" s="21">
        <v>0</v>
      </c>
      <c r="H114" s="21">
        <v>0</v>
      </c>
      <c r="I114" s="21">
        <v>0</v>
      </c>
      <c r="J114" s="21">
        <v>0</v>
      </c>
      <c r="K114" s="21">
        <v>0</v>
      </c>
      <c r="L114" s="21">
        <v>0</v>
      </c>
      <c r="M114" s="21">
        <v>1</v>
      </c>
      <c r="N114" s="21">
        <v>1</v>
      </c>
      <c r="O114" s="21">
        <v>1</v>
      </c>
      <c r="P114" s="21">
        <v>0</v>
      </c>
      <c r="Q114" s="21">
        <v>1</v>
      </c>
      <c r="R114" s="21">
        <v>0</v>
      </c>
      <c r="S114" s="21">
        <v>1</v>
      </c>
      <c r="T114" s="21">
        <v>0</v>
      </c>
      <c r="U114" s="22">
        <f t="shared" si="35"/>
        <v>4498</v>
      </c>
      <c r="V114" s="19" t="str">
        <f t="shared" si="36"/>
        <v>1192</v>
      </c>
      <c r="W114" s="7"/>
      <c r="X114" s="23">
        <v>4498</v>
      </c>
      <c r="Y114" s="19" t="str">
        <f t="shared" si="32"/>
        <v>1192</v>
      </c>
      <c r="Z114" s="18">
        <f t="shared" si="30"/>
        <v>0</v>
      </c>
      <c r="AA114" s="18">
        <f t="shared" si="38"/>
        <v>0</v>
      </c>
      <c r="AB114" s="18">
        <f t="shared" si="38"/>
        <v>0</v>
      </c>
      <c r="AC114" s="18">
        <f t="shared" si="38"/>
        <v>0</v>
      </c>
      <c r="AD114" s="18">
        <f t="shared" si="38"/>
        <v>0</v>
      </c>
      <c r="AE114" s="18">
        <f t="shared" si="38"/>
        <v>0</v>
      </c>
      <c r="AF114" s="18">
        <f t="shared" si="38"/>
        <v>0</v>
      </c>
      <c r="AG114" s="18">
        <f t="shared" si="38"/>
        <v>0</v>
      </c>
      <c r="AH114" s="18">
        <f t="shared" si="38"/>
        <v>1</v>
      </c>
      <c r="AI114" s="18">
        <f t="shared" si="38"/>
        <v>1</v>
      </c>
      <c r="AJ114" s="18">
        <f t="shared" si="38"/>
        <v>1</v>
      </c>
      <c r="AK114" s="18">
        <f t="shared" si="38"/>
        <v>0</v>
      </c>
      <c r="AL114" s="18">
        <f t="shared" si="38"/>
        <v>1</v>
      </c>
      <c r="AM114" s="18">
        <f t="shared" si="38"/>
        <v>0</v>
      </c>
      <c r="AN114" s="18">
        <f t="shared" si="38"/>
        <v>1</v>
      </c>
      <c r="AO114" s="18">
        <f t="shared" si="38"/>
        <v>0</v>
      </c>
      <c r="AQ114" s="28" t="str">
        <f t="shared" si="37"/>
        <v xml:space="preserve">    0x1192,  // &lt;yen&gt;</v>
      </c>
    </row>
    <row r="115" spans="1:43" ht="18.75" x14ac:dyDescent="0.3">
      <c r="A115" s="6"/>
      <c r="B115" s="16">
        <v>93</v>
      </c>
      <c r="C115" s="19" t="str">
        <f t="shared" si="33"/>
        <v>5D</v>
      </c>
      <c r="D115" s="20" t="str">
        <f t="shared" si="34"/>
        <v>]</v>
      </c>
      <c r="E115" s="21">
        <v>1</v>
      </c>
      <c r="F115" s="21">
        <v>0</v>
      </c>
      <c r="G115" s="21">
        <v>0</v>
      </c>
      <c r="H115" s="21">
        <v>0</v>
      </c>
      <c r="I115" s="21">
        <v>1</v>
      </c>
      <c r="J115" s="21">
        <v>0</v>
      </c>
      <c r="K115" s="21">
        <v>0</v>
      </c>
      <c r="L115" s="21">
        <v>0</v>
      </c>
      <c r="M115" s="21">
        <v>0</v>
      </c>
      <c r="N115" s="21">
        <v>0</v>
      </c>
      <c r="O115" s="21">
        <v>0</v>
      </c>
      <c r="P115" s="21">
        <v>1</v>
      </c>
      <c r="Q115" s="21">
        <v>0</v>
      </c>
      <c r="R115" s="21">
        <v>0</v>
      </c>
      <c r="S115" s="21">
        <v>1</v>
      </c>
      <c r="T115" s="21">
        <v>0</v>
      </c>
      <c r="U115" s="22">
        <f t="shared" si="35"/>
        <v>5132</v>
      </c>
      <c r="V115" s="19" t="str">
        <f t="shared" si="36"/>
        <v>140C</v>
      </c>
      <c r="W115" s="7"/>
      <c r="X115" s="23">
        <v>5132</v>
      </c>
      <c r="Y115" s="19" t="str">
        <f t="shared" si="32"/>
        <v>140C</v>
      </c>
      <c r="Z115" s="18">
        <f t="shared" si="30"/>
        <v>1</v>
      </c>
      <c r="AA115" s="18">
        <f t="shared" si="38"/>
        <v>0</v>
      </c>
      <c r="AB115" s="18">
        <f t="shared" si="38"/>
        <v>0</v>
      </c>
      <c r="AC115" s="18">
        <f t="shared" si="38"/>
        <v>0</v>
      </c>
      <c r="AD115" s="18">
        <f t="shared" si="38"/>
        <v>1</v>
      </c>
      <c r="AE115" s="18">
        <f t="shared" si="38"/>
        <v>0</v>
      </c>
      <c r="AF115" s="18">
        <f t="shared" si="38"/>
        <v>0</v>
      </c>
      <c r="AG115" s="18">
        <f t="shared" si="38"/>
        <v>0</v>
      </c>
      <c r="AH115" s="18">
        <f t="shared" si="38"/>
        <v>0</v>
      </c>
      <c r="AI115" s="18">
        <f t="shared" si="38"/>
        <v>0</v>
      </c>
      <c r="AJ115" s="18">
        <f t="shared" si="38"/>
        <v>0</v>
      </c>
      <c r="AK115" s="18">
        <f t="shared" si="38"/>
        <v>1</v>
      </c>
      <c r="AL115" s="18">
        <f t="shared" si="38"/>
        <v>0</v>
      </c>
      <c r="AM115" s="18">
        <f t="shared" si="38"/>
        <v>0</v>
      </c>
      <c r="AN115" s="18">
        <f t="shared" si="38"/>
        <v>1</v>
      </c>
      <c r="AO115" s="18">
        <f t="shared" si="38"/>
        <v>0</v>
      </c>
      <c r="AQ115" s="28" t="str">
        <f t="shared" si="37"/>
        <v xml:space="preserve">    0x140C,  // ]</v>
      </c>
    </row>
    <row r="116" spans="1:43" ht="18.75" x14ac:dyDescent="0.3">
      <c r="A116" s="6"/>
      <c r="B116" s="16">
        <v>94</v>
      </c>
      <c r="C116" s="19" t="str">
        <f t="shared" si="33"/>
        <v>5E</v>
      </c>
      <c r="D116" s="20" t="str">
        <f t="shared" si="34"/>
        <v>^</v>
      </c>
      <c r="E116" s="21">
        <v>0</v>
      </c>
      <c r="F116" s="21">
        <v>0</v>
      </c>
      <c r="G116" s="21">
        <v>1</v>
      </c>
      <c r="H116" s="21">
        <v>0</v>
      </c>
      <c r="I116" s="21">
        <v>0</v>
      </c>
      <c r="J116" s="21">
        <v>0</v>
      </c>
      <c r="K116" s="21">
        <v>0</v>
      </c>
      <c r="L116" s="21">
        <v>0</v>
      </c>
      <c r="M116" s="21">
        <v>0</v>
      </c>
      <c r="N116" s="21">
        <v>0</v>
      </c>
      <c r="O116" s="21">
        <v>0</v>
      </c>
      <c r="P116" s="21">
        <v>0</v>
      </c>
      <c r="Q116" s="21">
        <v>1</v>
      </c>
      <c r="R116" s="21">
        <v>0</v>
      </c>
      <c r="S116" s="21">
        <v>0</v>
      </c>
      <c r="T116" s="21">
        <v>0</v>
      </c>
      <c r="U116" s="22">
        <f t="shared" si="35"/>
        <v>80</v>
      </c>
      <c r="V116" s="19" t="str">
        <f t="shared" si="36"/>
        <v>0050</v>
      </c>
      <c r="W116" s="7"/>
      <c r="X116" s="23">
        <v>80</v>
      </c>
      <c r="Y116" s="19" t="str">
        <f t="shared" si="32"/>
        <v>0050</v>
      </c>
      <c r="Z116" s="18">
        <f t="shared" si="30"/>
        <v>0</v>
      </c>
      <c r="AA116" s="18">
        <f t="shared" si="38"/>
        <v>0</v>
      </c>
      <c r="AB116" s="18">
        <f t="shared" si="38"/>
        <v>1</v>
      </c>
      <c r="AC116" s="18">
        <f t="shared" si="38"/>
        <v>0</v>
      </c>
      <c r="AD116" s="18">
        <f t="shared" si="38"/>
        <v>0</v>
      </c>
      <c r="AE116" s="18">
        <f t="shared" si="38"/>
        <v>0</v>
      </c>
      <c r="AF116" s="18">
        <f t="shared" si="38"/>
        <v>0</v>
      </c>
      <c r="AG116" s="18">
        <f t="shared" si="38"/>
        <v>0</v>
      </c>
      <c r="AH116" s="18">
        <f t="shared" si="38"/>
        <v>0</v>
      </c>
      <c r="AI116" s="18">
        <f t="shared" si="38"/>
        <v>0</v>
      </c>
      <c r="AJ116" s="18">
        <f t="shared" si="38"/>
        <v>0</v>
      </c>
      <c r="AK116" s="18">
        <f t="shared" si="38"/>
        <v>0</v>
      </c>
      <c r="AL116" s="18">
        <f t="shared" si="38"/>
        <v>1</v>
      </c>
      <c r="AM116" s="18">
        <f t="shared" si="38"/>
        <v>0</v>
      </c>
      <c r="AN116" s="18">
        <f t="shared" si="38"/>
        <v>0</v>
      </c>
      <c r="AO116" s="18">
        <f t="shared" si="38"/>
        <v>0</v>
      </c>
      <c r="AQ116" s="28" t="str">
        <f t="shared" si="37"/>
        <v xml:space="preserve">    0x0050,  // ^</v>
      </c>
    </row>
    <row r="117" spans="1:43" ht="18.75" x14ac:dyDescent="0.3">
      <c r="A117" s="6"/>
      <c r="B117" s="16">
        <v>95</v>
      </c>
      <c r="C117" s="19" t="str">
        <f t="shared" si="33"/>
        <v>5F</v>
      </c>
      <c r="D117" s="20" t="str">
        <f t="shared" si="34"/>
        <v>_</v>
      </c>
      <c r="E117" s="21">
        <v>0</v>
      </c>
      <c r="F117" s="21">
        <v>0</v>
      </c>
      <c r="G117" s="21">
        <v>0</v>
      </c>
      <c r="H117" s="21">
        <v>0</v>
      </c>
      <c r="I117" s="21">
        <v>1</v>
      </c>
      <c r="J117" s="21">
        <v>1</v>
      </c>
      <c r="K117" s="21">
        <v>0</v>
      </c>
      <c r="L117" s="21">
        <v>0</v>
      </c>
      <c r="M117" s="21">
        <v>0</v>
      </c>
      <c r="N117" s="21">
        <v>0</v>
      </c>
      <c r="O117" s="21">
        <v>0</v>
      </c>
      <c r="P117" s="21">
        <v>0</v>
      </c>
      <c r="Q117" s="21">
        <v>0</v>
      </c>
      <c r="R117" s="21">
        <v>0</v>
      </c>
      <c r="S117" s="21">
        <v>0</v>
      </c>
      <c r="T117" s="21">
        <v>0</v>
      </c>
      <c r="U117" s="22">
        <f t="shared" si="35"/>
        <v>9216</v>
      </c>
      <c r="V117" s="19" t="str">
        <f t="shared" si="36"/>
        <v>2400</v>
      </c>
      <c r="W117" s="7"/>
      <c r="X117" s="23">
        <v>9216</v>
      </c>
      <c r="Y117" s="19" t="str">
        <f t="shared" si="32"/>
        <v>2400</v>
      </c>
      <c r="Z117" s="18">
        <f t="shared" si="30"/>
        <v>0</v>
      </c>
      <c r="AA117" s="18">
        <f t="shared" si="38"/>
        <v>0</v>
      </c>
      <c r="AB117" s="18">
        <f t="shared" si="38"/>
        <v>0</v>
      </c>
      <c r="AC117" s="18">
        <f t="shared" si="38"/>
        <v>0</v>
      </c>
      <c r="AD117" s="18">
        <f t="shared" si="38"/>
        <v>1</v>
      </c>
      <c r="AE117" s="18">
        <f t="shared" si="38"/>
        <v>1</v>
      </c>
      <c r="AF117" s="18">
        <f t="shared" si="38"/>
        <v>0</v>
      </c>
      <c r="AG117" s="18">
        <f t="shared" si="38"/>
        <v>0</v>
      </c>
      <c r="AH117" s="18">
        <f t="shared" si="38"/>
        <v>0</v>
      </c>
      <c r="AI117" s="18">
        <f t="shared" si="38"/>
        <v>0</v>
      </c>
      <c r="AJ117" s="18">
        <f t="shared" si="38"/>
        <v>0</v>
      </c>
      <c r="AK117" s="18">
        <f t="shared" si="38"/>
        <v>0</v>
      </c>
      <c r="AL117" s="18">
        <f t="shared" si="38"/>
        <v>0</v>
      </c>
      <c r="AM117" s="18">
        <f t="shared" si="38"/>
        <v>0</v>
      </c>
      <c r="AN117" s="18">
        <f t="shared" si="38"/>
        <v>0</v>
      </c>
      <c r="AO117" s="18">
        <f t="shared" si="38"/>
        <v>0</v>
      </c>
      <c r="AQ117" s="28" t="str">
        <f t="shared" si="37"/>
        <v xml:space="preserve">    0x2400,  // _</v>
      </c>
    </row>
    <row r="118" spans="1:43" ht="18.75" x14ac:dyDescent="0.3">
      <c r="A118" s="6"/>
      <c r="B118" s="16">
        <v>96</v>
      </c>
      <c r="C118" s="19" t="str">
        <f t="shared" si="33"/>
        <v>60</v>
      </c>
      <c r="D118" s="20" t="str">
        <f t="shared" si="34"/>
        <v>`</v>
      </c>
      <c r="E118" s="21">
        <v>0</v>
      </c>
      <c r="F118" s="21">
        <v>0</v>
      </c>
      <c r="G118" s="21">
        <v>0</v>
      </c>
      <c r="H118" s="21">
        <v>0</v>
      </c>
      <c r="I118" s="21">
        <v>0</v>
      </c>
      <c r="J118" s="21">
        <v>0</v>
      </c>
      <c r="K118" s="21">
        <v>0</v>
      </c>
      <c r="L118" s="21">
        <v>0</v>
      </c>
      <c r="M118" s="21">
        <v>0</v>
      </c>
      <c r="N118" s="21">
        <v>0</v>
      </c>
      <c r="O118" s="21">
        <v>1</v>
      </c>
      <c r="P118" s="21">
        <v>0</v>
      </c>
      <c r="Q118" s="21">
        <v>0</v>
      </c>
      <c r="R118" s="21">
        <v>0</v>
      </c>
      <c r="S118" s="21">
        <v>0</v>
      </c>
      <c r="T118" s="21">
        <v>0</v>
      </c>
      <c r="U118" s="22">
        <f t="shared" si="35"/>
        <v>2</v>
      </c>
      <c r="V118" s="19" t="str">
        <f t="shared" si="36"/>
        <v>0002</v>
      </c>
      <c r="W118" s="7"/>
      <c r="X118" s="23">
        <v>2</v>
      </c>
      <c r="Y118" s="19" t="str">
        <f t="shared" si="32"/>
        <v>0002</v>
      </c>
      <c r="Z118" s="18">
        <f t="shared" si="30"/>
        <v>0</v>
      </c>
      <c r="AA118" s="18">
        <f t="shared" si="38"/>
        <v>0</v>
      </c>
      <c r="AB118" s="18">
        <f t="shared" si="38"/>
        <v>0</v>
      </c>
      <c r="AC118" s="18">
        <f t="shared" si="38"/>
        <v>0</v>
      </c>
      <c r="AD118" s="18">
        <f t="shared" si="38"/>
        <v>0</v>
      </c>
      <c r="AE118" s="18">
        <f t="shared" si="38"/>
        <v>0</v>
      </c>
      <c r="AF118" s="18">
        <f t="shared" si="38"/>
        <v>0</v>
      </c>
      <c r="AG118" s="18">
        <f t="shared" si="38"/>
        <v>0</v>
      </c>
      <c r="AH118" s="18">
        <f t="shared" si="38"/>
        <v>0</v>
      </c>
      <c r="AI118" s="18">
        <f t="shared" si="38"/>
        <v>0</v>
      </c>
      <c r="AJ118" s="18">
        <f t="shared" si="38"/>
        <v>1</v>
      </c>
      <c r="AK118" s="18">
        <f t="shared" si="38"/>
        <v>0</v>
      </c>
      <c r="AL118" s="18">
        <f t="shared" si="38"/>
        <v>0</v>
      </c>
      <c r="AM118" s="18">
        <f t="shared" si="38"/>
        <v>0</v>
      </c>
      <c r="AN118" s="18">
        <f t="shared" si="38"/>
        <v>0</v>
      </c>
      <c r="AO118" s="18">
        <f t="shared" si="38"/>
        <v>0</v>
      </c>
      <c r="AQ118" s="28" t="str">
        <f t="shared" si="37"/>
        <v xml:space="preserve">    0x0002,  // `</v>
      </c>
    </row>
    <row r="119" spans="1:43" ht="18.75" x14ac:dyDescent="0.3">
      <c r="A119" s="6"/>
      <c r="B119" s="16">
        <v>97</v>
      </c>
      <c r="C119" s="19" t="str">
        <f t="shared" si="33"/>
        <v>61</v>
      </c>
      <c r="D119" s="20" t="str">
        <f t="shared" si="34"/>
        <v>a</v>
      </c>
      <c r="E119" s="21">
        <v>0</v>
      </c>
      <c r="F119" s="21">
        <v>0</v>
      </c>
      <c r="G119" s="21">
        <v>0</v>
      </c>
      <c r="H119" s="21">
        <v>1</v>
      </c>
      <c r="I119" s="21">
        <v>1</v>
      </c>
      <c r="J119" s="21">
        <v>1</v>
      </c>
      <c r="K119" s="21">
        <v>1</v>
      </c>
      <c r="L119" s="21">
        <v>0</v>
      </c>
      <c r="M119" s="21">
        <v>1</v>
      </c>
      <c r="N119" s="21">
        <v>0</v>
      </c>
      <c r="O119" s="21">
        <v>0</v>
      </c>
      <c r="P119" s="21">
        <v>0</v>
      </c>
      <c r="Q119" s="21">
        <v>0</v>
      </c>
      <c r="R119" s="21">
        <v>1</v>
      </c>
      <c r="S119" s="21">
        <v>0</v>
      </c>
      <c r="T119" s="21">
        <v>0</v>
      </c>
      <c r="U119" s="22">
        <f t="shared" si="35"/>
        <v>59136</v>
      </c>
      <c r="V119" s="19" t="str">
        <f t="shared" si="36"/>
        <v>E700</v>
      </c>
      <c r="W119" s="7"/>
      <c r="X119" s="23">
        <v>22272</v>
      </c>
      <c r="Y119" s="19" t="str">
        <f t="shared" si="32"/>
        <v>5700</v>
      </c>
      <c r="Z119" s="18">
        <f t="shared" si="30"/>
        <v>0</v>
      </c>
      <c r="AA119" s="18">
        <f t="shared" si="38"/>
        <v>0</v>
      </c>
      <c r="AB119" s="18">
        <f t="shared" si="38"/>
        <v>0</v>
      </c>
      <c r="AC119" s="18">
        <f t="shared" si="38"/>
        <v>0</v>
      </c>
      <c r="AD119" s="18">
        <f t="shared" si="38"/>
        <v>1</v>
      </c>
      <c r="AE119" s="18">
        <f t="shared" si="38"/>
        <v>0</v>
      </c>
      <c r="AF119" s="18">
        <f t="shared" si="38"/>
        <v>1</v>
      </c>
      <c r="AG119" s="18">
        <f t="shared" si="38"/>
        <v>0</v>
      </c>
      <c r="AH119" s="18">
        <f t="shared" si="38"/>
        <v>1</v>
      </c>
      <c r="AI119" s="18">
        <f t="shared" si="38"/>
        <v>0</v>
      </c>
      <c r="AJ119" s="18">
        <f t="shared" si="38"/>
        <v>0</v>
      </c>
      <c r="AK119" s="18">
        <f t="shared" si="38"/>
        <v>0</v>
      </c>
      <c r="AL119" s="18">
        <f t="shared" si="38"/>
        <v>0</v>
      </c>
      <c r="AM119" s="18">
        <f t="shared" si="38"/>
        <v>1</v>
      </c>
      <c r="AN119" s="18">
        <f t="shared" si="38"/>
        <v>1</v>
      </c>
      <c r="AO119" s="18">
        <f t="shared" ref="AA119:AO136" si="39">IF(_xlfn.BITAND($X119,AO$19)=0,0,1)</f>
        <v>0</v>
      </c>
      <c r="AQ119" s="28" t="str">
        <f t="shared" si="37"/>
        <v xml:space="preserve">    0xE700,  // a</v>
      </c>
    </row>
    <row r="120" spans="1:43" ht="18.75" x14ac:dyDescent="0.3">
      <c r="A120" s="6"/>
      <c r="B120" s="16">
        <v>98</v>
      </c>
      <c r="C120" s="19" t="str">
        <f t="shared" si="33"/>
        <v>62</v>
      </c>
      <c r="D120" s="20" t="str">
        <f t="shared" si="34"/>
        <v>b</v>
      </c>
      <c r="E120" s="21">
        <v>0</v>
      </c>
      <c r="F120" s="21">
        <v>0</v>
      </c>
      <c r="G120" s="21">
        <v>0</v>
      </c>
      <c r="H120" s="21">
        <v>1</v>
      </c>
      <c r="I120" s="21">
        <v>1</v>
      </c>
      <c r="J120" s="21">
        <v>1</v>
      </c>
      <c r="K120" s="21">
        <v>1</v>
      </c>
      <c r="L120" s="21">
        <v>1</v>
      </c>
      <c r="M120" s="21">
        <v>1</v>
      </c>
      <c r="N120" s="21">
        <v>1</v>
      </c>
      <c r="O120" s="21">
        <v>0</v>
      </c>
      <c r="P120" s="21">
        <v>0</v>
      </c>
      <c r="Q120" s="21">
        <v>0</v>
      </c>
      <c r="R120" s="21">
        <v>0</v>
      </c>
      <c r="S120" s="21">
        <v>0</v>
      </c>
      <c r="T120" s="21">
        <v>0</v>
      </c>
      <c r="U120" s="22">
        <f t="shared" si="35"/>
        <v>42881</v>
      </c>
      <c r="V120" s="19" t="str">
        <f t="shared" si="36"/>
        <v>A781</v>
      </c>
      <c r="W120" s="7"/>
      <c r="X120" s="23">
        <v>42881</v>
      </c>
      <c r="Y120" s="19" t="str">
        <f t="shared" si="32"/>
        <v>A781</v>
      </c>
      <c r="Z120" s="18">
        <f t="shared" si="30"/>
        <v>0</v>
      </c>
      <c r="AA120" s="18">
        <f t="shared" si="39"/>
        <v>0</v>
      </c>
      <c r="AB120" s="18">
        <f t="shared" si="39"/>
        <v>0</v>
      </c>
      <c r="AC120" s="18">
        <f t="shared" si="39"/>
        <v>1</v>
      </c>
      <c r="AD120" s="18">
        <f t="shared" si="39"/>
        <v>1</v>
      </c>
      <c r="AE120" s="18">
        <f t="shared" si="39"/>
        <v>1</v>
      </c>
      <c r="AF120" s="18">
        <f t="shared" si="39"/>
        <v>1</v>
      </c>
      <c r="AG120" s="18">
        <f t="shared" si="39"/>
        <v>1</v>
      </c>
      <c r="AH120" s="18">
        <f t="shared" si="39"/>
        <v>1</v>
      </c>
      <c r="AI120" s="18">
        <f t="shared" si="39"/>
        <v>1</v>
      </c>
      <c r="AJ120" s="18">
        <f t="shared" si="39"/>
        <v>0</v>
      </c>
      <c r="AK120" s="18">
        <f t="shared" si="39"/>
        <v>0</v>
      </c>
      <c r="AL120" s="18">
        <f t="shared" si="39"/>
        <v>0</v>
      </c>
      <c r="AM120" s="18">
        <f t="shared" si="39"/>
        <v>0</v>
      </c>
      <c r="AN120" s="18">
        <f t="shared" si="39"/>
        <v>0</v>
      </c>
      <c r="AO120" s="18">
        <f t="shared" si="39"/>
        <v>0</v>
      </c>
      <c r="AQ120" s="28" t="str">
        <f t="shared" si="37"/>
        <v xml:space="preserve">    0xA781,  // b</v>
      </c>
    </row>
    <row r="121" spans="1:43" ht="18.75" x14ac:dyDescent="0.3">
      <c r="A121" s="6"/>
      <c r="B121" s="16">
        <v>99</v>
      </c>
      <c r="C121" s="19" t="str">
        <f t="shared" si="33"/>
        <v>63</v>
      </c>
      <c r="D121" s="20" t="str">
        <f t="shared" si="34"/>
        <v>c</v>
      </c>
      <c r="E121" s="21">
        <v>0</v>
      </c>
      <c r="F121" s="21">
        <v>0</v>
      </c>
      <c r="G121" s="21">
        <v>0</v>
      </c>
      <c r="H121" s="21">
        <v>0</v>
      </c>
      <c r="I121" s="21">
        <v>1</v>
      </c>
      <c r="J121" s="21">
        <v>1</v>
      </c>
      <c r="K121" s="21">
        <v>1</v>
      </c>
      <c r="L121" s="21">
        <v>0</v>
      </c>
      <c r="M121" s="21">
        <v>1</v>
      </c>
      <c r="N121" s="21">
        <v>1</v>
      </c>
      <c r="O121" s="21">
        <v>0</v>
      </c>
      <c r="P121" s="21">
        <v>0</v>
      </c>
      <c r="Q121" s="21">
        <v>0</v>
      </c>
      <c r="R121" s="21">
        <v>0</v>
      </c>
      <c r="S121" s="21">
        <v>0</v>
      </c>
      <c r="T121" s="21">
        <v>0</v>
      </c>
      <c r="U121" s="22">
        <f t="shared" si="35"/>
        <v>10112</v>
      </c>
      <c r="V121" s="19" t="str">
        <f t="shared" si="36"/>
        <v>2780</v>
      </c>
      <c r="W121" s="7"/>
      <c r="X121" s="23">
        <v>10112</v>
      </c>
      <c r="Y121" s="19" t="str">
        <f t="shared" si="32"/>
        <v>2780</v>
      </c>
      <c r="Z121" s="18">
        <f t="shared" si="30"/>
        <v>0</v>
      </c>
      <c r="AA121" s="18">
        <f t="shared" si="39"/>
        <v>0</v>
      </c>
      <c r="AB121" s="18">
        <f t="shared" si="39"/>
        <v>0</v>
      </c>
      <c r="AC121" s="18">
        <f t="shared" si="39"/>
        <v>0</v>
      </c>
      <c r="AD121" s="18">
        <f t="shared" si="39"/>
        <v>1</v>
      </c>
      <c r="AE121" s="18">
        <f t="shared" si="39"/>
        <v>1</v>
      </c>
      <c r="AF121" s="18">
        <f t="shared" si="39"/>
        <v>1</v>
      </c>
      <c r="AG121" s="18">
        <f t="shared" si="39"/>
        <v>0</v>
      </c>
      <c r="AH121" s="18">
        <f t="shared" si="39"/>
        <v>1</v>
      </c>
      <c r="AI121" s="18">
        <f t="shared" si="39"/>
        <v>1</v>
      </c>
      <c r="AJ121" s="18">
        <f t="shared" si="39"/>
        <v>0</v>
      </c>
      <c r="AK121" s="18">
        <f t="shared" si="39"/>
        <v>0</v>
      </c>
      <c r="AL121" s="18">
        <f t="shared" si="39"/>
        <v>0</v>
      </c>
      <c r="AM121" s="18">
        <f t="shared" si="39"/>
        <v>0</v>
      </c>
      <c r="AN121" s="18">
        <f t="shared" si="39"/>
        <v>0</v>
      </c>
      <c r="AO121" s="18">
        <f t="shared" si="39"/>
        <v>0</v>
      </c>
      <c r="AQ121" s="28" t="str">
        <f t="shared" si="37"/>
        <v xml:space="preserve">    0x2780,  // c</v>
      </c>
    </row>
    <row r="122" spans="1:43" ht="18.75" x14ac:dyDescent="0.3">
      <c r="A122" s="6"/>
      <c r="B122" s="16">
        <v>100</v>
      </c>
      <c r="C122" s="19" t="str">
        <f t="shared" si="33"/>
        <v>64</v>
      </c>
      <c r="D122" s="20" t="str">
        <f t="shared" si="34"/>
        <v>d</v>
      </c>
      <c r="E122" s="21">
        <v>0</v>
      </c>
      <c r="F122" s="21">
        <v>0</v>
      </c>
      <c r="G122" s="21">
        <v>1</v>
      </c>
      <c r="H122" s="21">
        <v>1</v>
      </c>
      <c r="I122" s="21">
        <v>1</v>
      </c>
      <c r="J122" s="21">
        <v>1</v>
      </c>
      <c r="K122" s="21">
        <v>1</v>
      </c>
      <c r="L122" s="21">
        <v>0</v>
      </c>
      <c r="M122" s="21">
        <v>1</v>
      </c>
      <c r="N122" s="21">
        <v>1</v>
      </c>
      <c r="O122" s="21">
        <v>0</v>
      </c>
      <c r="P122" s="21">
        <v>0</v>
      </c>
      <c r="Q122" s="21">
        <v>0</v>
      </c>
      <c r="R122" s="21">
        <v>0</v>
      </c>
      <c r="S122" s="21">
        <v>0</v>
      </c>
      <c r="T122" s="21">
        <v>0</v>
      </c>
      <c r="U122" s="22">
        <f t="shared" si="35"/>
        <v>42944</v>
      </c>
      <c r="V122" s="19" t="str">
        <f t="shared" si="36"/>
        <v>A7C0</v>
      </c>
      <c r="W122" s="7"/>
      <c r="X122" s="23">
        <v>42944</v>
      </c>
      <c r="Y122" s="19" t="str">
        <f t="shared" si="32"/>
        <v>A7C0</v>
      </c>
      <c r="Z122" s="18">
        <f t="shared" si="30"/>
        <v>0</v>
      </c>
      <c r="AA122" s="18">
        <f t="shared" si="39"/>
        <v>0</v>
      </c>
      <c r="AB122" s="18">
        <f t="shared" si="39"/>
        <v>1</v>
      </c>
      <c r="AC122" s="18">
        <f t="shared" si="39"/>
        <v>1</v>
      </c>
      <c r="AD122" s="18">
        <f t="shared" si="39"/>
        <v>1</v>
      </c>
      <c r="AE122" s="18">
        <f t="shared" si="39"/>
        <v>1</v>
      </c>
      <c r="AF122" s="18">
        <f t="shared" si="39"/>
        <v>1</v>
      </c>
      <c r="AG122" s="18">
        <f t="shared" si="39"/>
        <v>0</v>
      </c>
      <c r="AH122" s="18">
        <f t="shared" si="39"/>
        <v>1</v>
      </c>
      <c r="AI122" s="18">
        <f t="shared" si="39"/>
        <v>1</v>
      </c>
      <c r="AJ122" s="18">
        <f t="shared" si="39"/>
        <v>0</v>
      </c>
      <c r="AK122" s="18">
        <f t="shared" si="39"/>
        <v>0</v>
      </c>
      <c r="AL122" s="18">
        <f t="shared" si="39"/>
        <v>0</v>
      </c>
      <c r="AM122" s="18">
        <f t="shared" si="39"/>
        <v>0</v>
      </c>
      <c r="AN122" s="18">
        <f t="shared" si="39"/>
        <v>0</v>
      </c>
      <c r="AO122" s="18">
        <f t="shared" si="39"/>
        <v>0</v>
      </c>
      <c r="AQ122" s="28" t="str">
        <f t="shared" si="37"/>
        <v xml:space="preserve">    0xA7C0,  // d</v>
      </c>
    </row>
    <row r="123" spans="1:43" ht="18.75" x14ac:dyDescent="0.3">
      <c r="A123" s="6"/>
      <c r="B123" s="16">
        <v>101</v>
      </c>
      <c r="C123" s="19" t="str">
        <f t="shared" si="33"/>
        <v>65</v>
      </c>
      <c r="D123" s="20" t="str">
        <f t="shared" si="34"/>
        <v>e</v>
      </c>
      <c r="E123" s="21">
        <v>0</v>
      </c>
      <c r="F123" s="21">
        <v>0</v>
      </c>
      <c r="G123" s="21">
        <v>0</v>
      </c>
      <c r="H123" s="21">
        <v>0</v>
      </c>
      <c r="I123" s="21">
        <v>1</v>
      </c>
      <c r="J123" s="21">
        <v>1</v>
      </c>
      <c r="K123" s="21">
        <v>1</v>
      </c>
      <c r="L123" s="21">
        <v>0</v>
      </c>
      <c r="M123" s="21">
        <v>1</v>
      </c>
      <c r="N123" s="21">
        <v>0</v>
      </c>
      <c r="O123" s="21">
        <v>0</v>
      </c>
      <c r="P123" s="21">
        <v>0</v>
      </c>
      <c r="Q123" s="21">
        <v>0</v>
      </c>
      <c r="R123" s="21">
        <v>0</v>
      </c>
      <c r="S123" s="21">
        <v>0</v>
      </c>
      <c r="T123" s="21">
        <v>1</v>
      </c>
      <c r="U123" s="22">
        <f t="shared" si="35"/>
        <v>12032</v>
      </c>
      <c r="V123" s="19" t="str">
        <f t="shared" si="36"/>
        <v>2F00</v>
      </c>
      <c r="W123" s="7"/>
      <c r="X123" s="23">
        <v>12032</v>
      </c>
      <c r="Y123" s="19" t="str">
        <f t="shared" si="32"/>
        <v>2F00</v>
      </c>
      <c r="Z123" s="18">
        <f t="shared" si="30"/>
        <v>0</v>
      </c>
      <c r="AA123" s="18">
        <f t="shared" si="39"/>
        <v>0</v>
      </c>
      <c r="AB123" s="18">
        <f t="shared" si="39"/>
        <v>0</v>
      </c>
      <c r="AC123" s="18">
        <f t="shared" si="39"/>
        <v>0</v>
      </c>
      <c r="AD123" s="18">
        <f t="shared" si="39"/>
        <v>1</v>
      </c>
      <c r="AE123" s="18">
        <f t="shared" si="39"/>
        <v>1</v>
      </c>
      <c r="AF123" s="18">
        <f t="shared" si="39"/>
        <v>1</v>
      </c>
      <c r="AG123" s="18">
        <f t="shared" si="39"/>
        <v>0</v>
      </c>
      <c r="AH123" s="18">
        <f t="shared" si="39"/>
        <v>1</v>
      </c>
      <c r="AI123" s="18">
        <f t="shared" si="39"/>
        <v>0</v>
      </c>
      <c r="AJ123" s="18">
        <f t="shared" si="39"/>
        <v>0</v>
      </c>
      <c r="AK123" s="18">
        <f t="shared" si="39"/>
        <v>0</v>
      </c>
      <c r="AL123" s="18">
        <f t="shared" si="39"/>
        <v>0</v>
      </c>
      <c r="AM123" s="18">
        <f t="shared" si="39"/>
        <v>0</v>
      </c>
      <c r="AN123" s="18">
        <f t="shared" si="39"/>
        <v>0</v>
      </c>
      <c r="AO123" s="18">
        <f t="shared" si="39"/>
        <v>1</v>
      </c>
      <c r="AQ123" s="28" t="str">
        <f t="shared" si="37"/>
        <v xml:space="preserve">    0x2F00,  // e</v>
      </c>
    </row>
    <row r="124" spans="1:43" ht="18.75" x14ac:dyDescent="0.3">
      <c r="A124" s="6"/>
      <c r="B124" s="16">
        <v>102</v>
      </c>
      <c r="C124" s="19" t="str">
        <f t="shared" si="33"/>
        <v>66</v>
      </c>
      <c r="D124" s="20" t="str">
        <f t="shared" si="34"/>
        <v>f</v>
      </c>
      <c r="E124" s="21">
        <v>0</v>
      </c>
      <c r="F124" s="21">
        <v>1</v>
      </c>
      <c r="G124" s="21">
        <v>0</v>
      </c>
      <c r="H124" s="21">
        <v>0</v>
      </c>
      <c r="I124" s="21">
        <v>0</v>
      </c>
      <c r="J124" s="21">
        <v>0</v>
      </c>
      <c r="K124" s="21">
        <v>0</v>
      </c>
      <c r="L124" s="21">
        <v>0</v>
      </c>
      <c r="M124" s="21">
        <v>1</v>
      </c>
      <c r="N124" s="21">
        <v>1</v>
      </c>
      <c r="O124" s="21">
        <v>0</v>
      </c>
      <c r="P124" s="21">
        <v>1</v>
      </c>
      <c r="Q124" s="21">
        <v>0</v>
      </c>
      <c r="R124" s="21">
        <v>0</v>
      </c>
      <c r="S124" s="21">
        <v>1</v>
      </c>
      <c r="T124" s="21">
        <v>0</v>
      </c>
      <c r="U124" s="22">
        <f t="shared" si="35"/>
        <v>4520</v>
      </c>
      <c r="V124" s="19" t="str">
        <f t="shared" si="36"/>
        <v>11A8</v>
      </c>
      <c r="W124" s="7"/>
      <c r="X124" s="23">
        <v>4520</v>
      </c>
      <c r="Y124" s="19" t="str">
        <f t="shared" si="32"/>
        <v>11A8</v>
      </c>
      <c r="Z124" s="18">
        <f t="shared" si="30"/>
        <v>0</v>
      </c>
      <c r="AA124" s="18">
        <f t="shared" si="39"/>
        <v>1</v>
      </c>
      <c r="AB124" s="18">
        <f t="shared" si="39"/>
        <v>0</v>
      </c>
      <c r="AC124" s="18">
        <f t="shared" si="39"/>
        <v>0</v>
      </c>
      <c r="AD124" s="18">
        <f t="shared" si="39"/>
        <v>0</v>
      </c>
      <c r="AE124" s="18">
        <f t="shared" si="39"/>
        <v>0</v>
      </c>
      <c r="AF124" s="18">
        <f t="shared" si="39"/>
        <v>0</v>
      </c>
      <c r="AG124" s="18">
        <f t="shared" si="39"/>
        <v>0</v>
      </c>
      <c r="AH124" s="18">
        <f t="shared" si="39"/>
        <v>1</v>
      </c>
      <c r="AI124" s="18">
        <f t="shared" si="39"/>
        <v>1</v>
      </c>
      <c r="AJ124" s="18">
        <f t="shared" si="39"/>
        <v>0</v>
      </c>
      <c r="AK124" s="18">
        <f t="shared" si="39"/>
        <v>1</v>
      </c>
      <c r="AL124" s="18">
        <f t="shared" si="39"/>
        <v>0</v>
      </c>
      <c r="AM124" s="18">
        <f t="shared" si="39"/>
        <v>0</v>
      </c>
      <c r="AN124" s="18">
        <f t="shared" si="39"/>
        <v>1</v>
      </c>
      <c r="AO124" s="18">
        <f t="shared" si="39"/>
        <v>0</v>
      </c>
      <c r="AQ124" s="28" t="str">
        <f t="shared" si="37"/>
        <v xml:space="preserve">    0x11A8,  // f</v>
      </c>
    </row>
    <row r="125" spans="1:43" ht="18.75" x14ac:dyDescent="0.3">
      <c r="A125" s="6"/>
      <c r="B125" s="16">
        <v>103</v>
      </c>
      <c r="C125" s="19" t="str">
        <f t="shared" si="33"/>
        <v>67</v>
      </c>
      <c r="D125" s="20" t="str">
        <f t="shared" si="34"/>
        <v>g</v>
      </c>
      <c r="E125" s="21">
        <v>0</v>
      </c>
      <c r="F125" s="21">
        <v>0</v>
      </c>
      <c r="G125" s="21">
        <v>0</v>
      </c>
      <c r="H125" s="21">
        <v>1</v>
      </c>
      <c r="I125" s="21">
        <v>1</v>
      </c>
      <c r="J125" s="21">
        <v>1</v>
      </c>
      <c r="K125" s="21">
        <v>0</v>
      </c>
      <c r="L125" s="21">
        <v>0</v>
      </c>
      <c r="M125" s="21">
        <v>0</v>
      </c>
      <c r="N125" s="21">
        <v>1</v>
      </c>
      <c r="O125" s="21">
        <v>0</v>
      </c>
      <c r="P125" s="21">
        <v>0</v>
      </c>
      <c r="Q125" s="21">
        <v>0</v>
      </c>
      <c r="R125" s="21">
        <v>1</v>
      </c>
      <c r="S125" s="21">
        <v>0</v>
      </c>
      <c r="T125" s="21">
        <v>0</v>
      </c>
      <c r="U125" s="22">
        <f t="shared" si="35"/>
        <v>58496</v>
      </c>
      <c r="V125" s="19" t="str">
        <f t="shared" si="36"/>
        <v>E480</v>
      </c>
      <c r="W125" s="7"/>
      <c r="X125" s="23">
        <v>5389</v>
      </c>
      <c r="Y125" s="19" t="str">
        <f t="shared" si="32"/>
        <v>150D</v>
      </c>
      <c r="Z125" s="18">
        <f t="shared" si="30"/>
        <v>1</v>
      </c>
      <c r="AA125" s="18">
        <f t="shared" si="39"/>
        <v>0</v>
      </c>
      <c r="AB125" s="18">
        <f t="shared" si="39"/>
        <v>0</v>
      </c>
      <c r="AC125" s="18">
        <f t="shared" si="39"/>
        <v>0</v>
      </c>
      <c r="AD125" s="18">
        <f t="shared" si="39"/>
        <v>1</v>
      </c>
      <c r="AE125" s="18">
        <f t="shared" si="39"/>
        <v>0</v>
      </c>
      <c r="AF125" s="18">
        <f t="shared" si="39"/>
        <v>0</v>
      </c>
      <c r="AG125" s="18">
        <f t="shared" si="39"/>
        <v>1</v>
      </c>
      <c r="AH125" s="18">
        <f t="shared" si="39"/>
        <v>1</v>
      </c>
      <c r="AI125" s="18">
        <f t="shared" si="39"/>
        <v>0</v>
      </c>
      <c r="AJ125" s="18">
        <f t="shared" si="39"/>
        <v>0</v>
      </c>
      <c r="AK125" s="18">
        <f t="shared" si="39"/>
        <v>1</v>
      </c>
      <c r="AL125" s="18">
        <f t="shared" si="39"/>
        <v>0</v>
      </c>
      <c r="AM125" s="18">
        <f t="shared" si="39"/>
        <v>0</v>
      </c>
      <c r="AN125" s="18">
        <f t="shared" si="39"/>
        <v>1</v>
      </c>
      <c r="AO125" s="18">
        <f t="shared" si="39"/>
        <v>0</v>
      </c>
      <c r="AQ125" s="28" t="str">
        <f t="shared" si="37"/>
        <v xml:space="preserve">    0xE480,  // g</v>
      </c>
    </row>
    <row r="126" spans="1:43" ht="18.75" x14ac:dyDescent="0.3">
      <c r="A126" s="6"/>
      <c r="B126" s="16">
        <v>104</v>
      </c>
      <c r="C126" s="19" t="str">
        <f t="shared" si="33"/>
        <v>68</v>
      </c>
      <c r="D126" s="20" t="str">
        <f t="shared" si="34"/>
        <v>h</v>
      </c>
      <c r="E126" s="21">
        <v>0</v>
      </c>
      <c r="F126" s="21">
        <v>0</v>
      </c>
      <c r="G126" s="21">
        <v>0</v>
      </c>
      <c r="H126" s="21">
        <v>1</v>
      </c>
      <c r="I126" s="21">
        <v>0</v>
      </c>
      <c r="J126" s="21">
        <v>0</v>
      </c>
      <c r="K126" s="21">
        <v>1</v>
      </c>
      <c r="L126" s="21">
        <v>1</v>
      </c>
      <c r="M126" s="21">
        <v>1</v>
      </c>
      <c r="N126" s="21">
        <v>1</v>
      </c>
      <c r="O126" s="21">
        <v>0</v>
      </c>
      <c r="P126" s="21">
        <v>0</v>
      </c>
      <c r="Q126" s="21">
        <v>0</v>
      </c>
      <c r="R126" s="21">
        <v>0</v>
      </c>
      <c r="S126" s="21">
        <v>0</v>
      </c>
      <c r="T126" s="21">
        <v>0</v>
      </c>
      <c r="U126" s="22">
        <f t="shared" si="35"/>
        <v>33665</v>
      </c>
      <c r="V126" s="19" t="str">
        <f t="shared" si="36"/>
        <v>8381</v>
      </c>
      <c r="W126" s="7"/>
      <c r="X126" s="23">
        <v>33665</v>
      </c>
      <c r="Y126" s="19" t="str">
        <f t="shared" si="32"/>
        <v>8381</v>
      </c>
      <c r="Z126" s="18">
        <f t="shared" si="30"/>
        <v>0</v>
      </c>
      <c r="AA126" s="18">
        <f t="shared" si="39"/>
        <v>0</v>
      </c>
      <c r="AB126" s="18">
        <f t="shared" si="39"/>
        <v>0</v>
      </c>
      <c r="AC126" s="18">
        <f t="shared" si="39"/>
        <v>1</v>
      </c>
      <c r="AD126" s="18">
        <f t="shared" si="39"/>
        <v>0</v>
      </c>
      <c r="AE126" s="18">
        <f t="shared" si="39"/>
        <v>0</v>
      </c>
      <c r="AF126" s="18">
        <f t="shared" si="39"/>
        <v>1</v>
      </c>
      <c r="AG126" s="18">
        <f t="shared" si="39"/>
        <v>1</v>
      </c>
      <c r="AH126" s="18">
        <f t="shared" si="39"/>
        <v>1</v>
      </c>
      <c r="AI126" s="18">
        <f t="shared" si="39"/>
        <v>1</v>
      </c>
      <c r="AJ126" s="18">
        <f t="shared" si="39"/>
        <v>0</v>
      </c>
      <c r="AK126" s="18">
        <f t="shared" si="39"/>
        <v>0</v>
      </c>
      <c r="AL126" s="18">
        <f t="shared" si="39"/>
        <v>0</v>
      </c>
      <c r="AM126" s="18">
        <f t="shared" si="39"/>
        <v>0</v>
      </c>
      <c r="AN126" s="18">
        <f t="shared" si="39"/>
        <v>0</v>
      </c>
      <c r="AO126" s="18">
        <f t="shared" si="39"/>
        <v>0</v>
      </c>
      <c r="AQ126" s="28" t="str">
        <f t="shared" si="37"/>
        <v xml:space="preserve">    0x8381,  // h</v>
      </c>
    </row>
    <row r="127" spans="1:43" ht="18.75" x14ac:dyDescent="0.3">
      <c r="A127" s="6"/>
      <c r="B127" s="16">
        <v>105</v>
      </c>
      <c r="C127" s="19" t="str">
        <f t="shared" si="33"/>
        <v>69</v>
      </c>
      <c r="D127" s="20" t="str">
        <f t="shared" si="34"/>
        <v>i</v>
      </c>
      <c r="E127" s="21">
        <v>1</v>
      </c>
      <c r="F127" s="21">
        <v>0</v>
      </c>
      <c r="G127" s="21">
        <v>0</v>
      </c>
      <c r="H127" s="21">
        <v>0</v>
      </c>
      <c r="I127" s="21">
        <v>1</v>
      </c>
      <c r="J127" s="21">
        <v>1</v>
      </c>
      <c r="K127" s="21">
        <v>0</v>
      </c>
      <c r="L127" s="21">
        <v>0</v>
      </c>
      <c r="M127" s="21">
        <v>1</v>
      </c>
      <c r="N127" s="21">
        <v>0</v>
      </c>
      <c r="O127" s="21">
        <v>0</v>
      </c>
      <c r="P127" s="21">
        <v>0</v>
      </c>
      <c r="Q127" s="21">
        <v>0</v>
      </c>
      <c r="R127" s="21">
        <v>0</v>
      </c>
      <c r="S127" s="21">
        <v>1</v>
      </c>
      <c r="T127" s="21">
        <v>0</v>
      </c>
      <c r="U127" s="22">
        <f t="shared" si="35"/>
        <v>13572</v>
      </c>
      <c r="V127" s="19" t="str">
        <f t="shared" si="36"/>
        <v>3504</v>
      </c>
      <c r="W127" s="7"/>
      <c r="X127" s="23">
        <v>13572</v>
      </c>
      <c r="Y127" s="19" t="str">
        <f t="shared" si="32"/>
        <v>3504</v>
      </c>
      <c r="Z127" s="18">
        <f t="shared" si="30"/>
        <v>1</v>
      </c>
      <c r="AA127" s="18">
        <f t="shared" si="39"/>
        <v>0</v>
      </c>
      <c r="AB127" s="18">
        <f t="shared" si="39"/>
        <v>0</v>
      </c>
      <c r="AC127" s="18">
        <f t="shared" si="39"/>
        <v>0</v>
      </c>
      <c r="AD127" s="18">
        <f t="shared" si="39"/>
        <v>1</v>
      </c>
      <c r="AE127" s="18">
        <f t="shared" si="39"/>
        <v>1</v>
      </c>
      <c r="AF127" s="18">
        <f t="shared" si="39"/>
        <v>0</v>
      </c>
      <c r="AG127" s="18">
        <f t="shared" si="39"/>
        <v>0</v>
      </c>
      <c r="AH127" s="18">
        <f t="shared" si="39"/>
        <v>1</v>
      </c>
      <c r="AI127" s="18">
        <f t="shared" si="39"/>
        <v>0</v>
      </c>
      <c r="AJ127" s="18">
        <f t="shared" si="39"/>
        <v>0</v>
      </c>
      <c r="AK127" s="18">
        <f t="shared" si="39"/>
        <v>0</v>
      </c>
      <c r="AL127" s="18">
        <f t="shared" si="39"/>
        <v>0</v>
      </c>
      <c r="AM127" s="18">
        <f t="shared" si="39"/>
        <v>0</v>
      </c>
      <c r="AN127" s="18">
        <f t="shared" si="39"/>
        <v>1</v>
      </c>
      <c r="AO127" s="18">
        <f t="shared" si="39"/>
        <v>0</v>
      </c>
      <c r="AQ127" s="28" t="str">
        <f t="shared" si="37"/>
        <v xml:space="preserve">    0x3504,  // i</v>
      </c>
    </row>
    <row r="128" spans="1:43" ht="18.75" x14ac:dyDescent="0.3">
      <c r="A128" s="6"/>
      <c r="B128" s="16">
        <v>106</v>
      </c>
      <c r="C128" s="19" t="str">
        <f t="shared" si="33"/>
        <v>6A</v>
      </c>
      <c r="D128" s="20" t="str">
        <f t="shared" si="34"/>
        <v>j</v>
      </c>
      <c r="E128" s="21">
        <v>0</v>
      </c>
      <c r="F128" s="21">
        <v>1</v>
      </c>
      <c r="G128" s="21">
        <v>0</v>
      </c>
      <c r="H128" s="21">
        <v>1</v>
      </c>
      <c r="I128" s="21">
        <v>1</v>
      </c>
      <c r="J128" s="21">
        <v>1</v>
      </c>
      <c r="K128" s="21">
        <v>0</v>
      </c>
      <c r="L128" s="21">
        <v>0</v>
      </c>
      <c r="M128" s="21">
        <v>0</v>
      </c>
      <c r="N128" s="21">
        <v>1</v>
      </c>
      <c r="O128" s="21">
        <v>0</v>
      </c>
      <c r="P128" s="21">
        <v>0</v>
      </c>
      <c r="Q128" s="21">
        <v>0</v>
      </c>
      <c r="R128" s="21">
        <v>0</v>
      </c>
      <c r="S128" s="21">
        <v>0</v>
      </c>
      <c r="T128" s="21">
        <v>0</v>
      </c>
      <c r="U128" s="22">
        <f t="shared" si="35"/>
        <v>42144</v>
      </c>
      <c r="V128" s="19" t="str">
        <f t="shared" si="36"/>
        <v>A4A0</v>
      </c>
      <c r="W128" s="7"/>
      <c r="X128" s="23">
        <v>42144</v>
      </c>
      <c r="Y128" s="19" t="str">
        <f t="shared" si="32"/>
        <v>A4A0</v>
      </c>
      <c r="Z128" s="18">
        <f t="shared" si="30"/>
        <v>0</v>
      </c>
      <c r="AA128" s="18">
        <f t="shared" si="39"/>
        <v>1</v>
      </c>
      <c r="AB128" s="18">
        <f t="shared" si="39"/>
        <v>0</v>
      </c>
      <c r="AC128" s="18">
        <f t="shared" si="39"/>
        <v>1</v>
      </c>
      <c r="AD128" s="18">
        <f t="shared" si="39"/>
        <v>1</v>
      </c>
      <c r="AE128" s="18">
        <f t="shared" si="39"/>
        <v>1</v>
      </c>
      <c r="AF128" s="18">
        <f t="shared" si="39"/>
        <v>0</v>
      </c>
      <c r="AG128" s="18">
        <f t="shared" si="39"/>
        <v>0</v>
      </c>
      <c r="AH128" s="18">
        <f t="shared" si="39"/>
        <v>0</v>
      </c>
      <c r="AI128" s="18">
        <f t="shared" si="39"/>
        <v>1</v>
      </c>
      <c r="AJ128" s="18">
        <f t="shared" si="39"/>
        <v>0</v>
      </c>
      <c r="AK128" s="18">
        <f t="shared" si="39"/>
        <v>0</v>
      </c>
      <c r="AL128" s="18">
        <f t="shared" si="39"/>
        <v>0</v>
      </c>
      <c r="AM128" s="18">
        <f t="shared" si="39"/>
        <v>0</v>
      </c>
      <c r="AN128" s="18">
        <f t="shared" si="39"/>
        <v>0</v>
      </c>
      <c r="AO128" s="18">
        <f t="shared" si="39"/>
        <v>0</v>
      </c>
      <c r="AQ128" s="28" t="str">
        <f t="shared" si="37"/>
        <v xml:space="preserve">    0xA4A0,  // j</v>
      </c>
    </row>
    <row r="129" spans="1:43" ht="18.75" x14ac:dyDescent="0.3">
      <c r="A129" s="6"/>
      <c r="B129" s="16">
        <v>107</v>
      </c>
      <c r="C129" s="19" t="str">
        <f t="shared" si="33"/>
        <v>6B</v>
      </c>
      <c r="D129" s="20" t="str">
        <f t="shared" si="34"/>
        <v>k</v>
      </c>
      <c r="E129" s="21">
        <v>0</v>
      </c>
      <c r="F129" s="21">
        <v>0</v>
      </c>
      <c r="G129" s="21">
        <v>0</v>
      </c>
      <c r="H129" s="21">
        <v>0</v>
      </c>
      <c r="I129" s="21">
        <v>0</v>
      </c>
      <c r="J129" s="21">
        <v>0</v>
      </c>
      <c r="K129" s="21">
        <v>1</v>
      </c>
      <c r="L129" s="21">
        <v>1</v>
      </c>
      <c r="M129" s="21">
        <v>1</v>
      </c>
      <c r="N129" s="21">
        <v>1</v>
      </c>
      <c r="O129" s="21">
        <v>0</v>
      </c>
      <c r="P129" s="21">
        <v>0</v>
      </c>
      <c r="Q129" s="21">
        <v>0</v>
      </c>
      <c r="R129" s="21">
        <v>1</v>
      </c>
      <c r="S129" s="21">
        <v>0</v>
      </c>
      <c r="T129" s="21">
        <v>0</v>
      </c>
      <c r="U129" s="22">
        <f t="shared" si="35"/>
        <v>17281</v>
      </c>
      <c r="V129" s="19" t="str">
        <f t="shared" si="36"/>
        <v>4381</v>
      </c>
      <c r="W129" s="7"/>
      <c r="X129" s="23">
        <v>17281</v>
      </c>
      <c r="Y129" s="19" t="str">
        <f t="shared" si="32"/>
        <v>4381</v>
      </c>
      <c r="Z129" s="18">
        <f t="shared" si="30"/>
        <v>0</v>
      </c>
      <c r="AA129" s="18">
        <f t="shared" si="39"/>
        <v>0</v>
      </c>
      <c r="AB129" s="18">
        <f t="shared" si="39"/>
        <v>0</v>
      </c>
      <c r="AC129" s="18">
        <f t="shared" si="39"/>
        <v>0</v>
      </c>
      <c r="AD129" s="18">
        <f t="shared" si="39"/>
        <v>0</v>
      </c>
      <c r="AE129" s="18">
        <f t="shared" si="39"/>
        <v>0</v>
      </c>
      <c r="AF129" s="18">
        <f t="shared" si="39"/>
        <v>1</v>
      </c>
      <c r="AG129" s="18">
        <f t="shared" si="39"/>
        <v>1</v>
      </c>
      <c r="AH129" s="18">
        <f t="shared" si="39"/>
        <v>1</v>
      </c>
      <c r="AI129" s="18">
        <f t="shared" si="39"/>
        <v>1</v>
      </c>
      <c r="AJ129" s="18">
        <f t="shared" si="39"/>
        <v>0</v>
      </c>
      <c r="AK129" s="18">
        <f t="shared" si="39"/>
        <v>0</v>
      </c>
      <c r="AL129" s="18">
        <f t="shared" si="39"/>
        <v>0</v>
      </c>
      <c r="AM129" s="18">
        <f t="shared" si="39"/>
        <v>1</v>
      </c>
      <c r="AN129" s="18">
        <f t="shared" si="39"/>
        <v>0</v>
      </c>
      <c r="AO129" s="18">
        <f t="shared" si="39"/>
        <v>0</v>
      </c>
      <c r="AQ129" s="28" t="str">
        <f t="shared" si="37"/>
        <v xml:space="preserve">    0x4381,  // k</v>
      </c>
    </row>
    <row r="130" spans="1:43" ht="18.75" x14ac:dyDescent="0.3">
      <c r="A130" s="6"/>
      <c r="B130" s="16">
        <v>108</v>
      </c>
      <c r="C130" s="19" t="str">
        <f t="shared" si="33"/>
        <v>6C</v>
      </c>
      <c r="D130" s="20" t="str">
        <f t="shared" si="34"/>
        <v>l</v>
      </c>
      <c r="E130" s="21">
        <v>1</v>
      </c>
      <c r="F130" s="21">
        <v>0</v>
      </c>
      <c r="G130" s="21">
        <v>0</v>
      </c>
      <c r="H130" s="21">
        <v>0</v>
      </c>
      <c r="I130" s="21">
        <v>1</v>
      </c>
      <c r="J130" s="21">
        <v>1</v>
      </c>
      <c r="K130" s="21">
        <v>0</v>
      </c>
      <c r="L130" s="21">
        <v>0</v>
      </c>
      <c r="M130" s="21">
        <v>0</v>
      </c>
      <c r="N130" s="21">
        <v>0</v>
      </c>
      <c r="O130" s="21">
        <v>0</v>
      </c>
      <c r="P130" s="21">
        <v>1</v>
      </c>
      <c r="Q130" s="21">
        <v>0</v>
      </c>
      <c r="R130" s="21">
        <v>0</v>
      </c>
      <c r="S130" s="21">
        <v>1</v>
      </c>
      <c r="T130" s="21">
        <v>0</v>
      </c>
      <c r="U130" s="22">
        <f t="shared" si="35"/>
        <v>13324</v>
      </c>
      <c r="V130" s="19" t="str">
        <f t="shared" si="36"/>
        <v>340C</v>
      </c>
      <c r="W130" s="7"/>
      <c r="X130" s="23">
        <v>13324</v>
      </c>
      <c r="Y130" s="19" t="str">
        <f t="shared" si="32"/>
        <v>340C</v>
      </c>
      <c r="Z130" s="18">
        <f t="shared" si="30"/>
        <v>1</v>
      </c>
      <c r="AA130" s="18">
        <f t="shared" si="39"/>
        <v>0</v>
      </c>
      <c r="AB130" s="18">
        <f t="shared" si="39"/>
        <v>0</v>
      </c>
      <c r="AC130" s="18">
        <f t="shared" si="39"/>
        <v>0</v>
      </c>
      <c r="AD130" s="18">
        <f t="shared" si="39"/>
        <v>1</v>
      </c>
      <c r="AE130" s="18">
        <f t="shared" si="39"/>
        <v>1</v>
      </c>
      <c r="AF130" s="18">
        <f t="shared" si="39"/>
        <v>0</v>
      </c>
      <c r="AG130" s="18">
        <f t="shared" si="39"/>
        <v>0</v>
      </c>
      <c r="AH130" s="18">
        <f t="shared" si="39"/>
        <v>0</v>
      </c>
      <c r="AI130" s="18">
        <f t="shared" si="39"/>
        <v>0</v>
      </c>
      <c r="AJ130" s="18">
        <f t="shared" si="39"/>
        <v>0</v>
      </c>
      <c r="AK130" s="18">
        <f t="shared" si="39"/>
        <v>1</v>
      </c>
      <c r="AL130" s="18">
        <f t="shared" si="39"/>
        <v>0</v>
      </c>
      <c r="AM130" s="18">
        <f t="shared" si="39"/>
        <v>0</v>
      </c>
      <c r="AN130" s="18">
        <f t="shared" si="39"/>
        <v>1</v>
      </c>
      <c r="AO130" s="18">
        <f t="shared" si="39"/>
        <v>0</v>
      </c>
      <c r="AQ130" s="28" t="str">
        <f t="shared" si="37"/>
        <v xml:space="preserve">    0x340C,  // l</v>
      </c>
    </row>
    <row r="131" spans="1:43" ht="18.75" x14ac:dyDescent="0.3">
      <c r="A131" s="6"/>
      <c r="B131" s="16">
        <v>109</v>
      </c>
      <c r="C131" s="19" t="str">
        <f t="shared" si="33"/>
        <v>6D</v>
      </c>
      <c r="D131" s="20" t="str">
        <f t="shared" si="34"/>
        <v>m</v>
      </c>
      <c r="E131" s="21">
        <v>0</v>
      </c>
      <c r="F131" s="21">
        <v>0</v>
      </c>
      <c r="G131" s="21">
        <v>0</v>
      </c>
      <c r="H131" s="21">
        <v>1</v>
      </c>
      <c r="I131" s="21">
        <v>0</v>
      </c>
      <c r="J131" s="21">
        <v>0</v>
      </c>
      <c r="K131" s="21">
        <v>1</v>
      </c>
      <c r="L131" s="21">
        <v>0</v>
      </c>
      <c r="M131" s="21">
        <v>1</v>
      </c>
      <c r="N131" s="21">
        <v>1</v>
      </c>
      <c r="O131" s="21">
        <v>0</v>
      </c>
      <c r="P131" s="21">
        <v>0</v>
      </c>
      <c r="Q131" s="21">
        <v>0</v>
      </c>
      <c r="R131" s="21">
        <v>0</v>
      </c>
      <c r="S131" s="21">
        <v>1</v>
      </c>
      <c r="T131" s="21">
        <v>0</v>
      </c>
      <c r="U131" s="22">
        <f t="shared" si="35"/>
        <v>37760</v>
      </c>
      <c r="V131" s="19" t="str">
        <f t="shared" si="36"/>
        <v>9380</v>
      </c>
      <c r="W131" s="7"/>
      <c r="X131" s="23">
        <v>37760</v>
      </c>
      <c r="Y131" s="19" t="str">
        <f t="shared" si="32"/>
        <v>9380</v>
      </c>
      <c r="Z131" s="18">
        <f t="shared" si="30"/>
        <v>0</v>
      </c>
      <c r="AA131" s="18">
        <f t="shared" si="39"/>
        <v>0</v>
      </c>
      <c r="AB131" s="18">
        <f t="shared" si="39"/>
        <v>0</v>
      </c>
      <c r="AC131" s="18">
        <f t="shared" si="39"/>
        <v>1</v>
      </c>
      <c r="AD131" s="18">
        <f t="shared" si="39"/>
        <v>0</v>
      </c>
      <c r="AE131" s="18">
        <f t="shared" si="39"/>
        <v>0</v>
      </c>
      <c r="AF131" s="18">
        <f t="shared" si="39"/>
        <v>1</v>
      </c>
      <c r="AG131" s="18">
        <f t="shared" si="39"/>
        <v>0</v>
      </c>
      <c r="AH131" s="18">
        <f t="shared" si="39"/>
        <v>1</v>
      </c>
      <c r="AI131" s="18">
        <f t="shared" si="39"/>
        <v>1</v>
      </c>
      <c r="AJ131" s="18">
        <f t="shared" si="39"/>
        <v>0</v>
      </c>
      <c r="AK131" s="18">
        <f t="shared" si="39"/>
        <v>0</v>
      </c>
      <c r="AL131" s="18">
        <f t="shared" si="39"/>
        <v>0</v>
      </c>
      <c r="AM131" s="18">
        <f t="shared" si="39"/>
        <v>0</v>
      </c>
      <c r="AN131" s="18">
        <f t="shared" si="39"/>
        <v>1</v>
      </c>
      <c r="AO131" s="18">
        <f t="shared" si="39"/>
        <v>0</v>
      </c>
      <c r="AQ131" s="28" t="str">
        <f t="shared" si="37"/>
        <v xml:space="preserve">    0x9380,  // m</v>
      </c>
    </row>
    <row r="132" spans="1:43" ht="18.75" x14ac:dyDescent="0.3">
      <c r="A132" s="6"/>
      <c r="B132" s="16">
        <v>110</v>
      </c>
      <c r="C132" s="19" t="str">
        <f t="shared" si="33"/>
        <v>6E</v>
      </c>
      <c r="D132" s="20" t="str">
        <f t="shared" si="34"/>
        <v>n</v>
      </c>
      <c r="E132" s="21">
        <v>0</v>
      </c>
      <c r="F132" s="21">
        <v>0</v>
      </c>
      <c r="G132" s="21">
        <v>0</v>
      </c>
      <c r="H132" s="21">
        <v>1</v>
      </c>
      <c r="I132" s="21">
        <v>0</v>
      </c>
      <c r="J132" s="21">
        <v>0</v>
      </c>
      <c r="K132" s="21">
        <v>1</v>
      </c>
      <c r="L132" s="21">
        <v>0</v>
      </c>
      <c r="M132" s="21">
        <v>1</v>
      </c>
      <c r="N132" s="21">
        <v>1</v>
      </c>
      <c r="O132" s="21">
        <v>0</v>
      </c>
      <c r="P132" s="21">
        <v>0</v>
      </c>
      <c r="Q132" s="21">
        <v>0</v>
      </c>
      <c r="R132" s="21">
        <v>0</v>
      </c>
      <c r="S132" s="21">
        <v>0</v>
      </c>
      <c r="T132" s="21">
        <v>0</v>
      </c>
      <c r="U132" s="22">
        <f t="shared" si="35"/>
        <v>33664</v>
      </c>
      <c r="V132" s="19" t="str">
        <f t="shared" si="36"/>
        <v>8380</v>
      </c>
      <c r="W132" s="7"/>
      <c r="X132" s="23">
        <v>33664</v>
      </c>
      <c r="Y132" s="19" t="str">
        <f t="shared" si="32"/>
        <v>8380</v>
      </c>
      <c r="Z132" s="18">
        <f t="shared" si="30"/>
        <v>0</v>
      </c>
      <c r="AA132" s="18">
        <f t="shared" si="39"/>
        <v>0</v>
      </c>
      <c r="AB132" s="18">
        <f t="shared" si="39"/>
        <v>0</v>
      </c>
      <c r="AC132" s="18">
        <f t="shared" si="39"/>
        <v>1</v>
      </c>
      <c r="AD132" s="18">
        <f t="shared" si="39"/>
        <v>0</v>
      </c>
      <c r="AE132" s="18">
        <f t="shared" si="39"/>
        <v>0</v>
      </c>
      <c r="AF132" s="18">
        <f t="shared" si="39"/>
        <v>1</v>
      </c>
      <c r="AG132" s="18">
        <f t="shared" si="39"/>
        <v>0</v>
      </c>
      <c r="AH132" s="18">
        <f t="shared" si="39"/>
        <v>1</v>
      </c>
      <c r="AI132" s="18">
        <f t="shared" si="39"/>
        <v>1</v>
      </c>
      <c r="AJ132" s="18">
        <f t="shared" si="39"/>
        <v>0</v>
      </c>
      <c r="AK132" s="18">
        <f t="shared" si="39"/>
        <v>0</v>
      </c>
      <c r="AL132" s="18">
        <f t="shared" si="39"/>
        <v>0</v>
      </c>
      <c r="AM132" s="18">
        <f t="shared" si="39"/>
        <v>0</v>
      </c>
      <c r="AN132" s="18">
        <f t="shared" si="39"/>
        <v>0</v>
      </c>
      <c r="AO132" s="18">
        <f t="shared" si="39"/>
        <v>0</v>
      </c>
      <c r="AQ132" s="28" t="str">
        <f t="shared" si="37"/>
        <v xml:space="preserve">    0x8380,  // n</v>
      </c>
    </row>
    <row r="133" spans="1:43" ht="18.75" x14ac:dyDescent="0.3">
      <c r="A133" s="6"/>
      <c r="B133" s="16">
        <v>111</v>
      </c>
      <c r="C133" s="19" t="str">
        <f t="shared" si="33"/>
        <v>6F</v>
      </c>
      <c r="D133" s="20" t="str">
        <f t="shared" si="34"/>
        <v>o</v>
      </c>
      <c r="E133" s="21">
        <v>0</v>
      </c>
      <c r="F133" s="21">
        <v>0</v>
      </c>
      <c r="G133" s="21">
        <v>0</v>
      </c>
      <c r="H133" s="21">
        <v>1</v>
      </c>
      <c r="I133" s="21">
        <v>1</v>
      </c>
      <c r="J133" s="21">
        <v>1</v>
      </c>
      <c r="K133" s="21">
        <v>1</v>
      </c>
      <c r="L133" s="21">
        <v>0</v>
      </c>
      <c r="M133" s="21">
        <v>1</v>
      </c>
      <c r="N133" s="21">
        <v>1</v>
      </c>
      <c r="O133" s="21">
        <v>0</v>
      </c>
      <c r="P133" s="21">
        <v>0</v>
      </c>
      <c r="Q133" s="21">
        <v>0</v>
      </c>
      <c r="R133" s="21">
        <v>0</v>
      </c>
      <c r="S133" s="21">
        <v>0</v>
      </c>
      <c r="T133" s="21">
        <v>0</v>
      </c>
      <c r="U133" s="22">
        <f t="shared" si="35"/>
        <v>42880</v>
      </c>
      <c r="V133" s="19" t="str">
        <f t="shared" si="36"/>
        <v>A780</v>
      </c>
      <c r="W133" s="7"/>
      <c r="X133" s="23">
        <v>42880</v>
      </c>
      <c r="Y133" s="19" t="str">
        <f t="shared" si="32"/>
        <v>A780</v>
      </c>
      <c r="Z133" s="18">
        <f t="shared" ref="Z133:Z196" si="40">IF(_xlfn.BITAND($X133,Z$19)=0,0,1)</f>
        <v>0</v>
      </c>
      <c r="AA133" s="18">
        <f t="shared" si="39"/>
        <v>0</v>
      </c>
      <c r="AB133" s="18">
        <f t="shared" si="39"/>
        <v>0</v>
      </c>
      <c r="AC133" s="18">
        <f t="shared" si="39"/>
        <v>1</v>
      </c>
      <c r="AD133" s="18">
        <f t="shared" si="39"/>
        <v>1</v>
      </c>
      <c r="AE133" s="18">
        <f t="shared" si="39"/>
        <v>1</v>
      </c>
      <c r="AF133" s="18">
        <f t="shared" si="39"/>
        <v>1</v>
      </c>
      <c r="AG133" s="18">
        <f t="shared" si="39"/>
        <v>0</v>
      </c>
      <c r="AH133" s="18">
        <f t="shared" si="39"/>
        <v>1</v>
      </c>
      <c r="AI133" s="18">
        <f t="shared" si="39"/>
        <v>1</v>
      </c>
      <c r="AJ133" s="18">
        <f t="shared" si="39"/>
        <v>0</v>
      </c>
      <c r="AK133" s="18">
        <f t="shared" si="39"/>
        <v>0</v>
      </c>
      <c r="AL133" s="18">
        <f t="shared" si="39"/>
        <v>0</v>
      </c>
      <c r="AM133" s="18">
        <f t="shared" si="39"/>
        <v>0</v>
      </c>
      <c r="AN133" s="18">
        <f t="shared" si="39"/>
        <v>0</v>
      </c>
      <c r="AO133" s="18">
        <f t="shared" si="39"/>
        <v>0</v>
      </c>
      <c r="AQ133" s="28" t="str">
        <f t="shared" si="37"/>
        <v xml:space="preserve">    0xA780,  // o</v>
      </c>
    </row>
    <row r="134" spans="1:43" ht="18.75" x14ac:dyDescent="0.3">
      <c r="A134" s="6"/>
      <c r="B134" s="16">
        <v>112</v>
      </c>
      <c r="C134" s="19" t="str">
        <f t="shared" si="33"/>
        <v>70</v>
      </c>
      <c r="D134" s="20" t="str">
        <f t="shared" si="34"/>
        <v>p</v>
      </c>
      <c r="E134" s="21">
        <v>1</v>
      </c>
      <c r="F134" s="21">
        <v>0</v>
      </c>
      <c r="G134" s="21">
        <v>0</v>
      </c>
      <c r="H134" s="21">
        <v>0</v>
      </c>
      <c r="I134" s="21">
        <v>0</v>
      </c>
      <c r="J134" s="21">
        <v>0</v>
      </c>
      <c r="K134" s="21">
        <v>1</v>
      </c>
      <c r="L134" s="21">
        <v>1</v>
      </c>
      <c r="M134" s="21">
        <v>1</v>
      </c>
      <c r="N134" s="21">
        <v>0</v>
      </c>
      <c r="O134" s="21">
        <v>0</v>
      </c>
      <c r="P134" s="21">
        <v>1</v>
      </c>
      <c r="Q134" s="21">
        <v>0</v>
      </c>
      <c r="R134" s="21">
        <v>0</v>
      </c>
      <c r="S134" s="21">
        <v>0</v>
      </c>
      <c r="T134" s="21">
        <v>0</v>
      </c>
      <c r="U134" s="22">
        <f t="shared" si="35"/>
        <v>781</v>
      </c>
      <c r="V134" s="19" t="str">
        <f t="shared" si="36"/>
        <v>030D</v>
      </c>
      <c r="W134" s="7"/>
      <c r="X134" s="30">
        <v>781</v>
      </c>
      <c r="Y134" s="19" t="str">
        <f t="shared" si="32"/>
        <v>030D</v>
      </c>
      <c r="Z134" s="18">
        <f t="shared" si="40"/>
        <v>1</v>
      </c>
      <c r="AA134" s="18">
        <f t="shared" si="39"/>
        <v>0</v>
      </c>
      <c r="AB134" s="18">
        <f t="shared" si="39"/>
        <v>0</v>
      </c>
      <c r="AC134" s="18">
        <f t="shared" si="39"/>
        <v>0</v>
      </c>
      <c r="AD134" s="18">
        <f t="shared" si="39"/>
        <v>0</v>
      </c>
      <c r="AE134" s="18">
        <f t="shared" si="39"/>
        <v>0</v>
      </c>
      <c r="AF134" s="18">
        <f t="shared" si="39"/>
        <v>1</v>
      </c>
      <c r="AG134" s="18">
        <f t="shared" si="39"/>
        <v>1</v>
      </c>
      <c r="AH134" s="18">
        <f t="shared" si="39"/>
        <v>1</v>
      </c>
      <c r="AI134" s="18">
        <f t="shared" si="39"/>
        <v>0</v>
      </c>
      <c r="AJ134" s="18">
        <f t="shared" si="39"/>
        <v>0</v>
      </c>
      <c r="AK134" s="18">
        <f t="shared" si="39"/>
        <v>1</v>
      </c>
      <c r="AL134" s="18">
        <f t="shared" si="39"/>
        <v>0</v>
      </c>
      <c r="AM134" s="18">
        <f t="shared" si="39"/>
        <v>0</v>
      </c>
      <c r="AN134" s="18">
        <f t="shared" si="39"/>
        <v>0</v>
      </c>
      <c r="AO134" s="18">
        <f t="shared" si="39"/>
        <v>0</v>
      </c>
      <c r="AQ134" s="28" t="str">
        <f t="shared" si="37"/>
        <v xml:space="preserve">    0x030D,  // p</v>
      </c>
    </row>
    <row r="135" spans="1:43" ht="18.75" x14ac:dyDescent="0.3">
      <c r="A135" s="6"/>
      <c r="B135" s="16">
        <v>113</v>
      </c>
      <c r="C135" s="19" t="str">
        <f t="shared" si="33"/>
        <v>71</v>
      </c>
      <c r="D135" s="20" t="str">
        <f t="shared" si="34"/>
        <v>q</v>
      </c>
      <c r="E135" s="21">
        <v>1</v>
      </c>
      <c r="F135" s="21">
        <v>0</v>
      </c>
      <c r="G135" s="21">
        <v>0</v>
      </c>
      <c r="H135" s="21">
        <v>0</v>
      </c>
      <c r="I135" s="21">
        <v>0</v>
      </c>
      <c r="J135" s="21">
        <v>1</v>
      </c>
      <c r="K135" s="21">
        <v>0</v>
      </c>
      <c r="L135" s="21">
        <v>1</v>
      </c>
      <c r="M135" s="21">
        <v>1</v>
      </c>
      <c r="N135" s="21">
        <v>0</v>
      </c>
      <c r="O135" s="21">
        <v>0</v>
      </c>
      <c r="P135" s="21">
        <v>1</v>
      </c>
      <c r="Q135" s="21">
        <v>0</v>
      </c>
      <c r="R135" s="21">
        <v>0</v>
      </c>
      <c r="S135" s="21">
        <v>1</v>
      </c>
      <c r="T135" s="21">
        <v>0</v>
      </c>
      <c r="U135" s="22">
        <f t="shared" si="35"/>
        <v>12557</v>
      </c>
      <c r="V135" s="19" t="str">
        <f t="shared" si="36"/>
        <v>310D</v>
      </c>
      <c r="W135" s="7"/>
      <c r="X135" s="23">
        <v>12557</v>
      </c>
      <c r="Y135" s="19" t="str">
        <f t="shared" si="32"/>
        <v>310D</v>
      </c>
      <c r="Z135" s="18">
        <f t="shared" si="40"/>
        <v>1</v>
      </c>
      <c r="AA135" s="18">
        <f t="shared" si="39"/>
        <v>0</v>
      </c>
      <c r="AB135" s="18">
        <f t="shared" si="39"/>
        <v>0</v>
      </c>
      <c r="AC135" s="18">
        <f t="shared" si="39"/>
        <v>0</v>
      </c>
      <c r="AD135" s="18">
        <f t="shared" si="39"/>
        <v>0</v>
      </c>
      <c r="AE135" s="18">
        <f t="shared" si="39"/>
        <v>1</v>
      </c>
      <c r="AF135" s="18">
        <f t="shared" si="39"/>
        <v>0</v>
      </c>
      <c r="AG135" s="18">
        <f t="shared" si="39"/>
        <v>1</v>
      </c>
      <c r="AH135" s="18">
        <f t="shared" si="39"/>
        <v>1</v>
      </c>
      <c r="AI135" s="18">
        <f t="shared" si="39"/>
        <v>0</v>
      </c>
      <c r="AJ135" s="18">
        <f t="shared" si="39"/>
        <v>0</v>
      </c>
      <c r="AK135" s="18">
        <f t="shared" si="39"/>
        <v>1</v>
      </c>
      <c r="AL135" s="18">
        <f t="shared" si="39"/>
        <v>0</v>
      </c>
      <c r="AM135" s="18">
        <f t="shared" si="39"/>
        <v>0</v>
      </c>
      <c r="AN135" s="18">
        <f t="shared" si="39"/>
        <v>1</v>
      </c>
      <c r="AO135" s="18">
        <f t="shared" si="39"/>
        <v>0</v>
      </c>
      <c r="AQ135" s="28" t="str">
        <f t="shared" si="37"/>
        <v xml:space="preserve">    0x310D,  // q</v>
      </c>
    </row>
    <row r="136" spans="1:43" ht="18.75" x14ac:dyDescent="0.3">
      <c r="A136" s="6"/>
      <c r="B136" s="16">
        <v>114</v>
      </c>
      <c r="C136" s="19" t="str">
        <f t="shared" si="33"/>
        <v>72</v>
      </c>
      <c r="D136" s="20" t="str">
        <f t="shared" si="34"/>
        <v>r</v>
      </c>
      <c r="E136" s="21">
        <v>0</v>
      </c>
      <c r="F136" s="21">
        <v>0</v>
      </c>
      <c r="G136" s="21">
        <v>0</v>
      </c>
      <c r="H136" s="21">
        <v>0</v>
      </c>
      <c r="I136" s="21">
        <v>0</v>
      </c>
      <c r="J136" s="21">
        <v>0</v>
      </c>
      <c r="K136" s="21">
        <v>1</v>
      </c>
      <c r="L136" s="21">
        <v>0</v>
      </c>
      <c r="M136" s="21">
        <v>1</v>
      </c>
      <c r="N136" s="21">
        <v>1</v>
      </c>
      <c r="O136" s="21">
        <v>0</v>
      </c>
      <c r="P136" s="21">
        <v>0</v>
      </c>
      <c r="Q136" s="21">
        <v>0</v>
      </c>
      <c r="R136" s="21">
        <v>0</v>
      </c>
      <c r="S136" s="21">
        <v>0</v>
      </c>
      <c r="T136" s="21">
        <v>0</v>
      </c>
      <c r="U136" s="22">
        <f t="shared" si="35"/>
        <v>896</v>
      </c>
      <c r="V136" s="19" t="str">
        <f t="shared" si="36"/>
        <v>0380</v>
      </c>
      <c r="W136" s="7"/>
      <c r="X136" s="23">
        <v>896</v>
      </c>
      <c r="Y136" s="19" t="str">
        <f t="shared" si="32"/>
        <v>0380</v>
      </c>
      <c r="Z136" s="18">
        <f t="shared" si="40"/>
        <v>0</v>
      </c>
      <c r="AA136" s="18">
        <f t="shared" si="39"/>
        <v>0</v>
      </c>
      <c r="AB136" s="18">
        <f t="shared" si="39"/>
        <v>0</v>
      </c>
      <c r="AC136" s="18">
        <f t="shared" si="39"/>
        <v>0</v>
      </c>
      <c r="AD136" s="18">
        <f t="shared" si="39"/>
        <v>0</v>
      </c>
      <c r="AE136" s="18">
        <f t="shared" si="39"/>
        <v>0</v>
      </c>
      <c r="AF136" s="18">
        <f t="shared" si="39"/>
        <v>1</v>
      </c>
      <c r="AG136" s="18">
        <f t="shared" si="39"/>
        <v>0</v>
      </c>
      <c r="AH136" s="18">
        <f t="shared" si="39"/>
        <v>1</v>
      </c>
      <c r="AI136" s="18">
        <f t="shared" si="39"/>
        <v>1</v>
      </c>
      <c r="AJ136" s="18">
        <f t="shared" si="39"/>
        <v>0</v>
      </c>
      <c r="AK136" s="18">
        <f t="shared" si="39"/>
        <v>0</v>
      </c>
      <c r="AL136" s="18">
        <f t="shared" si="39"/>
        <v>0</v>
      </c>
      <c r="AM136" s="18">
        <f t="shared" si="39"/>
        <v>0</v>
      </c>
      <c r="AN136" s="18">
        <f t="shared" si="39"/>
        <v>0</v>
      </c>
      <c r="AO136" s="18">
        <f t="shared" ref="AA136:AO153" si="41">IF(_xlfn.BITAND($X136,AO$19)=0,0,1)</f>
        <v>0</v>
      </c>
      <c r="AQ136" s="28" t="str">
        <f t="shared" si="37"/>
        <v xml:space="preserve">    0x0380,  // r</v>
      </c>
    </row>
    <row r="137" spans="1:43" ht="18.75" x14ac:dyDescent="0.3">
      <c r="A137" s="6"/>
      <c r="B137" s="16">
        <v>115</v>
      </c>
      <c r="C137" s="19" t="str">
        <f t="shared" si="33"/>
        <v>73</v>
      </c>
      <c r="D137" s="20" t="str">
        <f t="shared" si="34"/>
        <v>s</v>
      </c>
      <c r="E137" s="21">
        <v>0</v>
      </c>
      <c r="F137" s="21">
        <v>0</v>
      </c>
      <c r="G137" s="21">
        <v>0</v>
      </c>
      <c r="H137" s="21">
        <v>0</v>
      </c>
      <c r="I137" s="21">
        <v>1</v>
      </c>
      <c r="J137" s="21">
        <v>1</v>
      </c>
      <c r="K137" s="21">
        <v>0</v>
      </c>
      <c r="L137" s="21">
        <v>0</v>
      </c>
      <c r="M137" s="21">
        <v>0</v>
      </c>
      <c r="N137" s="21">
        <v>1</v>
      </c>
      <c r="O137" s="21">
        <v>0</v>
      </c>
      <c r="P137" s="21">
        <v>0</v>
      </c>
      <c r="Q137" s="21">
        <v>0</v>
      </c>
      <c r="R137" s="21">
        <v>1</v>
      </c>
      <c r="S137" s="21">
        <v>0</v>
      </c>
      <c r="T137" s="21">
        <v>0</v>
      </c>
      <c r="U137" s="22">
        <f t="shared" si="35"/>
        <v>25728</v>
      </c>
      <c r="V137" s="19" t="str">
        <f t="shared" si="36"/>
        <v>6480</v>
      </c>
      <c r="W137" s="7"/>
      <c r="X137" s="23">
        <v>25728</v>
      </c>
      <c r="Y137" s="19" t="str">
        <f t="shared" si="32"/>
        <v>6480</v>
      </c>
      <c r="Z137" s="18">
        <f t="shared" si="40"/>
        <v>0</v>
      </c>
      <c r="AA137" s="18">
        <f t="shared" si="41"/>
        <v>0</v>
      </c>
      <c r="AB137" s="18">
        <f t="shared" si="41"/>
        <v>0</v>
      </c>
      <c r="AC137" s="18">
        <f t="shared" si="41"/>
        <v>0</v>
      </c>
      <c r="AD137" s="18">
        <f t="shared" si="41"/>
        <v>1</v>
      </c>
      <c r="AE137" s="18">
        <f t="shared" si="41"/>
        <v>1</v>
      </c>
      <c r="AF137" s="18">
        <f t="shared" si="41"/>
        <v>0</v>
      </c>
      <c r="AG137" s="18">
        <f t="shared" si="41"/>
        <v>0</v>
      </c>
      <c r="AH137" s="18">
        <f t="shared" si="41"/>
        <v>0</v>
      </c>
      <c r="AI137" s="18">
        <f t="shared" si="41"/>
        <v>1</v>
      </c>
      <c r="AJ137" s="18">
        <f t="shared" si="41"/>
        <v>0</v>
      </c>
      <c r="AK137" s="18">
        <f t="shared" si="41"/>
        <v>0</v>
      </c>
      <c r="AL137" s="18">
        <f t="shared" si="41"/>
        <v>0</v>
      </c>
      <c r="AM137" s="18">
        <f t="shared" si="41"/>
        <v>1</v>
      </c>
      <c r="AN137" s="18">
        <f t="shared" si="41"/>
        <v>0</v>
      </c>
      <c r="AO137" s="18">
        <f t="shared" si="41"/>
        <v>0</v>
      </c>
      <c r="AQ137" s="28" t="str">
        <f t="shared" si="37"/>
        <v xml:space="preserve">    0x6480,  // s</v>
      </c>
    </row>
    <row r="138" spans="1:43" ht="18.75" x14ac:dyDescent="0.3">
      <c r="A138" s="6"/>
      <c r="B138" s="16">
        <v>116</v>
      </c>
      <c r="C138" s="19" t="str">
        <f t="shared" si="33"/>
        <v>74</v>
      </c>
      <c r="D138" s="20" t="str">
        <f t="shared" si="34"/>
        <v>t</v>
      </c>
      <c r="E138" s="21">
        <v>0</v>
      </c>
      <c r="F138" s="21">
        <v>0</v>
      </c>
      <c r="G138" s="21">
        <v>0</v>
      </c>
      <c r="H138" s="21">
        <v>0</v>
      </c>
      <c r="I138" s="21">
        <v>0</v>
      </c>
      <c r="J138" s="21">
        <v>1</v>
      </c>
      <c r="K138" s="21">
        <v>0</v>
      </c>
      <c r="L138" s="21">
        <v>0</v>
      </c>
      <c r="M138" s="21">
        <v>1</v>
      </c>
      <c r="N138" s="21">
        <v>1</v>
      </c>
      <c r="O138" s="21">
        <v>0</v>
      </c>
      <c r="P138" s="21">
        <v>1</v>
      </c>
      <c r="Q138" s="21">
        <v>0</v>
      </c>
      <c r="R138" s="21">
        <v>0</v>
      </c>
      <c r="S138" s="21">
        <v>1</v>
      </c>
      <c r="T138" s="21">
        <v>0</v>
      </c>
      <c r="U138" s="22">
        <f t="shared" si="35"/>
        <v>12680</v>
      </c>
      <c r="V138" s="19" t="str">
        <f t="shared" si="36"/>
        <v>3188</v>
      </c>
      <c r="W138" s="7"/>
      <c r="X138" s="23">
        <v>12680</v>
      </c>
      <c r="Y138" s="19" t="str">
        <f t="shared" si="32"/>
        <v>3188</v>
      </c>
      <c r="Z138" s="18">
        <f t="shared" si="40"/>
        <v>0</v>
      </c>
      <c r="AA138" s="18">
        <f t="shared" si="41"/>
        <v>0</v>
      </c>
      <c r="AB138" s="18">
        <f t="shared" si="41"/>
        <v>0</v>
      </c>
      <c r="AC138" s="18">
        <f t="shared" si="41"/>
        <v>0</v>
      </c>
      <c r="AD138" s="18">
        <f t="shared" si="41"/>
        <v>0</v>
      </c>
      <c r="AE138" s="18">
        <f t="shared" si="41"/>
        <v>1</v>
      </c>
      <c r="AF138" s="18">
        <f t="shared" si="41"/>
        <v>0</v>
      </c>
      <c r="AG138" s="18">
        <f t="shared" si="41"/>
        <v>0</v>
      </c>
      <c r="AH138" s="18">
        <f t="shared" si="41"/>
        <v>1</v>
      </c>
      <c r="AI138" s="18">
        <f t="shared" si="41"/>
        <v>1</v>
      </c>
      <c r="AJ138" s="18">
        <f t="shared" si="41"/>
        <v>0</v>
      </c>
      <c r="AK138" s="18">
        <f t="shared" si="41"/>
        <v>1</v>
      </c>
      <c r="AL138" s="18">
        <f t="shared" si="41"/>
        <v>0</v>
      </c>
      <c r="AM138" s="18">
        <f t="shared" si="41"/>
        <v>0</v>
      </c>
      <c r="AN138" s="18">
        <f t="shared" si="41"/>
        <v>1</v>
      </c>
      <c r="AO138" s="18">
        <f t="shared" si="41"/>
        <v>0</v>
      </c>
      <c r="AQ138" s="28" t="str">
        <f t="shared" si="37"/>
        <v xml:space="preserve">    0x3188,  // t</v>
      </c>
    </row>
    <row r="139" spans="1:43" ht="18.75" x14ac:dyDescent="0.3">
      <c r="A139" s="6"/>
      <c r="B139" s="16">
        <v>117</v>
      </c>
      <c r="C139" s="19" t="str">
        <f t="shared" si="33"/>
        <v>75</v>
      </c>
      <c r="D139" s="20" t="str">
        <f t="shared" si="34"/>
        <v>u</v>
      </c>
      <c r="E139" s="21">
        <v>0</v>
      </c>
      <c r="F139" s="21">
        <v>0</v>
      </c>
      <c r="G139" s="21">
        <v>0</v>
      </c>
      <c r="H139" s="21">
        <v>1</v>
      </c>
      <c r="I139" s="21">
        <v>1</v>
      </c>
      <c r="J139" s="21">
        <v>1</v>
      </c>
      <c r="K139" s="21">
        <v>1</v>
      </c>
      <c r="L139" s="21">
        <v>0</v>
      </c>
      <c r="M139" s="21">
        <v>0</v>
      </c>
      <c r="N139" s="21">
        <v>0</v>
      </c>
      <c r="O139" s="21">
        <v>0</v>
      </c>
      <c r="P139" s="21">
        <v>0</v>
      </c>
      <c r="Q139" s="21">
        <v>0</v>
      </c>
      <c r="R139" s="21">
        <v>0</v>
      </c>
      <c r="S139" s="21">
        <v>0</v>
      </c>
      <c r="T139" s="21">
        <v>0</v>
      </c>
      <c r="U139" s="22">
        <f t="shared" si="35"/>
        <v>42496</v>
      </c>
      <c r="V139" s="19" t="str">
        <f t="shared" si="36"/>
        <v>A600</v>
      </c>
      <c r="W139" s="7"/>
      <c r="X139" s="23">
        <v>42496</v>
      </c>
      <c r="Y139" s="19" t="str">
        <f t="shared" si="32"/>
        <v>A600</v>
      </c>
      <c r="Z139" s="18">
        <f t="shared" si="40"/>
        <v>0</v>
      </c>
      <c r="AA139" s="18">
        <f t="shared" si="41"/>
        <v>0</v>
      </c>
      <c r="AB139" s="18">
        <f t="shared" si="41"/>
        <v>0</v>
      </c>
      <c r="AC139" s="18">
        <f t="shared" si="41"/>
        <v>1</v>
      </c>
      <c r="AD139" s="18">
        <f t="shared" si="41"/>
        <v>1</v>
      </c>
      <c r="AE139" s="18">
        <f t="shared" si="41"/>
        <v>1</v>
      </c>
      <c r="AF139" s="18">
        <f t="shared" si="41"/>
        <v>1</v>
      </c>
      <c r="AG139" s="18">
        <f t="shared" si="41"/>
        <v>0</v>
      </c>
      <c r="AH139" s="18">
        <f t="shared" si="41"/>
        <v>0</v>
      </c>
      <c r="AI139" s="18">
        <f t="shared" si="41"/>
        <v>0</v>
      </c>
      <c r="AJ139" s="18">
        <f t="shared" si="41"/>
        <v>0</v>
      </c>
      <c r="AK139" s="18">
        <f t="shared" si="41"/>
        <v>0</v>
      </c>
      <c r="AL139" s="18">
        <f t="shared" si="41"/>
        <v>0</v>
      </c>
      <c r="AM139" s="18">
        <f t="shared" si="41"/>
        <v>0</v>
      </c>
      <c r="AN139" s="18">
        <f t="shared" si="41"/>
        <v>0</v>
      </c>
      <c r="AO139" s="18">
        <f t="shared" si="41"/>
        <v>0</v>
      </c>
      <c r="AQ139" s="28" t="str">
        <f t="shared" si="37"/>
        <v xml:space="preserve">    0xA600,  // u</v>
      </c>
    </row>
    <row r="140" spans="1:43" ht="18.75" x14ac:dyDescent="0.3">
      <c r="A140" s="6"/>
      <c r="B140" s="16">
        <v>118</v>
      </c>
      <c r="C140" s="19" t="str">
        <f t="shared" si="33"/>
        <v>76</v>
      </c>
      <c r="D140" s="20" t="str">
        <f t="shared" si="34"/>
        <v>v</v>
      </c>
      <c r="E140" s="21">
        <v>0</v>
      </c>
      <c r="F140" s="21">
        <v>0</v>
      </c>
      <c r="G140" s="21">
        <v>0</v>
      </c>
      <c r="H140" s="21">
        <v>0</v>
      </c>
      <c r="I140" s="21">
        <v>0</v>
      </c>
      <c r="J140" s="21">
        <v>0</v>
      </c>
      <c r="K140" s="21">
        <v>1</v>
      </c>
      <c r="L140" s="21">
        <v>0</v>
      </c>
      <c r="M140" s="21">
        <v>0</v>
      </c>
      <c r="N140" s="21">
        <v>1</v>
      </c>
      <c r="O140" s="21">
        <v>0</v>
      </c>
      <c r="P140" s="21">
        <v>0</v>
      </c>
      <c r="Q140" s="21">
        <v>0</v>
      </c>
      <c r="R140" s="21">
        <v>0</v>
      </c>
      <c r="S140" s="21">
        <v>0</v>
      </c>
      <c r="T140" s="21">
        <v>1</v>
      </c>
      <c r="U140" s="22">
        <f t="shared" si="35"/>
        <v>2688</v>
      </c>
      <c r="V140" s="19" t="str">
        <f t="shared" si="36"/>
        <v>0A80</v>
      </c>
      <c r="W140" s="7"/>
      <c r="X140" s="23">
        <v>2688</v>
      </c>
      <c r="Y140" s="19" t="str">
        <f t="shared" si="32"/>
        <v>0A80</v>
      </c>
      <c r="Z140" s="18">
        <f t="shared" si="40"/>
        <v>0</v>
      </c>
      <c r="AA140" s="18">
        <f t="shared" si="41"/>
        <v>0</v>
      </c>
      <c r="AB140" s="18">
        <f t="shared" si="41"/>
        <v>0</v>
      </c>
      <c r="AC140" s="18">
        <f t="shared" si="41"/>
        <v>0</v>
      </c>
      <c r="AD140" s="18">
        <f t="shared" si="41"/>
        <v>0</v>
      </c>
      <c r="AE140" s="18">
        <f t="shared" si="41"/>
        <v>0</v>
      </c>
      <c r="AF140" s="18">
        <f t="shared" si="41"/>
        <v>1</v>
      </c>
      <c r="AG140" s="18">
        <f t="shared" si="41"/>
        <v>0</v>
      </c>
      <c r="AH140" s="18">
        <f t="shared" si="41"/>
        <v>0</v>
      </c>
      <c r="AI140" s="18">
        <f t="shared" si="41"/>
        <v>1</v>
      </c>
      <c r="AJ140" s="18">
        <f t="shared" si="41"/>
        <v>0</v>
      </c>
      <c r="AK140" s="18">
        <f t="shared" si="41"/>
        <v>0</v>
      </c>
      <c r="AL140" s="18">
        <f t="shared" si="41"/>
        <v>0</v>
      </c>
      <c r="AM140" s="18">
        <f t="shared" si="41"/>
        <v>0</v>
      </c>
      <c r="AN140" s="18">
        <f t="shared" si="41"/>
        <v>0</v>
      </c>
      <c r="AO140" s="18">
        <f t="shared" si="41"/>
        <v>1</v>
      </c>
      <c r="AQ140" s="28" t="str">
        <f t="shared" si="37"/>
        <v xml:space="preserve">    0x0A80,  // v</v>
      </c>
    </row>
    <row r="141" spans="1:43" ht="18.75" x14ac:dyDescent="0.3">
      <c r="A141" s="6"/>
      <c r="B141" s="16">
        <v>119</v>
      </c>
      <c r="C141" s="19" t="str">
        <f t="shared" si="33"/>
        <v>77</v>
      </c>
      <c r="D141" s="20" t="str">
        <f t="shared" si="34"/>
        <v>w</v>
      </c>
      <c r="E141" s="21">
        <v>0</v>
      </c>
      <c r="F141" s="21">
        <v>0</v>
      </c>
      <c r="G141" s="21">
        <v>0</v>
      </c>
      <c r="H141" s="21">
        <v>1</v>
      </c>
      <c r="I141" s="21">
        <v>0</v>
      </c>
      <c r="J141" s="21">
        <v>0</v>
      </c>
      <c r="K141" s="21">
        <v>1</v>
      </c>
      <c r="L141" s="21">
        <v>0</v>
      </c>
      <c r="M141" s="21">
        <v>0</v>
      </c>
      <c r="N141" s="21">
        <v>0</v>
      </c>
      <c r="O141" s="21">
        <v>0</v>
      </c>
      <c r="P141" s="21">
        <v>0</v>
      </c>
      <c r="Q141" s="21">
        <v>0</v>
      </c>
      <c r="R141" s="21">
        <v>1</v>
      </c>
      <c r="S141" s="21">
        <v>0</v>
      </c>
      <c r="T141" s="21">
        <v>1</v>
      </c>
      <c r="U141" s="22">
        <f t="shared" si="35"/>
        <v>51712</v>
      </c>
      <c r="V141" s="19" t="str">
        <f t="shared" si="36"/>
        <v>CA00</v>
      </c>
      <c r="W141" s="7"/>
      <c r="X141" s="23">
        <v>51712</v>
      </c>
      <c r="Y141" s="19" t="str">
        <f t="shared" si="32"/>
        <v>CA00</v>
      </c>
      <c r="Z141" s="18">
        <f t="shared" si="40"/>
        <v>0</v>
      </c>
      <c r="AA141" s="18">
        <f t="shared" si="41"/>
        <v>0</v>
      </c>
      <c r="AB141" s="18">
        <f t="shared" si="41"/>
        <v>0</v>
      </c>
      <c r="AC141" s="18">
        <f t="shared" si="41"/>
        <v>1</v>
      </c>
      <c r="AD141" s="18">
        <f t="shared" si="41"/>
        <v>0</v>
      </c>
      <c r="AE141" s="18">
        <f t="shared" si="41"/>
        <v>0</v>
      </c>
      <c r="AF141" s="18">
        <f t="shared" si="41"/>
        <v>1</v>
      </c>
      <c r="AG141" s="18">
        <f t="shared" si="41"/>
        <v>0</v>
      </c>
      <c r="AH141" s="18">
        <f t="shared" si="41"/>
        <v>0</v>
      </c>
      <c r="AI141" s="18">
        <f t="shared" si="41"/>
        <v>0</v>
      </c>
      <c r="AJ141" s="18">
        <f t="shared" si="41"/>
        <v>0</v>
      </c>
      <c r="AK141" s="18">
        <f t="shared" si="41"/>
        <v>0</v>
      </c>
      <c r="AL141" s="18">
        <f t="shared" si="41"/>
        <v>0</v>
      </c>
      <c r="AM141" s="18">
        <f t="shared" si="41"/>
        <v>1</v>
      </c>
      <c r="AN141" s="18">
        <f t="shared" si="41"/>
        <v>0</v>
      </c>
      <c r="AO141" s="18">
        <f t="shared" si="41"/>
        <v>1</v>
      </c>
      <c r="AQ141" s="28" t="str">
        <f t="shared" si="37"/>
        <v xml:space="preserve">    0xCA00,  // w</v>
      </c>
    </row>
    <row r="142" spans="1:43" ht="18.75" x14ac:dyDescent="0.3">
      <c r="A142" s="6"/>
      <c r="B142" s="16">
        <v>120</v>
      </c>
      <c r="C142" s="19" t="str">
        <f t="shared" si="33"/>
        <v>78</v>
      </c>
      <c r="D142" s="20" t="str">
        <f t="shared" si="34"/>
        <v>x</v>
      </c>
      <c r="E142" s="21">
        <v>0</v>
      </c>
      <c r="F142" s="21">
        <v>0</v>
      </c>
      <c r="G142" s="21">
        <v>0</v>
      </c>
      <c r="H142" s="21">
        <v>0</v>
      </c>
      <c r="I142" s="21">
        <v>0</v>
      </c>
      <c r="J142" s="21">
        <v>0</v>
      </c>
      <c r="K142" s="21">
        <v>0</v>
      </c>
      <c r="L142" s="21">
        <v>0</v>
      </c>
      <c r="M142" s="21">
        <v>1</v>
      </c>
      <c r="N142" s="21">
        <v>1</v>
      </c>
      <c r="O142" s="21">
        <v>0</v>
      </c>
      <c r="P142" s="21">
        <v>0</v>
      </c>
      <c r="Q142" s="21">
        <v>0</v>
      </c>
      <c r="R142" s="21">
        <v>1</v>
      </c>
      <c r="S142" s="21">
        <v>0</v>
      </c>
      <c r="T142" s="21">
        <v>1</v>
      </c>
      <c r="U142" s="22">
        <f t="shared" si="35"/>
        <v>18816</v>
      </c>
      <c r="V142" s="19" t="str">
        <f t="shared" si="36"/>
        <v>4980</v>
      </c>
      <c r="W142" s="7"/>
      <c r="X142" s="23">
        <v>18816</v>
      </c>
      <c r="Y142" s="19" t="str">
        <f t="shared" si="32"/>
        <v>4980</v>
      </c>
      <c r="Z142" s="18">
        <f t="shared" si="40"/>
        <v>0</v>
      </c>
      <c r="AA142" s="18">
        <f t="shared" si="41"/>
        <v>0</v>
      </c>
      <c r="AB142" s="18">
        <f t="shared" si="41"/>
        <v>0</v>
      </c>
      <c r="AC142" s="18">
        <f t="shared" si="41"/>
        <v>0</v>
      </c>
      <c r="AD142" s="18">
        <f t="shared" si="41"/>
        <v>0</v>
      </c>
      <c r="AE142" s="18">
        <f t="shared" si="41"/>
        <v>0</v>
      </c>
      <c r="AF142" s="18">
        <f t="shared" si="41"/>
        <v>0</v>
      </c>
      <c r="AG142" s="18">
        <f t="shared" si="41"/>
        <v>0</v>
      </c>
      <c r="AH142" s="18">
        <f t="shared" si="41"/>
        <v>1</v>
      </c>
      <c r="AI142" s="18">
        <f t="shared" si="41"/>
        <v>1</v>
      </c>
      <c r="AJ142" s="18">
        <f t="shared" si="41"/>
        <v>0</v>
      </c>
      <c r="AK142" s="18">
        <f t="shared" si="41"/>
        <v>0</v>
      </c>
      <c r="AL142" s="18">
        <f t="shared" si="41"/>
        <v>0</v>
      </c>
      <c r="AM142" s="18">
        <f t="shared" si="41"/>
        <v>1</v>
      </c>
      <c r="AN142" s="18">
        <f t="shared" si="41"/>
        <v>0</v>
      </c>
      <c r="AO142" s="18">
        <f t="shared" si="41"/>
        <v>1</v>
      </c>
      <c r="AQ142" s="28" t="str">
        <f t="shared" si="37"/>
        <v xml:space="preserve">    0x4980,  // x</v>
      </c>
    </row>
    <row r="143" spans="1:43" ht="18.75" x14ac:dyDescent="0.3">
      <c r="A143" s="6"/>
      <c r="B143" s="16">
        <v>121</v>
      </c>
      <c r="C143" s="19" t="str">
        <f t="shared" si="33"/>
        <v>79</v>
      </c>
      <c r="D143" s="20" t="str">
        <f t="shared" si="34"/>
        <v>y</v>
      </c>
      <c r="E143" s="21">
        <v>0</v>
      </c>
      <c r="F143" s="21">
        <v>0</v>
      </c>
      <c r="G143" s="21">
        <v>0</v>
      </c>
      <c r="H143" s="21">
        <v>1</v>
      </c>
      <c r="I143" s="21">
        <v>1</v>
      </c>
      <c r="J143" s="21">
        <v>1</v>
      </c>
      <c r="K143" s="21">
        <v>0</v>
      </c>
      <c r="L143" s="21">
        <v>0</v>
      </c>
      <c r="M143" s="21">
        <v>1</v>
      </c>
      <c r="N143" s="21">
        <v>0</v>
      </c>
      <c r="O143" s="21">
        <v>0</v>
      </c>
      <c r="P143" s="21">
        <v>0</v>
      </c>
      <c r="Q143" s="21">
        <v>0</v>
      </c>
      <c r="R143" s="21">
        <v>1</v>
      </c>
      <c r="S143" s="21">
        <v>0</v>
      </c>
      <c r="T143" s="21">
        <v>0</v>
      </c>
      <c r="U143" s="22">
        <f t="shared" si="35"/>
        <v>58624</v>
      </c>
      <c r="V143" s="19" t="str">
        <f t="shared" si="36"/>
        <v>E500</v>
      </c>
      <c r="W143" s="7"/>
      <c r="X143" s="23">
        <v>58624</v>
      </c>
      <c r="Y143" s="19" t="str">
        <f t="shared" si="32"/>
        <v>E500</v>
      </c>
      <c r="Z143" s="18">
        <f t="shared" si="40"/>
        <v>0</v>
      </c>
      <c r="AA143" s="18">
        <f t="shared" si="41"/>
        <v>0</v>
      </c>
      <c r="AB143" s="18">
        <f t="shared" si="41"/>
        <v>0</v>
      </c>
      <c r="AC143" s="18">
        <f t="shared" si="41"/>
        <v>1</v>
      </c>
      <c r="AD143" s="18">
        <f t="shared" si="41"/>
        <v>1</v>
      </c>
      <c r="AE143" s="18">
        <f t="shared" si="41"/>
        <v>1</v>
      </c>
      <c r="AF143" s="18">
        <f t="shared" si="41"/>
        <v>0</v>
      </c>
      <c r="AG143" s="18">
        <f t="shared" si="41"/>
        <v>0</v>
      </c>
      <c r="AH143" s="18">
        <f t="shared" si="41"/>
        <v>1</v>
      </c>
      <c r="AI143" s="18">
        <f t="shared" si="41"/>
        <v>0</v>
      </c>
      <c r="AJ143" s="18">
        <f t="shared" si="41"/>
        <v>0</v>
      </c>
      <c r="AK143" s="18">
        <f t="shared" si="41"/>
        <v>0</v>
      </c>
      <c r="AL143" s="18">
        <f t="shared" si="41"/>
        <v>0</v>
      </c>
      <c r="AM143" s="18">
        <f t="shared" si="41"/>
        <v>1</v>
      </c>
      <c r="AN143" s="18">
        <f t="shared" si="41"/>
        <v>0</v>
      </c>
      <c r="AO143" s="18">
        <f t="shared" si="41"/>
        <v>0</v>
      </c>
      <c r="AQ143" s="28" t="str">
        <f t="shared" si="37"/>
        <v xml:space="preserve">    0xE500,  // y</v>
      </c>
    </row>
    <row r="144" spans="1:43" ht="18.75" x14ac:dyDescent="0.3">
      <c r="A144" s="6"/>
      <c r="B144" s="16">
        <v>122</v>
      </c>
      <c r="C144" s="19" t="str">
        <f t="shared" si="33"/>
        <v>7A</v>
      </c>
      <c r="D144" s="20" t="str">
        <f t="shared" si="34"/>
        <v>z</v>
      </c>
      <c r="E144" s="21">
        <v>0</v>
      </c>
      <c r="F144" s="21">
        <v>0</v>
      </c>
      <c r="G144" s="21">
        <v>0</v>
      </c>
      <c r="H144" s="21">
        <v>0</v>
      </c>
      <c r="I144" s="21">
        <v>1</v>
      </c>
      <c r="J144" s="21">
        <v>1</v>
      </c>
      <c r="K144" s="21">
        <v>0</v>
      </c>
      <c r="L144" s="21">
        <v>0</v>
      </c>
      <c r="M144" s="21">
        <v>1</v>
      </c>
      <c r="N144" s="21">
        <v>0</v>
      </c>
      <c r="O144" s="21">
        <v>0</v>
      </c>
      <c r="P144" s="21">
        <v>0</v>
      </c>
      <c r="Q144" s="21">
        <v>0</v>
      </c>
      <c r="R144" s="21">
        <v>0</v>
      </c>
      <c r="S144" s="21">
        <v>0</v>
      </c>
      <c r="T144" s="21">
        <v>1</v>
      </c>
      <c r="U144" s="22">
        <f t="shared" si="35"/>
        <v>11520</v>
      </c>
      <c r="V144" s="19" t="str">
        <f t="shared" si="36"/>
        <v>2D00</v>
      </c>
      <c r="W144" s="7"/>
      <c r="X144" s="23">
        <v>11520</v>
      </c>
      <c r="Y144" s="19" t="str">
        <f t="shared" si="32"/>
        <v>2D00</v>
      </c>
      <c r="Z144" s="18">
        <f t="shared" si="40"/>
        <v>0</v>
      </c>
      <c r="AA144" s="18">
        <f t="shared" si="41"/>
        <v>0</v>
      </c>
      <c r="AB144" s="18">
        <f t="shared" si="41"/>
        <v>0</v>
      </c>
      <c r="AC144" s="18">
        <f t="shared" si="41"/>
        <v>0</v>
      </c>
      <c r="AD144" s="18">
        <f t="shared" si="41"/>
        <v>1</v>
      </c>
      <c r="AE144" s="18">
        <f t="shared" si="41"/>
        <v>1</v>
      </c>
      <c r="AF144" s="18">
        <f t="shared" si="41"/>
        <v>0</v>
      </c>
      <c r="AG144" s="18">
        <f t="shared" si="41"/>
        <v>0</v>
      </c>
      <c r="AH144" s="18">
        <f t="shared" si="41"/>
        <v>1</v>
      </c>
      <c r="AI144" s="18">
        <f t="shared" si="41"/>
        <v>0</v>
      </c>
      <c r="AJ144" s="18">
        <f t="shared" si="41"/>
        <v>0</v>
      </c>
      <c r="AK144" s="18">
        <f t="shared" si="41"/>
        <v>0</v>
      </c>
      <c r="AL144" s="18">
        <f t="shared" si="41"/>
        <v>0</v>
      </c>
      <c r="AM144" s="18">
        <f t="shared" si="41"/>
        <v>0</v>
      </c>
      <c r="AN144" s="18">
        <f t="shared" si="41"/>
        <v>0</v>
      </c>
      <c r="AO144" s="18">
        <f t="shared" si="41"/>
        <v>1</v>
      </c>
      <c r="AQ144" s="28" t="str">
        <f t="shared" si="37"/>
        <v xml:space="preserve">    0x2D00,  // z</v>
      </c>
    </row>
    <row r="145" spans="1:43" ht="18.75" x14ac:dyDescent="0.3">
      <c r="A145" s="6"/>
      <c r="B145" s="16">
        <v>123</v>
      </c>
      <c r="C145" s="19" t="str">
        <f t="shared" si="33"/>
        <v>7B</v>
      </c>
      <c r="D145" s="20" t="str">
        <f t="shared" si="34"/>
        <v>{</v>
      </c>
      <c r="E145" s="21">
        <v>0</v>
      </c>
      <c r="F145" s="21">
        <v>1</v>
      </c>
      <c r="G145" s="21">
        <v>0</v>
      </c>
      <c r="H145" s="21">
        <v>0</v>
      </c>
      <c r="I145" s="21">
        <v>0</v>
      </c>
      <c r="J145" s="21">
        <v>1</v>
      </c>
      <c r="K145" s="21">
        <v>0</v>
      </c>
      <c r="L145" s="21">
        <v>0</v>
      </c>
      <c r="M145" s="21">
        <v>1</v>
      </c>
      <c r="N145" s="21">
        <v>0</v>
      </c>
      <c r="O145" s="21">
        <v>0</v>
      </c>
      <c r="P145" s="21">
        <v>1</v>
      </c>
      <c r="Q145" s="21">
        <v>0</v>
      </c>
      <c r="R145" s="21">
        <v>0</v>
      </c>
      <c r="S145" s="21">
        <v>1</v>
      </c>
      <c r="T145" s="21">
        <v>0</v>
      </c>
      <c r="U145" s="22">
        <f t="shared" si="35"/>
        <v>12584</v>
      </c>
      <c r="V145" s="19" t="str">
        <f t="shared" si="36"/>
        <v>3128</v>
      </c>
      <c r="W145" s="7"/>
      <c r="X145" s="23">
        <v>12584</v>
      </c>
      <c r="Y145" s="19" t="str">
        <f t="shared" si="32"/>
        <v>3128</v>
      </c>
      <c r="Z145" s="18">
        <f t="shared" si="40"/>
        <v>0</v>
      </c>
      <c r="AA145" s="18">
        <f t="shared" si="41"/>
        <v>1</v>
      </c>
      <c r="AB145" s="18">
        <f t="shared" si="41"/>
        <v>0</v>
      </c>
      <c r="AC145" s="18">
        <f t="shared" si="41"/>
        <v>0</v>
      </c>
      <c r="AD145" s="18">
        <f t="shared" si="41"/>
        <v>0</v>
      </c>
      <c r="AE145" s="18">
        <f t="shared" si="41"/>
        <v>1</v>
      </c>
      <c r="AF145" s="18">
        <f t="shared" si="41"/>
        <v>0</v>
      </c>
      <c r="AG145" s="18">
        <f t="shared" si="41"/>
        <v>0</v>
      </c>
      <c r="AH145" s="18">
        <f t="shared" si="41"/>
        <v>1</v>
      </c>
      <c r="AI145" s="18">
        <f t="shared" si="41"/>
        <v>0</v>
      </c>
      <c r="AJ145" s="18">
        <f t="shared" si="41"/>
        <v>0</v>
      </c>
      <c r="AK145" s="18">
        <f t="shared" si="41"/>
        <v>1</v>
      </c>
      <c r="AL145" s="18">
        <f t="shared" si="41"/>
        <v>0</v>
      </c>
      <c r="AM145" s="18">
        <f t="shared" si="41"/>
        <v>0</v>
      </c>
      <c r="AN145" s="18">
        <f t="shared" si="41"/>
        <v>1</v>
      </c>
      <c r="AO145" s="18">
        <f t="shared" si="41"/>
        <v>0</v>
      </c>
      <c r="AQ145" s="28" t="str">
        <f t="shared" si="37"/>
        <v xml:space="preserve">    0x3128,  // {</v>
      </c>
    </row>
    <row r="146" spans="1:43" ht="18.75" x14ac:dyDescent="0.3">
      <c r="A146" s="6"/>
      <c r="B146" s="16">
        <v>124</v>
      </c>
      <c r="C146" s="19" t="str">
        <f t="shared" si="33"/>
        <v>7C</v>
      </c>
      <c r="D146" s="20" t="str">
        <f t="shared" si="34"/>
        <v>|</v>
      </c>
      <c r="E146" s="21">
        <v>0</v>
      </c>
      <c r="F146" s="21">
        <v>0</v>
      </c>
      <c r="G146" s="21">
        <v>0</v>
      </c>
      <c r="H146" s="21">
        <v>0</v>
      </c>
      <c r="I146" s="21">
        <v>0</v>
      </c>
      <c r="J146" s="21">
        <v>0</v>
      </c>
      <c r="K146" s="21">
        <v>0</v>
      </c>
      <c r="L146" s="21">
        <v>0</v>
      </c>
      <c r="M146" s="21">
        <v>0</v>
      </c>
      <c r="N146" s="21">
        <v>0</v>
      </c>
      <c r="O146" s="21">
        <v>0</v>
      </c>
      <c r="P146" s="21">
        <v>1</v>
      </c>
      <c r="Q146" s="21">
        <v>0</v>
      </c>
      <c r="R146" s="21">
        <v>0</v>
      </c>
      <c r="S146" s="21">
        <v>1</v>
      </c>
      <c r="T146" s="21">
        <v>0</v>
      </c>
      <c r="U146" s="22">
        <f t="shared" si="35"/>
        <v>4104</v>
      </c>
      <c r="V146" s="19" t="str">
        <f t="shared" si="36"/>
        <v>1008</v>
      </c>
      <c r="W146" s="7"/>
      <c r="X146" s="23">
        <v>4104</v>
      </c>
      <c r="Y146" s="19" t="str">
        <f t="shared" si="32"/>
        <v>1008</v>
      </c>
      <c r="Z146" s="18">
        <f t="shared" si="40"/>
        <v>0</v>
      </c>
      <c r="AA146" s="18">
        <f t="shared" si="41"/>
        <v>0</v>
      </c>
      <c r="AB146" s="18">
        <f t="shared" si="41"/>
        <v>0</v>
      </c>
      <c r="AC146" s="18">
        <f t="shared" si="41"/>
        <v>0</v>
      </c>
      <c r="AD146" s="18">
        <f t="shared" si="41"/>
        <v>0</v>
      </c>
      <c r="AE146" s="18">
        <f t="shared" si="41"/>
        <v>0</v>
      </c>
      <c r="AF146" s="18">
        <f t="shared" si="41"/>
        <v>0</v>
      </c>
      <c r="AG146" s="18">
        <f t="shared" si="41"/>
        <v>0</v>
      </c>
      <c r="AH146" s="18">
        <f t="shared" si="41"/>
        <v>0</v>
      </c>
      <c r="AI146" s="18">
        <f t="shared" si="41"/>
        <v>0</v>
      </c>
      <c r="AJ146" s="18">
        <f t="shared" si="41"/>
        <v>0</v>
      </c>
      <c r="AK146" s="18">
        <f t="shared" si="41"/>
        <v>1</v>
      </c>
      <c r="AL146" s="18">
        <f t="shared" si="41"/>
        <v>0</v>
      </c>
      <c r="AM146" s="18">
        <f t="shared" si="41"/>
        <v>0</v>
      </c>
      <c r="AN146" s="18">
        <f t="shared" si="41"/>
        <v>1</v>
      </c>
      <c r="AO146" s="18">
        <f t="shared" si="41"/>
        <v>0</v>
      </c>
      <c r="AQ146" s="28" t="str">
        <f t="shared" si="37"/>
        <v xml:space="preserve">    0x1008,  // |</v>
      </c>
    </row>
    <row r="147" spans="1:43" ht="18.75" x14ac:dyDescent="0.3">
      <c r="A147" s="6"/>
      <c r="B147" s="16">
        <v>125</v>
      </c>
      <c r="C147" s="19" t="str">
        <f t="shared" si="33"/>
        <v>7D</v>
      </c>
      <c r="D147" s="20" t="str">
        <f t="shared" si="34"/>
        <v>}</v>
      </c>
      <c r="E147" s="21">
        <v>1</v>
      </c>
      <c r="F147" s="21">
        <v>0</v>
      </c>
      <c r="G147" s="21">
        <v>0</v>
      </c>
      <c r="H147" s="21">
        <v>0</v>
      </c>
      <c r="I147" s="21">
        <v>1</v>
      </c>
      <c r="J147" s="21">
        <v>0</v>
      </c>
      <c r="K147" s="21">
        <v>0</v>
      </c>
      <c r="L147" s="21">
        <v>0</v>
      </c>
      <c r="M147" s="21">
        <v>0</v>
      </c>
      <c r="N147" s="21">
        <v>1</v>
      </c>
      <c r="O147" s="21">
        <v>0</v>
      </c>
      <c r="P147" s="21">
        <v>1</v>
      </c>
      <c r="Q147" s="21">
        <v>0</v>
      </c>
      <c r="R147" s="21">
        <v>0</v>
      </c>
      <c r="S147" s="21">
        <v>1</v>
      </c>
      <c r="T147" s="21">
        <v>0</v>
      </c>
      <c r="U147" s="22">
        <f t="shared" si="35"/>
        <v>5260</v>
      </c>
      <c r="V147" s="19" t="str">
        <f t="shared" si="36"/>
        <v>148C</v>
      </c>
      <c r="W147" s="7"/>
      <c r="X147" s="23">
        <v>5260</v>
      </c>
      <c r="Y147" s="19" t="str">
        <f t="shared" si="32"/>
        <v>148C</v>
      </c>
      <c r="Z147" s="18">
        <f t="shared" si="40"/>
        <v>1</v>
      </c>
      <c r="AA147" s="18">
        <f t="shared" si="41"/>
        <v>0</v>
      </c>
      <c r="AB147" s="18">
        <f t="shared" si="41"/>
        <v>0</v>
      </c>
      <c r="AC147" s="18">
        <f t="shared" si="41"/>
        <v>0</v>
      </c>
      <c r="AD147" s="18">
        <f t="shared" si="41"/>
        <v>1</v>
      </c>
      <c r="AE147" s="18">
        <f t="shared" si="41"/>
        <v>0</v>
      </c>
      <c r="AF147" s="18">
        <f t="shared" si="41"/>
        <v>0</v>
      </c>
      <c r="AG147" s="18">
        <f t="shared" si="41"/>
        <v>0</v>
      </c>
      <c r="AH147" s="18">
        <f t="shared" si="41"/>
        <v>0</v>
      </c>
      <c r="AI147" s="18">
        <f t="shared" si="41"/>
        <v>1</v>
      </c>
      <c r="AJ147" s="18">
        <f t="shared" si="41"/>
        <v>0</v>
      </c>
      <c r="AK147" s="18">
        <f t="shared" si="41"/>
        <v>1</v>
      </c>
      <c r="AL147" s="18">
        <f t="shared" si="41"/>
        <v>0</v>
      </c>
      <c r="AM147" s="18">
        <f t="shared" si="41"/>
        <v>0</v>
      </c>
      <c r="AN147" s="18">
        <f t="shared" si="41"/>
        <v>1</v>
      </c>
      <c r="AO147" s="18">
        <f t="shared" si="41"/>
        <v>0</v>
      </c>
      <c r="AQ147" s="28" t="str">
        <f t="shared" si="37"/>
        <v xml:space="preserve">    0x148C,  // }</v>
      </c>
    </row>
    <row r="148" spans="1:43" ht="18.75" x14ac:dyDescent="0.3">
      <c r="A148" s="6"/>
      <c r="B148" s="16">
        <v>126</v>
      </c>
      <c r="C148" s="19" t="str">
        <f t="shared" si="33"/>
        <v>7E</v>
      </c>
      <c r="D148" s="20" t="str">
        <f t="shared" si="34"/>
        <v>~</v>
      </c>
      <c r="E148" s="21">
        <v>0</v>
      </c>
      <c r="F148" s="21">
        <v>0</v>
      </c>
      <c r="G148" s="21">
        <v>0</v>
      </c>
      <c r="H148" s="21">
        <v>0</v>
      </c>
      <c r="I148" s="21">
        <v>0</v>
      </c>
      <c r="J148" s="21">
        <v>0</v>
      </c>
      <c r="K148" s="21">
        <v>0</v>
      </c>
      <c r="L148" s="21">
        <v>1</v>
      </c>
      <c r="M148" s="21">
        <v>0</v>
      </c>
      <c r="N148" s="21">
        <v>0</v>
      </c>
      <c r="O148" s="21">
        <v>1</v>
      </c>
      <c r="P148" s="21">
        <v>0</v>
      </c>
      <c r="Q148" s="21">
        <v>1</v>
      </c>
      <c r="R148" s="21">
        <v>0</v>
      </c>
      <c r="S148" s="21">
        <v>0</v>
      </c>
      <c r="T148" s="21">
        <v>0</v>
      </c>
      <c r="U148" s="22">
        <f t="shared" si="35"/>
        <v>19</v>
      </c>
      <c r="V148" s="19" t="str">
        <f t="shared" si="36"/>
        <v>0013</v>
      </c>
      <c r="W148" s="7"/>
      <c r="X148" s="23">
        <v>19</v>
      </c>
      <c r="Y148" s="19" t="str">
        <f t="shared" si="32"/>
        <v>0013</v>
      </c>
      <c r="Z148" s="18">
        <f t="shared" si="40"/>
        <v>0</v>
      </c>
      <c r="AA148" s="18">
        <f t="shared" si="41"/>
        <v>0</v>
      </c>
      <c r="AB148" s="18">
        <f t="shared" si="41"/>
        <v>0</v>
      </c>
      <c r="AC148" s="18">
        <f t="shared" si="41"/>
        <v>0</v>
      </c>
      <c r="AD148" s="18">
        <f t="shared" si="41"/>
        <v>0</v>
      </c>
      <c r="AE148" s="18">
        <f t="shared" si="41"/>
        <v>0</v>
      </c>
      <c r="AF148" s="18">
        <f t="shared" si="41"/>
        <v>0</v>
      </c>
      <c r="AG148" s="18">
        <f t="shared" si="41"/>
        <v>1</v>
      </c>
      <c r="AH148" s="18">
        <f t="shared" si="41"/>
        <v>0</v>
      </c>
      <c r="AI148" s="18">
        <f t="shared" si="41"/>
        <v>0</v>
      </c>
      <c r="AJ148" s="18">
        <f t="shared" si="41"/>
        <v>1</v>
      </c>
      <c r="AK148" s="18">
        <f t="shared" si="41"/>
        <v>0</v>
      </c>
      <c r="AL148" s="18">
        <f t="shared" si="41"/>
        <v>1</v>
      </c>
      <c r="AM148" s="18">
        <f t="shared" si="41"/>
        <v>0</v>
      </c>
      <c r="AN148" s="18">
        <f t="shared" si="41"/>
        <v>0</v>
      </c>
      <c r="AO148" s="18">
        <f t="shared" si="41"/>
        <v>0</v>
      </c>
      <c r="AQ148" s="28" t="str">
        <f t="shared" si="37"/>
        <v xml:space="preserve">    0x0013,  // ~</v>
      </c>
    </row>
    <row r="149" spans="1:43" ht="18.75" x14ac:dyDescent="0.3">
      <c r="A149" s="6"/>
      <c r="B149" s="16">
        <v>127</v>
      </c>
      <c r="C149" s="19" t="str">
        <f t="shared" si="33"/>
        <v>7F</v>
      </c>
      <c r="D149" s="24" t="s">
        <v>168</v>
      </c>
      <c r="E149" s="21">
        <v>1</v>
      </c>
      <c r="F149" s="21">
        <v>1</v>
      </c>
      <c r="G149" s="21">
        <v>1</v>
      </c>
      <c r="H149" s="21">
        <v>1</v>
      </c>
      <c r="I149" s="21">
        <v>1</v>
      </c>
      <c r="J149" s="21">
        <v>1</v>
      </c>
      <c r="K149" s="21">
        <v>1</v>
      </c>
      <c r="L149" s="21">
        <v>1</v>
      </c>
      <c r="M149" s="21">
        <v>1</v>
      </c>
      <c r="N149" s="21">
        <v>1</v>
      </c>
      <c r="O149" s="21">
        <v>1</v>
      </c>
      <c r="P149" s="21">
        <v>1</v>
      </c>
      <c r="Q149" s="21">
        <v>1</v>
      </c>
      <c r="R149" s="21">
        <v>1</v>
      </c>
      <c r="S149" s="21">
        <v>1</v>
      </c>
      <c r="T149" s="21">
        <v>1</v>
      </c>
      <c r="U149" s="22">
        <f t="shared" si="35"/>
        <v>65535</v>
      </c>
      <c r="V149" s="19" t="str">
        <f t="shared" si="36"/>
        <v>FFFF</v>
      </c>
      <c r="W149" s="7"/>
      <c r="X149" s="23">
        <v>65535</v>
      </c>
      <c r="Y149" s="19" t="str">
        <f t="shared" si="32"/>
        <v>FFFF</v>
      </c>
      <c r="Z149" s="18">
        <f t="shared" si="40"/>
        <v>1</v>
      </c>
      <c r="AA149" s="18">
        <f t="shared" si="41"/>
        <v>1</v>
      </c>
      <c r="AB149" s="18">
        <f t="shared" si="41"/>
        <v>1</v>
      </c>
      <c r="AC149" s="18">
        <f t="shared" si="41"/>
        <v>1</v>
      </c>
      <c r="AD149" s="18">
        <f t="shared" si="41"/>
        <v>1</v>
      </c>
      <c r="AE149" s="18">
        <f t="shared" si="41"/>
        <v>1</v>
      </c>
      <c r="AF149" s="18">
        <f t="shared" si="41"/>
        <v>1</v>
      </c>
      <c r="AG149" s="18">
        <f t="shared" si="41"/>
        <v>1</v>
      </c>
      <c r="AH149" s="18">
        <f t="shared" si="41"/>
        <v>1</v>
      </c>
      <c r="AI149" s="18">
        <f t="shared" si="41"/>
        <v>1</v>
      </c>
      <c r="AJ149" s="18">
        <f t="shared" si="41"/>
        <v>1</v>
      </c>
      <c r="AK149" s="18">
        <f t="shared" si="41"/>
        <v>1</v>
      </c>
      <c r="AL149" s="18">
        <f t="shared" si="41"/>
        <v>1</v>
      </c>
      <c r="AM149" s="18">
        <f t="shared" si="41"/>
        <v>1</v>
      </c>
      <c r="AN149" s="18">
        <f t="shared" si="41"/>
        <v>1</v>
      </c>
      <c r="AO149" s="18">
        <f t="shared" si="41"/>
        <v>1</v>
      </c>
      <c r="AQ149" s="28" t="str">
        <f t="shared" si="37"/>
        <v xml:space="preserve">    0xFFFF,  // &lt;del&gt;</v>
      </c>
    </row>
    <row r="150" spans="1:43" ht="18.75" x14ac:dyDescent="0.3">
      <c r="A150" s="6"/>
      <c r="B150" s="16">
        <v>128</v>
      </c>
      <c r="C150" s="19" t="str">
        <f t="shared" si="33"/>
        <v>80</v>
      </c>
      <c r="D150" s="24" t="s">
        <v>182</v>
      </c>
      <c r="E150" s="21">
        <v>0</v>
      </c>
      <c r="F150" s="21">
        <v>1</v>
      </c>
      <c r="G150" s="21">
        <v>0</v>
      </c>
      <c r="H150" s="21">
        <v>0</v>
      </c>
      <c r="I150" s="21">
        <v>0</v>
      </c>
      <c r="J150" s="21">
        <v>0</v>
      </c>
      <c r="K150" s="21">
        <v>0</v>
      </c>
      <c r="L150" s="21">
        <v>0</v>
      </c>
      <c r="M150" s="21">
        <v>0</v>
      </c>
      <c r="N150" s="21">
        <v>0</v>
      </c>
      <c r="O150" s="21">
        <v>0</v>
      </c>
      <c r="P150" s="21">
        <v>0</v>
      </c>
      <c r="Q150" s="21">
        <v>0</v>
      </c>
      <c r="R150" s="21">
        <v>0</v>
      </c>
      <c r="S150" s="21">
        <v>0</v>
      </c>
      <c r="T150" s="21">
        <v>0</v>
      </c>
      <c r="U150" s="22">
        <f t="shared" si="35"/>
        <v>32</v>
      </c>
      <c r="V150" s="19" t="str">
        <f t="shared" si="36"/>
        <v>0020</v>
      </c>
      <c r="W150" s="7"/>
      <c r="X150" s="23">
        <v>9252</v>
      </c>
      <c r="Y150" s="19" t="str">
        <f t="shared" ref="Y150:Y213" si="42">DEC2HEX(X150,4)</f>
        <v>2424</v>
      </c>
      <c r="Z150" s="18">
        <f t="shared" si="40"/>
        <v>1</v>
      </c>
      <c r="AA150" s="18">
        <f t="shared" si="41"/>
        <v>1</v>
      </c>
      <c r="AB150" s="18">
        <f t="shared" si="41"/>
        <v>0</v>
      </c>
      <c r="AC150" s="18">
        <f t="shared" si="41"/>
        <v>0</v>
      </c>
      <c r="AD150" s="18">
        <f t="shared" si="41"/>
        <v>1</v>
      </c>
      <c r="AE150" s="18">
        <f t="shared" si="41"/>
        <v>1</v>
      </c>
      <c r="AF150" s="18">
        <f t="shared" si="41"/>
        <v>0</v>
      </c>
      <c r="AG150" s="18">
        <f t="shared" si="41"/>
        <v>0</v>
      </c>
      <c r="AH150" s="18">
        <f t="shared" si="41"/>
        <v>0</v>
      </c>
      <c r="AI150" s="18">
        <f t="shared" si="41"/>
        <v>0</v>
      </c>
      <c r="AJ150" s="18">
        <f t="shared" si="41"/>
        <v>0</v>
      </c>
      <c r="AK150" s="18">
        <f t="shared" si="41"/>
        <v>0</v>
      </c>
      <c r="AL150" s="18">
        <f t="shared" si="41"/>
        <v>0</v>
      </c>
      <c r="AM150" s="18">
        <f t="shared" si="41"/>
        <v>0</v>
      </c>
      <c r="AN150" s="18">
        <f t="shared" si="41"/>
        <v>0</v>
      </c>
      <c r="AO150" s="18">
        <f t="shared" si="41"/>
        <v>0</v>
      </c>
      <c r="AQ150" s="28" t="str">
        <f t="shared" si="37"/>
        <v xml:space="preserve">    0x0020,  // wheel</v>
      </c>
    </row>
    <row r="151" spans="1:43" ht="18.75" x14ac:dyDescent="0.3">
      <c r="A151" s="6"/>
      <c r="B151" s="16">
        <v>129</v>
      </c>
      <c r="C151" s="19" t="str">
        <f t="shared" ref="C151:C214" si="43">DEC2HEX(B151,2)</f>
        <v>81</v>
      </c>
      <c r="D151" s="24" t="s">
        <v>182</v>
      </c>
      <c r="E151" s="21">
        <v>0</v>
      </c>
      <c r="F151" s="21">
        <v>0</v>
      </c>
      <c r="G151" s="21">
        <v>1</v>
      </c>
      <c r="H151" s="21">
        <v>0</v>
      </c>
      <c r="I151" s="21">
        <v>0</v>
      </c>
      <c r="J151" s="21">
        <v>0</v>
      </c>
      <c r="K151" s="21">
        <v>0</v>
      </c>
      <c r="L151" s="21">
        <v>0</v>
      </c>
      <c r="M151" s="21">
        <v>0</v>
      </c>
      <c r="N151" s="21">
        <v>0</v>
      </c>
      <c r="O151" s="21">
        <v>0</v>
      </c>
      <c r="P151" s="21">
        <v>0</v>
      </c>
      <c r="Q151" s="21">
        <v>0</v>
      </c>
      <c r="R151" s="21">
        <v>0</v>
      </c>
      <c r="S151" s="21">
        <v>0</v>
      </c>
      <c r="T151" s="21">
        <v>0</v>
      </c>
      <c r="U151" s="22">
        <f t="shared" ref="U151:U214" si="44">SUMPRODUCT(E$19:T$19,E151:T151)</f>
        <v>64</v>
      </c>
      <c r="V151" s="19" t="str">
        <f t="shared" ref="V151:V214" si="45">DEC2HEX(U151,4)</f>
        <v>0040</v>
      </c>
      <c r="W151" s="7"/>
      <c r="X151" s="23">
        <v>22045</v>
      </c>
      <c r="Y151" s="19" t="str">
        <f t="shared" si="42"/>
        <v>561D</v>
      </c>
      <c r="Z151" s="18">
        <f t="shared" si="40"/>
        <v>1</v>
      </c>
      <c r="AA151" s="18">
        <f t="shared" si="41"/>
        <v>0</v>
      </c>
      <c r="AB151" s="18">
        <f t="shared" si="41"/>
        <v>0</v>
      </c>
      <c r="AC151" s="18">
        <f t="shared" si="41"/>
        <v>0</v>
      </c>
      <c r="AD151" s="18">
        <f t="shared" si="41"/>
        <v>1</v>
      </c>
      <c r="AE151" s="18">
        <f t="shared" si="41"/>
        <v>0</v>
      </c>
      <c r="AF151" s="18">
        <f t="shared" si="41"/>
        <v>1</v>
      </c>
      <c r="AG151" s="18">
        <f t="shared" si="41"/>
        <v>1</v>
      </c>
      <c r="AH151" s="18">
        <f t="shared" si="41"/>
        <v>0</v>
      </c>
      <c r="AI151" s="18">
        <f t="shared" si="41"/>
        <v>0</v>
      </c>
      <c r="AJ151" s="18">
        <f t="shared" si="41"/>
        <v>0</v>
      </c>
      <c r="AK151" s="18">
        <f t="shared" si="41"/>
        <v>1</v>
      </c>
      <c r="AL151" s="18">
        <f t="shared" si="41"/>
        <v>1</v>
      </c>
      <c r="AM151" s="18">
        <f t="shared" si="41"/>
        <v>1</v>
      </c>
      <c r="AN151" s="18">
        <f t="shared" si="41"/>
        <v>1</v>
      </c>
      <c r="AO151" s="18">
        <f t="shared" si="41"/>
        <v>0</v>
      </c>
      <c r="AQ151" s="28" t="str">
        <f t="shared" ref="AQ151:AQ214" si="46">_xlfn.CONCAT("    0x", V151, ",  // ", D151)</f>
        <v xml:space="preserve">    0x0040,  // wheel</v>
      </c>
    </row>
    <row r="152" spans="1:43" ht="18.75" x14ac:dyDescent="0.3">
      <c r="A152" s="6"/>
      <c r="B152" s="16">
        <v>130</v>
      </c>
      <c r="C152" s="19" t="str">
        <f t="shared" si="43"/>
        <v>82</v>
      </c>
      <c r="D152" s="24" t="s">
        <v>182</v>
      </c>
      <c r="E152" s="21">
        <v>0</v>
      </c>
      <c r="F152" s="21">
        <v>0</v>
      </c>
      <c r="G152" s="21">
        <v>0</v>
      </c>
      <c r="H152" s="21">
        <v>1</v>
      </c>
      <c r="I152" s="21">
        <v>0</v>
      </c>
      <c r="J152" s="21">
        <v>0</v>
      </c>
      <c r="K152" s="21">
        <v>0</v>
      </c>
      <c r="L152" s="21">
        <v>0</v>
      </c>
      <c r="M152" s="21">
        <v>0</v>
      </c>
      <c r="N152" s="21">
        <v>0</v>
      </c>
      <c r="O152" s="21">
        <v>0</v>
      </c>
      <c r="P152" s="21">
        <v>0</v>
      </c>
      <c r="Q152" s="21">
        <v>0</v>
      </c>
      <c r="R152" s="21">
        <v>0</v>
      </c>
      <c r="S152" s="21">
        <v>0</v>
      </c>
      <c r="T152" s="21">
        <v>0</v>
      </c>
      <c r="U152" s="22">
        <f t="shared" si="44"/>
        <v>32768</v>
      </c>
      <c r="V152" s="19" t="str">
        <f t="shared" si="45"/>
        <v>8000</v>
      </c>
      <c r="W152" s="7"/>
      <c r="X152" s="23">
        <v>42933</v>
      </c>
      <c r="Y152" s="19" t="str">
        <f t="shared" si="42"/>
        <v>A7B5</v>
      </c>
      <c r="Z152" s="18">
        <f t="shared" si="40"/>
        <v>1</v>
      </c>
      <c r="AA152" s="18">
        <f t="shared" si="41"/>
        <v>1</v>
      </c>
      <c r="AB152" s="18">
        <f t="shared" si="41"/>
        <v>0</v>
      </c>
      <c r="AC152" s="18">
        <f t="shared" si="41"/>
        <v>1</v>
      </c>
      <c r="AD152" s="18">
        <f t="shared" si="41"/>
        <v>1</v>
      </c>
      <c r="AE152" s="18">
        <f t="shared" si="41"/>
        <v>1</v>
      </c>
      <c r="AF152" s="18">
        <f t="shared" si="41"/>
        <v>1</v>
      </c>
      <c r="AG152" s="18">
        <f t="shared" si="41"/>
        <v>1</v>
      </c>
      <c r="AH152" s="18">
        <f t="shared" si="41"/>
        <v>1</v>
      </c>
      <c r="AI152" s="18">
        <f t="shared" si="41"/>
        <v>1</v>
      </c>
      <c r="AJ152" s="18">
        <f t="shared" si="41"/>
        <v>0</v>
      </c>
      <c r="AK152" s="18">
        <f t="shared" si="41"/>
        <v>0</v>
      </c>
      <c r="AL152" s="18">
        <f t="shared" si="41"/>
        <v>1</v>
      </c>
      <c r="AM152" s="18">
        <f t="shared" si="41"/>
        <v>0</v>
      </c>
      <c r="AN152" s="18">
        <f t="shared" si="41"/>
        <v>0</v>
      </c>
      <c r="AO152" s="18">
        <f t="shared" si="41"/>
        <v>0</v>
      </c>
      <c r="AQ152" s="28" t="str">
        <f t="shared" si="46"/>
        <v xml:space="preserve">    0x8000,  // wheel</v>
      </c>
    </row>
    <row r="153" spans="1:43" ht="18.75" x14ac:dyDescent="0.3">
      <c r="A153" s="6"/>
      <c r="B153" s="16">
        <v>131</v>
      </c>
      <c r="C153" s="19" t="str">
        <f t="shared" si="43"/>
        <v>83</v>
      </c>
      <c r="D153" s="24" t="s">
        <v>182</v>
      </c>
      <c r="E153" s="21">
        <v>0</v>
      </c>
      <c r="F153" s="21">
        <v>0</v>
      </c>
      <c r="G153" s="21">
        <v>0</v>
      </c>
      <c r="H153" s="21">
        <v>0</v>
      </c>
      <c r="I153" s="21">
        <v>0</v>
      </c>
      <c r="J153" s="21">
        <v>1</v>
      </c>
      <c r="K153" s="21">
        <v>0</v>
      </c>
      <c r="L153" s="21">
        <v>0</v>
      </c>
      <c r="M153" s="21">
        <v>0</v>
      </c>
      <c r="N153" s="21">
        <v>0</v>
      </c>
      <c r="O153" s="21">
        <v>0</v>
      </c>
      <c r="P153" s="21">
        <v>0</v>
      </c>
      <c r="Q153" s="21">
        <v>0</v>
      </c>
      <c r="R153" s="21">
        <v>0</v>
      </c>
      <c r="S153" s="21">
        <v>0</v>
      </c>
      <c r="T153" s="21">
        <v>0</v>
      </c>
      <c r="U153" s="22">
        <f t="shared" si="44"/>
        <v>8192</v>
      </c>
      <c r="V153" s="19" t="str">
        <f t="shared" si="45"/>
        <v>2000</v>
      </c>
      <c r="W153" s="7"/>
      <c r="X153" s="23">
        <v>51219</v>
      </c>
      <c r="Y153" s="19" t="str">
        <f t="shared" si="42"/>
        <v>C813</v>
      </c>
      <c r="Z153" s="18">
        <f t="shared" si="40"/>
        <v>0</v>
      </c>
      <c r="AA153" s="18">
        <f t="shared" si="41"/>
        <v>0</v>
      </c>
      <c r="AB153" s="18">
        <f t="shared" si="41"/>
        <v>0</v>
      </c>
      <c r="AC153" s="18">
        <f t="shared" si="41"/>
        <v>1</v>
      </c>
      <c r="AD153" s="18">
        <f t="shared" si="41"/>
        <v>0</v>
      </c>
      <c r="AE153" s="18">
        <f t="shared" si="41"/>
        <v>0</v>
      </c>
      <c r="AF153" s="18">
        <f t="shared" si="41"/>
        <v>0</v>
      </c>
      <c r="AG153" s="18">
        <f t="shared" si="41"/>
        <v>1</v>
      </c>
      <c r="AH153" s="18">
        <f t="shared" si="41"/>
        <v>0</v>
      </c>
      <c r="AI153" s="18">
        <f t="shared" si="41"/>
        <v>0</v>
      </c>
      <c r="AJ153" s="18">
        <f t="shared" si="41"/>
        <v>1</v>
      </c>
      <c r="AK153" s="18">
        <f t="shared" si="41"/>
        <v>0</v>
      </c>
      <c r="AL153" s="18">
        <f t="shared" si="41"/>
        <v>1</v>
      </c>
      <c r="AM153" s="18">
        <f t="shared" si="41"/>
        <v>1</v>
      </c>
      <c r="AN153" s="18">
        <f t="shared" si="41"/>
        <v>0</v>
      </c>
      <c r="AO153" s="18">
        <f t="shared" ref="AA153:AO170" si="47">IF(_xlfn.BITAND($X153,AO$19)=0,0,1)</f>
        <v>1</v>
      </c>
      <c r="AQ153" s="28" t="str">
        <f t="shared" si="46"/>
        <v xml:space="preserve">    0x2000,  // wheel</v>
      </c>
    </row>
    <row r="154" spans="1:43" ht="18.75" x14ac:dyDescent="0.3">
      <c r="A154" s="6"/>
      <c r="B154" s="16">
        <v>132</v>
      </c>
      <c r="C154" s="19" t="str">
        <f t="shared" si="43"/>
        <v>84</v>
      </c>
      <c r="D154" s="24" t="s">
        <v>182</v>
      </c>
      <c r="E154" s="21">
        <v>0</v>
      </c>
      <c r="F154" s="21">
        <v>0</v>
      </c>
      <c r="G154" s="21">
        <v>0</v>
      </c>
      <c r="H154" s="21">
        <v>0</v>
      </c>
      <c r="I154" s="21">
        <v>1</v>
      </c>
      <c r="J154" s="21">
        <v>0</v>
      </c>
      <c r="K154" s="21">
        <v>0</v>
      </c>
      <c r="L154" s="21">
        <v>0</v>
      </c>
      <c r="M154" s="21">
        <v>0</v>
      </c>
      <c r="N154" s="21">
        <v>0</v>
      </c>
      <c r="O154" s="21">
        <v>0</v>
      </c>
      <c r="P154" s="21">
        <v>0</v>
      </c>
      <c r="Q154" s="21">
        <v>0</v>
      </c>
      <c r="R154" s="21">
        <v>0</v>
      </c>
      <c r="S154" s="21">
        <v>0</v>
      </c>
      <c r="T154" s="21">
        <v>0</v>
      </c>
      <c r="U154" s="22">
        <f t="shared" si="44"/>
        <v>1024</v>
      </c>
      <c r="V154" s="19" t="str">
        <f t="shared" si="45"/>
        <v>0400</v>
      </c>
      <c r="W154" s="7"/>
      <c r="X154" s="23">
        <v>27654</v>
      </c>
      <c r="Y154" s="19" t="str">
        <f t="shared" si="42"/>
        <v>6C06</v>
      </c>
      <c r="Z154" s="18">
        <f t="shared" si="40"/>
        <v>1</v>
      </c>
      <c r="AA154" s="18">
        <f t="shared" si="47"/>
        <v>0</v>
      </c>
      <c r="AB154" s="18">
        <f t="shared" si="47"/>
        <v>0</v>
      </c>
      <c r="AC154" s="18">
        <f t="shared" si="47"/>
        <v>0</v>
      </c>
      <c r="AD154" s="18">
        <f t="shared" si="47"/>
        <v>1</v>
      </c>
      <c r="AE154" s="18">
        <f t="shared" si="47"/>
        <v>1</v>
      </c>
      <c r="AF154" s="18">
        <f t="shared" si="47"/>
        <v>0</v>
      </c>
      <c r="AG154" s="18">
        <f t="shared" si="47"/>
        <v>0</v>
      </c>
      <c r="AH154" s="18">
        <f t="shared" si="47"/>
        <v>0</v>
      </c>
      <c r="AI154" s="18">
        <f t="shared" si="47"/>
        <v>0</v>
      </c>
      <c r="AJ154" s="18">
        <f t="shared" si="47"/>
        <v>1</v>
      </c>
      <c r="AK154" s="18">
        <f t="shared" si="47"/>
        <v>0</v>
      </c>
      <c r="AL154" s="18">
        <f t="shared" si="47"/>
        <v>0</v>
      </c>
      <c r="AM154" s="18">
        <f t="shared" si="47"/>
        <v>1</v>
      </c>
      <c r="AN154" s="18">
        <f t="shared" si="47"/>
        <v>0</v>
      </c>
      <c r="AO154" s="18">
        <f t="shared" si="47"/>
        <v>1</v>
      </c>
      <c r="AQ154" s="28" t="str">
        <f t="shared" si="46"/>
        <v xml:space="preserve">    0x0400,  // wheel</v>
      </c>
    </row>
    <row r="155" spans="1:43" ht="18.75" x14ac:dyDescent="0.3">
      <c r="A155" s="6"/>
      <c r="B155" s="16">
        <v>133</v>
      </c>
      <c r="C155" s="19" t="str">
        <f t="shared" si="43"/>
        <v>85</v>
      </c>
      <c r="D155" s="24" t="s">
        <v>182</v>
      </c>
      <c r="E155" s="21">
        <v>0</v>
      </c>
      <c r="F155" s="21">
        <v>0</v>
      </c>
      <c r="G155" s="21">
        <v>0</v>
      </c>
      <c r="H155" s="21">
        <v>0</v>
      </c>
      <c r="I155" s="21">
        <v>0</v>
      </c>
      <c r="J155" s="21">
        <v>0</v>
      </c>
      <c r="K155" s="21">
        <v>1</v>
      </c>
      <c r="L155" s="21">
        <v>0</v>
      </c>
      <c r="M155" s="21">
        <v>0</v>
      </c>
      <c r="N155" s="21">
        <v>0</v>
      </c>
      <c r="O155" s="21">
        <v>0</v>
      </c>
      <c r="P155" s="21">
        <v>0</v>
      </c>
      <c r="Q155" s="21">
        <v>0</v>
      </c>
      <c r="R155" s="21">
        <v>0</v>
      </c>
      <c r="S155" s="21">
        <v>0</v>
      </c>
      <c r="T155" s="21">
        <v>0</v>
      </c>
      <c r="U155" s="22">
        <f t="shared" si="44"/>
        <v>512</v>
      </c>
      <c r="V155" s="19" t="str">
        <f t="shared" si="45"/>
        <v>0200</v>
      </c>
      <c r="W155" s="7"/>
      <c r="X155" s="23">
        <v>16528</v>
      </c>
      <c r="Y155" s="19" t="str">
        <f t="shared" si="42"/>
        <v>4090</v>
      </c>
      <c r="Z155" s="18">
        <f t="shared" si="40"/>
        <v>0</v>
      </c>
      <c r="AA155" s="18">
        <f t="shared" si="47"/>
        <v>0</v>
      </c>
      <c r="AB155" s="18">
        <f t="shared" si="47"/>
        <v>0</v>
      </c>
      <c r="AC155" s="18">
        <f t="shared" si="47"/>
        <v>0</v>
      </c>
      <c r="AD155" s="18">
        <f t="shared" si="47"/>
        <v>0</v>
      </c>
      <c r="AE155" s="18">
        <f t="shared" si="47"/>
        <v>0</v>
      </c>
      <c r="AF155" s="18">
        <f t="shared" si="47"/>
        <v>0</v>
      </c>
      <c r="AG155" s="18">
        <f t="shared" si="47"/>
        <v>0</v>
      </c>
      <c r="AH155" s="18">
        <f t="shared" si="47"/>
        <v>0</v>
      </c>
      <c r="AI155" s="18">
        <f t="shared" si="47"/>
        <v>1</v>
      </c>
      <c r="AJ155" s="18">
        <f t="shared" si="47"/>
        <v>0</v>
      </c>
      <c r="AK155" s="18">
        <f t="shared" si="47"/>
        <v>0</v>
      </c>
      <c r="AL155" s="18">
        <f t="shared" si="47"/>
        <v>1</v>
      </c>
      <c r="AM155" s="18">
        <f t="shared" si="47"/>
        <v>1</v>
      </c>
      <c r="AN155" s="18">
        <f t="shared" si="47"/>
        <v>0</v>
      </c>
      <c r="AO155" s="18">
        <f t="shared" si="47"/>
        <v>0</v>
      </c>
      <c r="AQ155" s="28" t="str">
        <f t="shared" si="46"/>
        <v xml:space="preserve">    0x0200,  // wheel</v>
      </c>
    </row>
    <row r="156" spans="1:43" ht="18.75" x14ac:dyDescent="0.3">
      <c r="A156" s="6"/>
      <c r="B156" s="16">
        <v>134</v>
      </c>
      <c r="C156" s="19" t="str">
        <f t="shared" si="43"/>
        <v>86</v>
      </c>
      <c r="D156" s="24" t="s">
        <v>182</v>
      </c>
      <c r="E156" s="21">
        <v>0</v>
      </c>
      <c r="F156" s="21">
        <v>0</v>
      </c>
      <c r="G156" s="21">
        <v>0</v>
      </c>
      <c r="H156" s="21">
        <v>0</v>
      </c>
      <c r="I156" s="21">
        <v>0</v>
      </c>
      <c r="J156" s="21">
        <v>0</v>
      </c>
      <c r="K156" s="21">
        <v>0</v>
      </c>
      <c r="L156" s="21">
        <v>1</v>
      </c>
      <c r="M156" s="21">
        <v>0</v>
      </c>
      <c r="N156" s="21">
        <v>0</v>
      </c>
      <c r="O156" s="21">
        <v>0</v>
      </c>
      <c r="P156" s="21">
        <v>0</v>
      </c>
      <c r="Q156" s="21">
        <v>0</v>
      </c>
      <c r="R156" s="21">
        <v>0</v>
      </c>
      <c r="S156" s="21">
        <v>0</v>
      </c>
      <c r="T156" s="21">
        <v>0</v>
      </c>
      <c r="U156" s="22">
        <f t="shared" si="44"/>
        <v>1</v>
      </c>
      <c r="V156" s="19" t="str">
        <f t="shared" si="45"/>
        <v>0001</v>
      </c>
      <c r="W156" s="7"/>
      <c r="X156" s="23">
        <v>4553</v>
      </c>
      <c r="Y156" s="19" t="str">
        <f t="shared" si="42"/>
        <v>11C9</v>
      </c>
      <c r="Z156" s="18">
        <f t="shared" si="40"/>
        <v>0</v>
      </c>
      <c r="AA156" s="18">
        <f t="shared" si="47"/>
        <v>0</v>
      </c>
      <c r="AB156" s="18">
        <f t="shared" si="47"/>
        <v>1</v>
      </c>
      <c r="AC156" s="18">
        <f t="shared" si="47"/>
        <v>0</v>
      </c>
      <c r="AD156" s="18">
        <f t="shared" si="47"/>
        <v>0</v>
      </c>
      <c r="AE156" s="18">
        <f t="shared" si="47"/>
        <v>0</v>
      </c>
      <c r="AF156" s="18">
        <f t="shared" si="47"/>
        <v>0</v>
      </c>
      <c r="AG156" s="18">
        <f t="shared" si="47"/>
        <v>1</v>
      </c>
      <c r="AH156" s="18">
        <f t="shared" si="47"/>
        <v>1</v>
      </c>
      <c r="AI156" s="18">
        <f t="shared" si="47"/>
        <v>1</v>
      </c>
      <c r="AJ156" s="18">
        <f t="shared" si="47"/>
        <v>0</v>
      </c>
      <c r="AK156" s="18">
        <f t="shared" si="47"/>
        <v>1</v>
      </c>
      <c r="AL156" s="18">
        <f t="shared" si="47"/>
        <v>0</v>
      </c>
      <c r="AM156" s="18">
        <f t="shared" si="47"/>
        <v>0</v>
      </c>
      <c r="AN156" s="18">
        <f t="shared" si="47"/>
        <v>1</v>
      </c>
      <c r="AO156" s="18">
        <f t="shared" si="47"/>
        <v>0</v>
      </c>
      <c r="AQ156" s="28" t="str">
        <f t="shared" si="46"/>
        <v xml:space="preserve">    0x0001,  // wheel</v>
      </c>
    </row>
    <row r="157" spans="1:43" ht="18.75" x14ac:dyDescent="0.3">
      <c r="A157" s="6"/>
      <c r="B157" s="16">
        <v>135</v>
      </c>
      <c r="C157" s="19" t="str">
        <f t="shared" si="43"/>
        <v>87</v>
      </c>
      <c r="D157" s="24" t="s">
        <v>182</v>
      </c>
      <c r="E157" s="21">
        <v>1</v>
      </c>
      <c r="F157" s="21">
        <v>0</v>
      </c>
      <c r="G157" s="21">
        <v>0</v>
      </c>
      <c r="H157" s="21">
        <v>0</v>
      </c>
      <c r="I157" s="21">
        <v>0</v>
      </c>
      <c r="J157" s="21">
        <v>0</v>
      </c>
      <c r="K157" s="21">
        <v>0</v>
      </c>
      <c r="L157" s="21">
        <v>0</v>
      </c>
      <c r="M157" s="21">
        <v>0</v>
      </c>
      <c r="N157" s="21">
        <v>0</v>
      </c>
      <c r="O157" s="21">
        <v>0</v>
      </c>
      <c r="P157" s="21">
        <v>0</v>
      </c>
      <c r="Q157" s="21">
        <v>0</v>
      </c>
      <c r="R157" s="21">
        <v>0</v>
      </c>
      <c r="S157" s="21">
        <v>0</v>
      </c>
      <c r="T157" s="21">
        <v>0</v>
      </c>
      <c r="U157" s="22">
        <f t="shared" si="44"/>
        <v>4</v>
      </c>
      <c r="V157" s="19" t="str">
        <f t="shared" si="45"/>
        <v>0004</v>
      </c>
      <c r="W157" s="7"/>
      <c r="X157" s="23">
        <v>565</v>
      </c>
      <c r="Y157" s="19" t="str">
        <f t="shared" si="42"/>
        <v>0235</v>
      </c>
      <c r="Z157" s="18">
        <f t="shared" si="40"/>
        <v>1</v>
      </c>
      <c r="AA157" s="18">
        <f t="shared" si="47"/>
        <v>1</v>
      </c>
      <c r="AB157" s="18">
        <f t="shared" si="47"/>
        <v>0</v>
      </c>
      <c r="AC157" s="18">
        <f t="shared" si="47"/>
        <v>0</v>
      </c>
      <c r="AD157" s="18">
        <f t="shared" si="47"/>
        <v>0</v>
      </c>
      <c r="AE157" s="18">
        <f t="shared" si="47"/>
        <v>0</v>
      </c>
      <c r="AF157" s="18">
        <f t="shared" si="47"/>
        <v>1</v>
      </c>
      <c r="AG157" s="18">
        <f t="shared" si="47"/>
        <v>1</v>
      </c>
      <c r="AH157" s="18">
        <f t="shared" si="47"/>
        <v>0</v>
      </c>
      <c r="AI157" s="18">
        <f t="shared" si="47"/>
        <v>0</v>
      </c>
      <c r="AJ157" s="18">
        <f t="shared" si="47"/>
        <v>0</v>
      </c>
      <c r="AK157" s="18">
        <f t="shared" si="47"/>
        <v>0</v>
      </c>
      <c r="AL157" s="18">
        <f t="shared" si="47"/>
        <v>1</v>
      </c>
      <c r="AM157" s="18">
        <f t="shared" si="47"/>
        <v>0</v>
      </c>
      <c r="AN157" s="18">
        <f t="shared" si="47"/>
        <v>0</v>
      </c>
      <c r="AO157" s="18">
        <f t="shared" si="47"/>
        <v>0</v>
      </c>
      <c r="AQ157" s="28" t="str">
        <f t="shared" si="46"/>
        <v xml:space="preserve">    0x0004,  // wheel</v>
      </c>
    </row>
    <row r="158" spans="1:43" ht="18.75" x14ac:dyDescent="0.3">
      <c r="A158" s="6"/>
      <c r="B158" s="16">
        <v>136</v>
      </c>
      <c r="C158" s="19" t="str">
        <f t="shared" si="43"/>
        <v>88</v>
      </c>
      <c r="D158" s="24" t="s">
        <v>183</v>
      </c>
      <c r="E158" s="21">
        <v>1</v>
      </c>
      <c r="F158" s="21">
        <v>0</v>
      </c>
      <c r="G158" s="21">
        <v>0</v>
      </c>
      <c r="H158" s="21">
        <v>0</v>
      </c>
      <c r="I158" s="21">
        <v>0</v>
      </c>
      <c r="J158" s="21">
        <v>0</v>
      </c>
      <c r="K158" s="21">
        <v>0</v>
      </c>
      <c r="L158" s="21">
        <v>0</v>
      </c>
      <c r="M158" s="21">
        <v>0</v>
      </c>
      <c r="N158" s="21">
        <v>0</v>
      </c>
      <c r="O158" s="21">
        <v>0</v>
      </c>
      <c r="P158" s="21">
        <v>1</v>
      </c>
      <c r="Q158" s="21">
        <v>0</v>
      </c>
      <c r="R158" s="21">
        <v>0</v>
      </c>
      <c r="S158" s="21">
        <v>0</v>
      </c>
      <c r="T158" s="21">
        <v>0</v>
      </c>
      <c r="U158" s="22">
        <f t="shared" si="44"/>
        <v>12</v>
      </c>
      <c r="V158" s="19" t="str">
        <f t="shared" si="45"/>
        <v>000C</v>
      </c>
      <c r="W158" s="7"/>
      <c r="X158" s="23">
        <v>32876</v>
      </c>
      <c r="Y158" s="19" t="str">
        <f t="shared" si="42"/>
        <v>806C</v>
      </c>
      <c r="Z158" s="18">
        <f t="shared" si="40"/>
        <v>1</v>
      </c>
      <c r="AA158" s="18">
        <f t="shared" si="47"/>
        <v>1</v>
      </c>
      <c r="AB158" s="18">
        <f t="shared" si="47"/>
        <v>1</v>
      </c>
      <c r="AC158" s="18">
        <f t="shared" si="47"/>
        <v>1</v>
      </c>
      <c r="AD158" s="18">
        <f t="shared" si="47"/>
        <v>0</v>
      </c>
      <c r="AE158" s="18">
        <f t="shared" si="47"/>
        <v>0</v>
      </c>
      <c r="AF158" s="18">
        <f t="shared" si="47"/>
        <v>0</v>
      </c>
      <c r="AG158" s="18">
        <f t="shared" si="47"/>
        <v>0</v>
      </c>
      <c r="AH158" s="18">
        <f t="shared" si="47"/>
        <v>0</v>
      </c>
      <c r="AI158" s="18">
        <f t="shared" si="47"/>
        <v>0</v>
      </c>
      <c r="AJ158" s="18">
        <f t="shared" si="47"/>
        <v>0</v>
      </c>
      <c r="AK158" s="18">
        <f t="shared" si="47"/>
        <v>1</v>
      </c>
      <c r="AL158" s="18">
        <f t="shared" si="47"/>
        <v>0</v>
      </c>
      <c r="AM158" s="18">
        <f t="shared" si="47"/>
        <v>0</v>
      </c>
      <c r="AN158" s="18">
        <f t="shared" si="47"/>
        <v>0</v>
      </c>
      <c r="AO158" s="18">
        <f t="shared" si="47"/>
        <v>0</v>
      </c>
      <c r="AQ158" s="28" t="str">
        <f t="shared" si="46"/>
        <v xml:space="preserve">    0x000C,  // hammer</v>
      </c>
    </row>
    <row r="159" spans="1:43" ht="18.75" x14ac:dyDescent="0.3">
      <c r="A159" s="6"/>
      <c r="B159" s="16">
        <v>137</v>
      </c>
      <c r="C159" s="19" t="str">
        <f t="shared" si="43"/>
        <v>89</v>
      </c>
      <c r="D159" s="24" t="s">
        <v>183</v>
      </c>
      <c r="E159" s="21">
        <v>0</v>
      </c>
      <c r="F159" s="21">
        <v>1</v>
      </c>
      <c r="G159" s="21">
        <v>0</v>
      </c>
      <c r="H159" s="21">
        <v>0</v>
      </c>
      <c r="I159" s="21">
        <v>0</v>
      </c>
      <c r="J159" s="21">
        <v>0</v>
      </c>
      <c r="K159" s="21">
        <v>0</v>
      </c>
      <c r="L159" s="21">
        <v>0</v>
      </c>
      <c r="M159" s="21">
        <v>0</v>
      </c>
      <c r="N159" s="21">
        <v>0</v>
      </c>
      <c r="O159" s="21">
        <v>0</v>
      </c>
      <c r="P159" s="21">
        <v>0</v>
      </c>
      <c r="Q159" s="21">
        <v>1</v>
      </c>
      <c r="R159" s="21">
        <v>0</v>
      </c>
      <c r="S159" s="21">
        <v>0</v>
      </c>
      <c r="T159" s="21">
        <v>0</v>
      </c>
      <c r="U159" s="22">
        <f t="shared" si="44"/>
        <v>48</v>
      </c>
      <c r="V159" s="19" t="str">
        <f t="shared" si="45"/>
        <v>0030</v>
      </c>
      <c r="W159" s="7"/>
      <c r="X159" s="23">
        <v>12300</v>
      </c>
      <c r="Y159" s="19" t="str">
        <f t="shared" si="42"/>
        <v>300C</v>
      </c>
      <c r="Z159" s="18">
        <f t="shared" si="40"/>
        <v>1</v>
      </c>
      <c r="AA159" s="18">
        <f t="shared" si="47"/>
        <v>0</v>
      </c>
      <c r="AB159" s="18">
        <f t="shared" si="47"/>
        <v>0</v>
      </c>
      <c r="AC159" s="18">
        <f t="shared" si="47"/>
        <v>0</v>
      </c>
      <c r="AD159" s="18">
        <f t="shared" si="47"/>
        <v>0</v>
      </c>
      <c r="AE159" s="18">
        <f t="shared" si="47"/>
        <v>1</v>
      </c>
      <c r="AF159" s="18">
        <f t="shared" si="47"/>
        <v>0</v>
      </c>
      <c r="AG159" s="18">
        <f t="shared" si="47"/>
        <v>0</v>
      </c>
      <c r="AH159" s="18">
        <f t="shared" si="47"/>
        <v>0</v>
      </c>
      <c r="AI159" s="18">
        <f t="shared" si="47"/>
        <v>0</v>
      </c>
      <c r="AJ159" s="18">
        <f t="shared" si="47"/>
        <v>0</v>
      </c>
      <c r="AK159" s="18">
        <f t="shared" si="47"/>
        <v>1</v>
      </c>
      <c r="AL159" s="18">
        <f t="shared" si="47"/>
        <v>0</v>
      </c>
      <c r="AM159" s="18">
        <f t="shared" si="47"/>
        <v>0</v>
      </c>
      <c r="AN159" s="18">
        <f t="shared" si="47"/>
        <v>1</v>
      </c>
      <c r="AO159" s="18">
        <f t="shared" si="47"/>
        <v>0</v>
      </c>
      <c r="AQ159" s="28" t="str">
        <f t="shared" si="46"/>
        <v xml:space="preserve">    0x0030,  // hammer</v>
      </c>
    </row>
    <row r="160" spans="1:43" ht="18.75" x14ac:dyDescent="0.3">
      <c r="A160" s="6"/>
      <c r="B160" s="16">
        <v>138</v>
      </c>
      <c r="C160" s="19" t="str">
        <f t="shared" si="43"/>
        <v>8A</v>
      </c>
      <c r="D160" s="24" t="s">
        <v>183</v>
      </c>
      <c r="E160" s="21">
        <v>0</v>
      </c>
      <c r="F160" s="21">
        <v>0</v>
      </c>
      <c r="G160" s="21">
        <v>1</v>
      </c>
      <c r="H160" s="21">
        <v>0</v>
      </c>
      <c r="I160" s="21">
        <v>0</v>
      </c>
      <c r="J160" s="21">
        <v>0</v>
      </c>
      <c r="K160" s="21">
        <v>0</v>
      </c>
      <c r="L160" s="21">
        <v>0</v>
      </c>
      <c r="M160" s="21">
        <v>0</v>
      </c>
      <c r="N160" s="21">
        <v>1</v>
      </c>
      <c r="O160" s="21">
        <v>0</v>
      </c>
      <c r="P160" s="21">
        <v>0</v>
      </c>
      <c r="Q160" s="21">
        <v>0</v>
      </c>
      <c r="R160" s="21">
        <v>0</v>
      </c>
      <c r="S160" s="21">
        <v>0</v>
      </c>
      <c r="T160" s="21">
        <v>0</v>
      </c>
      <c r="U160" s="22">
        <f t="shared" si="44"/>
        <v>192</v>
      </c>
      <c r="V160" s="19" t="str">
        <f t="shared" si="45"/>
        <v>00C0</v>
      </c>
      <c r="W160" s="7"/>
      <c r="X160" s="23">
        <v>44112</v>
      </c>
      <c r="Y160" s="19" t="str">
        <f t="shared" si="42"/>
        <v>AC50</v>
      </c>
      <c r="Z160" s="18">
        <f t="shared" si="40"/>
        <v>0</v>
      </c>
      <c r="AA160" s="18">
        <f t="shared" si="47"/>
        <v>0</v>
      </c>
      <c r="AB160" s="18">
        <f t="shared" si="47"/>
        <v>1</v>
      </c>
      <c r="AC160" s="18">
        <f t="shared" si="47"/>
        <v>1</v>
      </c>
      <c r="AD160" s="18">
        <f t="shared" si="47"/>
        <v>1</v>
      </c>
      <c r="AE160" s="18">
        <f t="shared" si="47"/>
        <v>1</v>
      </c>
      <c r="AF160" s="18">
        <f t="shared" si="47"/>
        <v>0</v>
      </c>
      <c r="AG160" s="18">
        <f t="shared" si="47"/>
        <v>0</v>
      </c>
      <c r="AH160" s="18">
        <f t="shared" si="47"/>
        <v>0</v>
      </c>
      <c r="AI160" s="18">
        <f t="shared" si="47"/>
        <v>0</v>
      </c>
      <c r="AJ160" s="18">
        <f t="shared" si="47"/>
        <v>0</v>
      </c>
      <c r="AK160" s="18">
        <f t="shared" si="47"/>
        <v>0</v>
      </c>
      <c r="AL160" s="18">
        <f t="shared" si="47"/>
        <v>1</v>
      </c>
      <c r="AM160" s="18">
        <f t="shared" si="47"/>
        <v>0</v>
      </c>
      <c r="AN160" s="18">
        <f t="shared" si="47"/>
        <v>0</v>
      </c>
      <c r="AO160" s="18">
        <f t="shared" si="47"/>
        <v>1</v>
      </c>
      <c r="AQ160" s="28" t="str">
        <f t="shared" si="46"/>
        <v xml:space="preserve">    0x00C0,  // hammer</v>
      </c>
    </row>
    <row r="161" spans="1:43" ht="18.75" x14ac:dyDescent="0.3">
      <c r="A161" s="6"/>
      <c r="B161" s="16">
        <v>139</v>
      </c>
      <c r="C161" s="19" t="str">
        <f t="shared" si="43"/>
        <v>8B</v>
      </c>
      <c r="D161" s="24" t="s">
        <v>183</v>
      </c>
      <c r="E161" s="21">
        <v>0</v>
      </c>
      <c r="F161" s="21">
        <v>0</v>
      </c>
      <c r="G161" s="21">
        <v>0</v>
      </c>
      <c r="H161" s="21">
        <v>1</v>
      </c>
      <c r="I161" s="21">
        <v>0</v>
      </c>
      <c r="J161" s="21">
        <v>0</v>
      </c>
      <c r="K161" s="21">
        <v>0</v>
      </c>
      <c r="L161" s="21">
        <v>0</v>
      </c>
      <c r="M161" s="21">
        <v>0</v>
      </c>
      <c r="N161" s="21">
        <v>0</v>
      </c>
      <c r="O161" s="21">
        <v>0</v>
      </c>
      <c r="P161" s="21">
        <v>0</v>
      </c>
      <c r="Q161" s="21">
        <v>0</v>
      </c>
      <c r="R161" s="21">
        <v>1</v>
      </c>
      <c r="S161" s="21">
        <v>0</v>
      </c>
      <c r="T161" s="21">
        <v>0</v>
      </c>
      <c r="U161" s="22">
        <f t="shared" si="44"/>
        <v>49152</v>
      </c>
      <c r="V161" s="19" t="str">
        <f t="shared" si="45"/>
        <v>C000</v>
      </c>
      <c r="W161" s="7"/>
      <c r="X161" s="23">
        <v>49937</v>
      </c>
      <c r="Y161" s="19" t="str">
        <f t="shared" si="42"/>
        <v>C311</v>
      </c>
      <c r="Z161" s="18">
        <f t="shared" si="40"/>
        <v>0</v>
      </c>
      <c r="AA161" s="18">
        <f t="shared" si="47"/>
        <v>0</v>
      </c>
      <c r="AB161" s="18">
        <f t="shared" si="47"/>
        <v>0</v>
      </c>
      <c r="AC161" s="18">
        <f t="shared" si="47"/>
        <v>1</v>
      </c>
      <c r="AD161" s="18">
        <f t="shared" si="47"/>
        <v>0</v>
      </c>
      <c r="AE161" s="18">
        <f t="shared" si="47"/>
        <v>0</v>
      </c>
      <c r="AF161" s="18">
        <f t="shared" si="47"/>
        <v>1</v>
      </c>
      <c r="AG161" s="18">
        <f t="shared" si="47"/>
        <v>1</v>
      </c>
      <c r="AH161" s="18">
        <f t="shared" si="47"/>
        <v>1</v>
      </c>
      <c r="AI161" s="18">
        <f t="shared" si="47"/>
        <v>0</v>
      </c>
      <c r="AJ161" s="18">
        <f t="shared" si="47"/>
        <v>0</v>
      </c>
      <c r="AK161" s="18">
        <f t="shared" si="47"/>
        <v>0</v>
      </c>
      <c r="AL161" s="18">
        <f t="shared" si="47"/>
        <v>1</v>
      </c>
      <c r="AM161" s="18">
        <f t="shared" si="47"/>
        <v>1</v>
      </c>
      <c r="AN161" s="18">
        <f t="shared" si="47"/>
        <v>0</v>
      </c>
      <c r="AO161" s="18">
        <f t="shared" si="47"/>
        <v>0</v>
      </c>
      <c r="AQ161" s="28" t="str">
        <f t="shared" si="46"/>
        <v xml:space="preserve">    0xC000,  // hammer</v>
      </c>
    </row>
    <row r="162" spans="1:43" ht="18.75" x14ac:dyDescent="0.3">
      <c r="A162" s="6"/>
      <c r="B162" s="16">
        <v>140</v>
      </c>
      <c r="C162" s="19" t="str">
        <f t="shared" si="43"/>
        <v>8C</v>
      </c>
      <c r="D162" s="24" t="s">
        <v>183</v>
      </c>
      <c r="E162" s="21">
        <v>0</v>
      </c>
      <c r="F162" s="21">
        <v>0</v>
      </c>
      <c r="G162" s="21">
        <v>0</v>
      </c>
      <c r="H162" s="21">
        <v>0</v>
      </c>
      <c r="I162" s="21">
        <v>0</v>
      </c>
      <c r="J162" s="21">
        <v>1</v>
      </c>
      <c r="K162" s="21">
        <v>0</v>
      </c>
      <c r="L162" s="21">
        <v>0</v>
      </c>
      <c r="M162" s="21">
        <v>0</v>
      </c>
      <c r="N162" s="21">
        <v>0</v>
      </c>
      <c r="O162" s="21">
        <v>0</v>
      </c>
      <c r="P162" s="21">
        <v>0</v>
      </c>
      <c r="Q162" s="21">
        <v>0</v>
      </c>
      <c r="R162" s="21">
        <v>0</v>
      </c>
      <c r="S162" s="21">
        <v>1</v>
      </c>
      <c r="T162" s="21">
        <v>0</v>
      </c>
      <c r="U162" s="22">
        <f t="shared" si="44"/>
        <v>12288</v>
      </c>
      <c r="V162" s="19" t="str">
        <f t="shared" si="45"/>
        <v>3000</v>
      </c>
      <c r="W162" s="7"/>
      <c r="X162" s="23">
        <v>18434</v>
      </c>
      <c r="Y162" s="19" t="str">
        <f t="shared" si="42"/>
        <v>4802</v>
      </c>
      <c r="Z162" s="18">
        <f t="shared" si="40"/>
        <v>0</v>
      </c>
      <c r="AA162" s="18">
        <f t="shared" si="47"/>
        <v>0</v>
      </c>
      <c r="AB162" s="18">
        <f t="shared" si="47"/>
        <v>0</v>
      </c>
      <c r="AC162" s="18">
        <f t="shared" si="47"/>
        <v>0</v>
      </c>
      <c r="AD162" s="18">
        <f t="shared" si="47"/>
        <v>0</v>
      </c>
      <c r="AE162" s="18">
        <f t="shared" si="47"/>
        <v>0</v>
      </c>
      <c r="AF162" s="18">
        <f t="shared" si="47"/>
        <v>0</v>
      </c>
      <c r="AG162" s="18">
        <f t="shared" si="47"/>
        <v>0</v>
      </c>
      <c r="AH162" s="18">
        <f t="shared" si="47"/>
        <v>0</v>
      </c>
      <c r="AI162" s="18">
        <f t="shared" si="47"/>
        <v>0</v>
      </c>
      <c r="AJ162" s="18">
        <f t="shared" si="47"/>
        <v>1</v>
      </c>
      <c r="AK162" s="18">
        <f t="shared" si="47"/>
        <v>0</v>
      </c>
      <c r="AL162" s="18">
        <f t="shared" si="47"/>
        <v>0</v>
      </c>
      <c r="AM162" s="18">
        <f t="shared" si="47"/>
        <v>1</v>
      </c>
      <c r="AN162" s="18">
        <f t="shared" si="47"/>
        <v>0</v>
      </c>
      <c r="AO162" s="18">
        <f t="shared" si="47"/>
        <v>1</v>
      </c>
      <c r="AQ162" s="28" t="str">
        <f t="shared" si="46"/>
        <v xml:space="preserve">    0x3000,  // hammer</v>
      </c>
    </row>
    <row r="163" spans="1:43" ht="18.75" x14ac:dyDescent="0.3">
      <c r="A163" s="6"/>
      <c r="B163" s="16">
        <v>141</v>
      </c>
      <c r="C163" s="19" t="str">
        <f t="shared" si="43"/>
        <v>8D</v>
      </c>
      <c r="D163" s="24" t="s">
        <v>183</v>
      </c>
      <c r="E163" s="21">
        <v>0</v>
      </c>
      <c r="F163" s="21">
        <v>0</v>
      </c>
      <c r="G163" s="21">
        <v>0</v>
      </c>
      <c r="H163" s="21">
        <v>0</v>
      </c>
      <c r="I163" s="21">
        <v>1</v>
      </c>
      <c r="J163" s="21">
        <v>0</v>
      </c>
      <c r="K163" s="21">
        <v>0</v>
      </c>
      <c r="L163" s="21">
        <v>0</v>
      </c>
      <c r="M163" s="21">
        <v>0</v>
      </c>
      <c r="N163" s="21">
        <v>0</v>
      </c>
      <c r="O163" s="21">
        <v>0</v>
      </c>
      <c r="P163" s="21">
        <v>0</v>
      </c>
      <c r="Q163" s="21">
        <v>0</v>
      </c>
      <c r="R163" s="21">
        <v>0</v>
      </c>
      <c r="S163" s="21">
        <v>0</v>
      </c>
      <c r="T163" s="21">
        <v>1</v>
      </c>
      <c r="U163" s="22">
        <f t="shared" si="44"/>
        <v>3072</v>
      </c>
      <c r="V163" s="19" t="str">
        <f t="shared" si="45"/>
        <v>0C00</v>
      </c>
      <c r="W163" s="7"/>
      <c r="X163" s="23">
        <v>905</v>
      </c>
      <c r="Y163" s="19" t="str">
        <f t="shared" si="42"/>
        <v>0389</v>
      </c>
      <c r="Z163" s="18">
        <f t="shared" si="40"/>
        <v>0</v>
      </c>
      <c r="AA163" s="18">
        <f t="shared" si="47"/>
        <v>0</v>
      </c>
      <c r="AB163" s="18">
        <f t="shared" si="47"/>
        <v>0</v>
      </c>
      <c r="AC163" s="18">
        <f t="shared" si="47"/>
        <v>0</v>
      </c>
      <c r="AD163" s="18">
        <f t="shared" si="47"/>
        <v>0</v>
      </c>
      <c r="AE163" s="18">
        <f t="shared" si="47"/>
        <v>0</v>
      </c>
      <c r="AF163" s="18">
        <f t="shared" si="47"/>
        <v>1</v>
      </c>
      <c r="AG163" s="18">
        <f t="shared" si="47"/>
        <v>1</v>
      </c>
      <c r="AH163" s="18">
        <f t="shared" si="47"/>
        <v>1</v>
      </c>
      <c r="AI163" s="18">
        <f t="shared" si="47"/>
        <v>1</v>
      </c>
      <c r="AJ163" s="18">
        <f t="shared" si="47"/>
        <v>0</v>
      </c>
      <c r="AK163" s="18">
        <f t="shared" si="47"/>
        <v>1</v>
      </c>
      <c r="AL163" s="18">
        <f t="shared" si="47"/>
        <v>0</v>
      </c>
      <c r="AM163" s="18">
        <f t="shared" si="47"/>
        <v>0</v>
      </c>
      <c r="AN163" s="18">
        <f t="shared" si="47"/>
        <v>0</v>
      </c>
      <c r="AO163" s="18">
        <f t="shared" si="47"/>
        <v>0</v>
      </c>
      <c r="AQ163" s="28" t="str">
        <f t="shared" si="46"/>
        <v xml:space="preserve">    0x0C00,  // hammer</v>
      </c>
    </row>
    <row r="164" spans="1:43" ht="18.75" x14ac:dyDescent="0.3">
      <c r="A164" s="6"/>
      <c r="B164" s="16">
        <v>142</v>
      </c>
      <c r="C164" s="19" t="str">
        <f t="shared" si="43"/>
        <v>8E</v>
      </c>
      <c r="D164" s="24" t="s">
        <v>183</v>
      </c>
      <c r="E164" s="21">
        <v>0</v>
      </c>
      <c r="F164" s="21">
        <v>0</v>
      </c>
      <c r="G164" s="21">
        <v>0</v>
      </c>
      <c r="H164" s="21">
        <v>0</v>
      </c>
      <c r="I164" s="21">
        <v>0</v>
      </c>
      <c r="J164" s="21">
        <v>0</v>
      </c>
      <c r="K164" s="21">
        <v>1</v>
      </c>
      <c r="L164" s="21">
        <v>0</v>
      </c>
      <c r="M164" s="21">
        <v>1</v>
      </c>
      <c r="N164" s="21">
        <v>0</v>
      </c>
      <c r="O164" s="21">
        <v>0</v>
      </c>
      <c r="P164" s="21">
        <v>0</v>
      </c>
      <c r="Q164" s="21">
        <v>0</v>
      </c>
      <c r="R164" s="21">
        <v>0</v>
      </c>
      <c r="S164" s="21">
        <v>0</v>
      </c>
      <c r="T164" s="21">
        <v>0</v>
      </c>
      <c r="U164" s="22">
        <f t="shared" si="44"/>
        <v>768</v>
      </c>
      <c r="V164" s="19" t="str">
        <f t="shared" si="45"/>
        <v>0300</v>
      </c>
      <c r="W164" s="7"/>
      <c r="X164" s="23">
        <v>49472</v>
      </c>
      <c r="Y164" s="19" t="str">
        <f t="shared" si="42"/>
        <v>C140</v>
      </c>
      <c r="Z164" s="18">
        <f t="shared" si="40"/>
        <v>0</v>
      </c>
      <c r="AA164" s="18">
        <f t="shared" si="47"/>
        <v>0</v>
      </c>
      <c r="AB164" s="18">
        <f t="shared" si="47"/>
        <v>1</v>
      </c>
      <c r="AC164" s="18">
        <f t="shared" si="47"/>
        <v>1</v>
      </c>
      <c r="AD164" s="18">
        <f t="shared" si="47"/>
        <v>0</v>
      </c>
      <c r="AE164" s="18">
        <f t="shared" si="47"/>
        <v>0</v>
      </c>
      <c r="AF164" s="18">
        <f t="shared" si="47"/>
        <v>0</v>
      </c>
      <c r="AG164" s="18">
        <f t="shared" si="47"/>
        <v>0</v>
      </c>
      <c r="AH164" s="18">
        <f t="shared" si="47"/>
        <v>1</v>
      </c>
      <c r="AI164" s="18">
        <f t="shared" si="47"/>
        <v>0</v>
      </c>
      <c r="AJ164" s="18">
        <f t="shared" si="47"/>
        <v>0</v>
      </c>
      <c r="AK164" s="18">
        <f t="shared" si="47"/>
        <v>0</v>
      </c>
      <c r="AL164" s="18">
        <f t="shared" si="47"/>
        <v>0</v>
      </c>
      <c r="AM164" s="18">
        <f t="shared" si="47"/>
        <v>1</v>
      </c>
      <c r="AN164" s="18">
        <f t="shared" si="47"/>
        <v>0</v>
      </c>
      <c r="AO164" s="18">
        <f t="shared" si="47"/>
        <v>0</v>
      </c>
      <c r="AQ164" s="28" t="str">
        <f t="shared" si="46"/>
        <v xml:space="preserve">    0x0300,  // hammer</v>
      </c>
    </row>
    <row r="165" spans="1:43" ht="18.75" x14ac:dyDescent="0.3">
      <c r="A165" s="6"/>
      <c r="B165" s="16">
        <v>143</v>
      </c>
      <c r="C165" s="19" t="str">
        <f t="shared" si="43"/>
        <v>8F</v>
      </c>
      <c r="D165" s="24" t="s">
        <v>183</v>
      </c>
      <c r="E165" s="21">
        <v>0</v>
      </c>
      <c r="F165" s="21">
        <v>0</v>
      </c>
      <c r="G165" s="21">
        <v>0</v>
      </c>
      <c r="H165" s="21">
        <v>0</v>
      </c>
      <c r="I165" s="21">
        <v>0</v>
      </c>
      <c r="J165" s="21">
        <v>0</v>
      </c>
      <c r="K165" s="21">
        <v>0</v>
      </c>
      <c r="L165" s="21">
        <v>1</v>
      </c>
      <c r="M165" s="21">
        <v>0</v>
      </c>
      <c r="N165" s="21">
        <v>0</v>
      </c>
      <c r="O165" s="21">
        <v>1</v>
      </c>
      <c r="P165" s="21">
        <v>0</v>
      </c>
      <c r="Q165" s="21">
        <v>0</v>
      </c>
      <c r="R165" s="21">
        <v>0</v>
      </c>
      <c r="S165" s="21">
        <v>0</v>
      </c>
      <c r="T165" s="21">
        <v>0</v>
      </c>
      <c r="U165" s="22">
        <f t="shared" si="44"/>
        <v>3</v>
      </c>
      <c r="V165" s="19" t="str">
        <f t="shared" si="45"/>
        <v>0003</v>
      </c>
      <c r="W165" s="7"/>
      <c r="X165" s="23">
        <v>485</v>
      </c>
      <c r="Y165" s="19" t="str">
        <f t="shared" si="42"/>
        <v>01E5</v>
      </c>
      <c r="Z165" s="18">
        <f t="shared" si="40"/>
        <v>1</v>
      </c>
      <c r="AA165" s="18">
        <f t="shared" si="47"/>
        <v>1</v>
      </c>
      <c r="AB165" s="18">
        <f t="shared" si="47"/>
        <v>1</v>
      </c>
      <c r="AC165" s="18">
        <f t="shared" si="47"/>
        <v>0</v>
      </c>
      <c r="AD165" s="18">
        <f t="shared" si="47"/>
        <v>0</v>
      </c>
      <c r="AE165" s="18">
        <f t="shared" si="47"/>
        <v>0</v>
      </c>
      <c r="AF165" s="18">
        <f t="shared" si="47"/>
        <v>0</v>
      </c>
      <c r="AG165" s="18">
        <f t="shared" si="47"/>
        <v>1</v>
      </c>
      <c r="AH165" s="18">
        <f t="shared" si="47"/>
        <v>1</v>
      </c>
      <c r="AI165" s="18">
        <f t="shared" si="47"/>
        <v>1</v>
      </c>
      <c r="AJ165" s="18">
        <f t="shared" si="47"/>
        <v>0</v>
      </c>
      <c r="AK165" s="18">
        <f t="shared" si="47"/>
        <v>0</v>
      </c>
      <c r="AL165" s="18">
        <f t="shared" si="47"/>
        <v>0</v>
      </c>
      <c r="AM165" s="18">
        <f t="shared" si="47"/>
        <v>0</v>
      </c>
      <c r="AN165" s="18">
        <f t="shared" si="47"/>
        <v>0</v>
      </c>
      <c r="AO165" s="18">
        <f t="shared" si="47"/>
        <v>0</v>
      </c>
      <c r="AQ165" s="28" t="str">
        <f t="shared" si="46"/>
        <v xml:space="preserve">    0x0003,  // hammer</v>
      </c>
    </row>
    <row r="166" spans="1:43" ht="18.75" x14ac:dyDescent="0.3">
      <c r="A166" s="6"/>
      <c r="B166" s="16">
        <v>144</v>
      </c>
      <c r="C166" s="19" t="str">
        <f t="shared" si="43"/>
        <v>90</v>
      </c>
      <c r="D166" s="24" t="s">
        <v>71</v>
      </c>
      <c r="E166" s="21">
        <v>0</v>
      </c>
      <c r="F166" s="21">
        <v>0</v>
      </c>
      <c r="G166" s="21">
        <v>0</v>
      </c>
      <c r="H166" s="21">
        <v>0</v>
      </c>
      <c r="I166" s="21">
        <v>1</v>
      </c>
      <c r="J166" s="21">
        <v>1</v>
      </c>
      <c r="K166" s="21">
        <v>0</v>
      </c>
      <c r="L166" s="21">
        <v>0</v>
      </c>
      <c r="M166" s="21">
        <v>1</v>
      </c>
      <c r="N166" s="21">
        <v>1</v>
      </c>
      <c r="O166" s="21">
        <v>0</v>
      </c>
      <c r="P166" s="21">
        <v>1</v>
      </c>
      <c r="Q166" s="21">
        <v>0</v>
      </c>
      <c r="R166" s="21">
        <v>1</v>
      </c>
      <c r="S166" s="21">
        <v>0</v>
      </c>
      <c r="T166" s="21">
        <v>1</v>
      </c>
      <c r="U166" s="22">
        <f t="shared" si="44"/>
        <v>28040</v>
      </c>
      <c r="V166" s="19" t="str">
        <f t="shared" si="45"/>
        <v>6D88</v>
      </c>
      <c r="W166" s="7"/>
      <c r="X166" s="23">
        <v>33664</v>
      </c>
      <c r="Y166" s="19" t="str">
        <f t="shared" si="42"/>
        <v>8380</v>
      </c>
      <c r="Z166" s="18">
        <f t="shared" si="40"/>
        <v>0</v>
      </c>
      <c r="AA166" s="18">
        <f t="shared" si="47"/>
        <v>0</v>
      </c>
      <c r="AB166" s="18">
        <f t="shared" si="47"/>
        <v>0</v>
      </c>
      <c r="AC166" s="18">
        <f t="shared" si="47"/>
        <v>1</v>
      </c>
      <c r="AD166" s="18">
        <f t="shared" si="47"/>
        <v>0</v>
      </c>
      <c r="AE166" s="18">
        <f t="shared" si="47"/>
        <v>0</v>
      </c>
      <c r="AF166" s="18">
        <f t="shared" si="47"/>
        <v>1</v>
      </c>
      <c r="AG166" s="18">
        <f t="shared" si="47"/>
        <v>0</v>
      </c>
      <c r="AH166" s="18">
        <f t="shared" si="47"/>
        <v>1</v>
      </c>
      <c r="AI166" s="18">
        <f t="shared" si="47"/>
        <v>1</v>
      </c>
      <c r="AJ166" s="18">
        <f t="shared" si="47"/>
        <v>0</v>
      </c>
      <c r="AK166" s="18">
        <f t="shared" si="47"/>
        <v>0</v>
      </c>
      <c r="AL166" s="18">
        <f t="shared" si="47"/>
        <v>0</v>
      </c>
      <c r="AM166" s="18">
        <f t="shared" si="47"/>
        <v>0</v>
      </c>
      <c r="AN166" s="18">
        <f t="shared" si="47"/>
        <v>0</v>
      </c>
      <c r="AO166" s="18">
        <f t="shared" si="47"/>
        <v>0</v>
      </c>
      <c r="AQ166" s="28" t="str">
        <f t="shared" si="46"/>
        <v xml:space="preserve">    0x6D88,  // alien</v>
      </c>
    </row>
    <row r="167" spans="1:43" ht="18.75" x14ac:dyDescent="0.3">
      <c r="A167" s="6"/>
      <c r="B167" s="16">
        <v>145</v>
      </c>
      <c r="C167" s="19" t="str">
        <f t="shared" si="43"/>
        <v>91</v>
      </c>
      <c r="D167" s="24" t="s">
        <v>71</v>
      </c>
      <c r="E167" s="21">
        <v>0</v>
      </c>
      <c r="F167" s="21">
        <v>0</v>
      </c>
      <c r="G167" s="21">
        <v>0</v>
      </c>
      <c r="H167" s="21">
        <v>0</v>
      </c>
      <c r="I167" s="21">
        <v>1</v>
      </c>
      <c r="J167" s="21">
        <v>1</v>
      </c>
      <c r="K167" s="21">
        <v>0</v>
      </c>
      <c r="L167" s="21">
        <v>0</v>
      </c>
      <c r="M167" s="21">
        <v>1</v>
      </c>
      <c r="N167" s="21">
        <v>1</v>
      </c>
      <c r="O167" s="21">
        <v>1</v>
      </c>
      <c r="P167" s="21">
        <v>0</v>
      </c>
      <c r="Q167" s="21">
        <v>1</v>
      </c>
      <c r="R167" s="21">
        <v>1</v>
      </c>
      <c r="S167" s="21">
        <v>0</v>
      </c>
      <c r="T167" s="21">
        <v>1</v>
      </c>
      <c r="U167" s="22">
        <f t="shared" si="44"/>
        <v>28050</v>
      </c>
      <c r="V167" s="19" t="str">
        <f t="shared" si="45"/>
        <v>6D92</v>
      </c>
      <c r="W167" s="7"/>
      <c r="X167" s="23">
        <v>42727</v>
      </c>
      <c r="Y167" s="19" t="str">
        <f t="shared" si="42"/>
        <v>A6E7</v>
      </c>
      <c r="Z167" s="18">
        <f t="shared" si="40"/>
        <v>1</v>
      </c>
      <c r="AA167" s="18">
        <f t="shared" si="47"/>
        <v>1</v>
      </c>
      <c r="AB167" s="18">
        <f t="shared" si="47"/>
        <v>1</v>
      </c>
      <c r="AC167" s="18">
        <f t="shared" si="47"/>
        <v>1</v>
      </c>
      <c r="AD167" s="18">
        <f t="shared" si="47"/>
        <v>1</v>
      </c>
      <c r="AE167" s="18">
        <f t="shared" si="47"/>
        <v>1</v>
      </c>
      <c r="AF167" s="18">
        <f t="shared" si="47"/>
        <v>1</v>
      </c>
      <c r="AG167" s="18">
        <f t="shared" si="47"/>
        <v>1</v>
      </c>
      <c r="AH167" s="18">
        <f t="shared" si="47"/>
        <v>0</v>
      </c>
      <c r="AI167" s="18">
        <f t="shared" si="47"/>
        <v>1</v>
      </c>
      <c r="AJ167" s="18">
        <f t="shared" si="47"/>
        <v>1</v>
      </c>
      <c r="AK167" s="18">
        <f t="shared" si="47"/>
        <v>0</v>
      </c>
      <c r="AL167" s="18">
        <f t="shared" si="47"/>
        <v>0</v>
      </c>
      <c r="AM167" s="18">
        <f t="shared" si="47"/>
        <v>0</v>
      </c>
      <c r="AN167" s="18">
        <f t="shared" si="47"/>
        <v>0</v>
      </c>
      <c r="AO167" s="18">
        <f t="shared" si="47"/>
        <v>0</v>
      </c>
      <c r="AQ167" s="28" t="str">
        <f t="shared" si="46"/>
        <v xml:space="preserve">    0x6D92,  // alien</v>
      </c>
    </row>
    <row r="168" spans="1:43" ht="18.75" x14ac:dyDescent="0.3">
      <c r="A168" s="6"/>
      <c r="B168" s="16">
        <v>146</v>
      </c>
      <c r="C168" s="19" t="str">
        <f t="shared" si="43"/>
        <v>92</v>
      </c>
      <c r="D168" s="24" t="s">
        <v>71</v>
      </c>
      <c r="E168" s="21">
        <v>0</v>
      </c>
      <c r="F168" s="21">
        <v>0</v>
      </c>
      <c r="G168" s="21">
        <v>0</v>
      </c>
      <c r="H168" s="21">
        <v>0</v>
      </c>
      <c r="I168" s="21">
        <v>1</v>
      </c>
      <c r="J168" s="21">
        <v>1</v>
      </c>
      <c r="K168" s="21">
        <v>0</v>
      </c>
      <c r="L168" s="21">
        <v>0</v>
      </c>
      <c r="M168" s="21">
        <v>0</v>
      </c>
      <c r="N168" s="21">
        <v>0</v>
      </c>
      <c r="O168" s="21">
        <v>1</v>
      </c>
      <c r="P168" s="21">
        <v>1</v>
      </c>
      <c r="Q168" s="21">
        <v>1</v>
      </c>
      <c r="R168" s="21">
        <v>1</v>
      </c>
      <c r="S168" s="21">
        <v>0</v>
      </c>
      <c r="T168" s="21">
        <v>1</v>
      </c>
      <c r="U168" s="22">
        <f t="shared" si="44"/>
        <v>27674</v>
      </c>
      <c r="V168" s="19" t="str">
        <f t="shared" si="45"/>
        <v>6C1A</v>
      </c>
      <c r="W168" s="7"/>
      <c r="X168" s="23">
        <v>5352</v>
      </c>
      <c r="Y168" s="19" t="str">
        <f t="shared" si="42"/>
        <v>14E8</v>
      </c>
      <c r="Z168" s="18">
        <f t="shared" si="40"/>
        <v>0</v>
      </c>
      <c r="AA168" s="18">
        <f t="shared" si="47"/>
        <v>1</v>
      </c>
      <c r="AB168" s="18">
        <f t="shared" si="47"/>
        <v>1</v>
      </c>
      <c r="AC168" s="18">
        <f t="shared" si="47"/>
        <v>0</v>
      </c>
      <c r="AD168" s="18">
        <f t="shared" si="47"/>
        <v>1</v>
      </c>
      <c r="AE168" s="18">
        <f t="shared" si="47"/>
        <v>0</v>
      </c>
      <c r="AF168" s="18">
        <f t="shared" si="47"/>
        <v>0</v>
      </c>
      <c r="AG168" s="18">
        <f t="shared" si="47"/>
        <v>0</v>
      </c>
      <c r="AH168" s="18">
        <f t="shared" si="47"/>
        <v>0</v>
      </c>
      <c r="AI168" s="18">
        <f t="shared" si="47"/>
        <v>1</v>
      </c>
      <c r="AJ168" s="18">
        <f t="shared" si="47"/>
        <v>0</v>
      </c>
      <c r="AK168" s="18">
        <f t="shared" si="47"/>
        <v>1</v>
      </c>
      <c r="AL168" s="18">
        <f t="shared" si="47"/>
        <v>0</v>
      </c>
      <c r="AM168" s="18">
        <f t="shared" si="47"/>
        <v>0</v>
      </c>
      <c r="AN168" s="18">
        <f t="shared" si="47"/>
        <v>1</v>
      </c>
      <c r="AO168" s="18">
        <f t="shared" si="47"/>
        <v>0</v>
      </c>
      <c r="AQ168" s="28" t="str">
        <f t="shared" si="46"/>
        <v xml:space="preserve">    0x6C1A,  // alien</v>
      </c>
    </row>
    <row r="169" spans="1:43" ht="18.75" x14ac:dyDescent="0.3">
      <c r="A169" s="6"/>
      <c r="B169" s="16">
        <v>147</v>
      </c>
      <c r="C169" s="19" t="str">
        <f t="shared" si="43"/>
        <v>93</v>
      </c>
      <c r="D169" s="24" t="s">
        <v>71</v>
      </c>
      <c r="E169" s="21">
        <v>0</v>
      </c>
      <c r="F169" s="21">
        <v>0</v>
      </c>
      <c r="G169" s="21">
        <v>0</v>
      </c>
      <c r="H169" s="21">
        <v>0</v>
      </c>
      <c r="I169" s="21">
        <v>1</v>
      </c>
      <c r="J169" s="21">
        <v>1</v>
      </c>
      <c r="K169" s="21">
        <v>0</v>
      </c>
      <c r="L169" s="21">
        <v>0</v>
      </c>
      <c r="M169" s="21" t="s">
        <v>184</v>
      </c>
      <c r="N169" s="21" t="s">
        <v>184</v>
      </c>
      <c r="O169" s="21">
        <v>0</v>
      </c>
      <c r="P169" s="21">
        <v>1</v>
      </c>
      <c r="Q169" s="21">
        <v>0</v>
      </c>
      <c r="R169" s="21">
        <v>1</v>
      </c>
      <c r="S169" s="21">
        <v>0</v>
      </c>
      <c r="T169" s="21">
        <v>1</v>
      </c>
      <c r="U169" s="22">
        <f t="shared" si="44"/>
        <v>27656</v>
      </c>
      <c r="V169" s="19" t="str">
        <f t="shared" si="45"/>
        <v>6C08</v>
      </c>
      <c r="W169" s="7"/>
      <c r="X169" s="23">
        <v>11302</v>
      </c>
      <c r="Y169" s="19" t="str">
        <f t="shared" si="42"/>
        <v>2C26</v>
      </c>
      <c r="Z169" s="18">
        <f t="shared" si="40"/>
        <v>1</v>
      </c>
      <c r="AA169" s="18">
        <f t="shared" si="47"/>
        <v>1</v>
      </c>
      <c r="AB169" s="18">
        <f t="shared" si="47"/>
        <v>0</v>
      </c>
      <c r="AC169" s="18">
        <f t="shared" si="47"/>
        <v>0</v>
      </c>
      <c r="AD169" s="18">
        <f t="shared" si="47"/>
        <v>1</v>
      </c>
      <c r="AE169" s="18">
        <f t="shared" si="47"/>
        <v>1</v>
      </c>
      <c r="AF169" s="18">
        <f t="shared" si="47"/>
        <v>0</v>
      </c>
      <c r="AG169" s="18">
        <f t="shared" si="47"/>
        <v>0</v>
      </c>
      <c r="AH169" s="18">
        <f t="shared" si="47"/>
        <v>0</v>
      </c>
      <c r="AI169" s="18">
        <f t="shared" si="47"/>
        <v>0</v>
      </c>
      <c r="AJ169" s="18">
        <f t="shared" si="47"/>
        <v>1</v>
      </c>
      <c r="AK169" s="18">
        <f t="shared" si="47"/>
        <v>0</v>
      </c>
      <c r="AL169" s="18">
        <f t="shared" si="47"/>
        <v>0</v>
      </c>
      <c r="AM169" s="18">
        <f t="shared" si="47"/>
        <v>0</v>
      </c>
      <c r="AN169" s="18">
        <f t="shared" si="47"/>
        <v>0</v>
      </c>
      <c r="AO169" s="18">
        <f t="shared" si="47"/>
        <v>1</v>
      </c>
      <c r="AQ169" s="28" t="str">
        <f t="shared" si="46"/>
        <v xml:space="preserve">    0x6C08,  // alien</v>
      </c>
    </row>
    <row r="170" spans="1:43" ht="18.75" x14ac:dyDescent="0.3">
      <c r="A170" s="6"/>
      <c r="B170" s="16">
        <v>148</v>
      </c>
      <c r="C170" s="19" t="str">
        <f t="shared" si="43"/>
        <v>94</v>
      </c>
      <c r="D170" s="24" t="s">
        <v>71</v>
      </c>
      <c r="E170" s="21">
        <v>1</v>
      </c>
      <c r="F170" s="21">
        <v>1</v>
      </c>
      <c r="G170" s="21">
        <v>0</v>
      </c>
      <c r="H170" s="21">
        <v>0</v>
      </c>
      <c r="I170" s="21">
        <v>0</v>
      </c>
      <c r="J170" s="21">
        <v>0</v>
      </c>
      <c r="K170" s="21">
        <v>0</v>
      </c>
      <c r="L170" s="21">
        <v>0</v>
      </c>
      <c r="M170" s="21">
        <v>1</v>
      </c>
      <c r="N170" s="21">
        <v>1</v>
      </c>
      <c r="O170" s="21">
        <v>1</v>
      </c>
      <c r="P170" s="21">
        <v>0</v>
      </c>
      <c r="Q170" s="21">
        <v>1</v>
      </c>
      <c r="R170" s="21">
        <v>0</v>
      </c>
      <c r="S170" s="21">
        <v>0</v>
      </c>
      <c r="T170" s="21">
        <v>1</v>
      </c>
      <c r="U170" s="22">
        <f t="shared" si="44"/>
        <v>2486</v>
      </c>
      <c r="V170" s="19" t="str">
        <f t="shared" si="45"/>
        <v>09B6</v>
      </c>
      <c r="W170" s="7"/>
      <c r="X170" s="23">
        <v>12672</v>
      </c>
      <c r="Y170" s="19" t="str">
        <f t="shared" si="42"/>
        <v>3180</v>
      </c>
      <c r="Z170" s="18">
        <f t="shared" si="40"/>
        <v>0</v>
      </c>
      <c r="AA170" s="18">
        <f t="shared" si="47"/>
        <v>0</v>
      </c>
      <c r="AB170" s="18">
        <f t="shared" si="47"/>
        <v>0</v>
      </c>
      <c r="AC170" s="18">
        <f t="shared" si="47"/>
        <v>0</v>
      </c>
      <c r="AD170" s="18">
        <f t="shared" si="47"/>
        <v>0</v>
      </c>
      <c r="AE170" s="18">
        <f t="shared" si="47"/>
        <v>1</v>
      </c>
      <c r="AF170" s="18">
        <f t="shared" si="47"/>
        <v>0</v>
      </c>
      <c r="AG170" s="18">
        <f t="shared" si="47"/>
        <v>0</v>
      </c>
      <c r="AH170" s="18">
        <f t="shared" si="47"/>
        <v>1</v>
      </c>
      <c r="AI170" s="18">
        <f t="shared" si="47"/>
        <v>1</v>
      </c>
      <c r="AJ170" s="18">
        <f t="shared" si="47"/>
        <v>0</v>
      </c>
      <c r="AK170" s="18">
        <f t="shared" si="47"/>
        <v>0</v>
      </c>
      <c r="AL170" s="18">
        <f t="shared" si="47"/>
        <v>0</v>
      </c>
      <c r="AM170" s="18">
        <f t="shared" si="47"/>
        <v>0</v>
      </c>
      <c r="AN170" s="18">
        <f t="shared" si="47"/>
        <v>1</v>
      </c>
      <c r="AO170" s="18">
        <f t="shared" ref="AA170:AO187" si="48">IF(_xlfn.BITAND($X170,AO$19)=0,0,1)</f>
        <v>0</v>
      </c>
      <c r="AQ170" s="28" t="str">
        <f t="shared" si="46"/>
        <v xml:space="preserve">    0x09B6,  // alien</v>
      </c>
    </row>
    <row r="171" spans="1:43" ht="18.75" x14ac:dyDescent="0.3">
      <c r="A171" s="6"/>
      <c r="B171" s="16">
        <v>149</v>
      </c>
      <c r="C171" s="19" t="str">
        <f t="shared" si="43"/>
        <v>95</v>
      </c>
      <c r="D171" s="24" t="s">
        <v>71</v>
      </c>
      <c r="E171" s="21">
        <v>1</v>
      </c>
      <c r="F171" s="21">
        <v>1</v>
      </c>
      <c r="G171" s="21">
        <v>0</v>
      </c>
      <c r="H171" s="21">
        <v>0</v>
      </c>
      <c r="I171" s="21">
        <v>0</v>
      </c>
      <c r="J171" s="21">
        <v>0</v>
      </c>
      <c r="K171" s="21">
        <v>0</v>
      </c>
      <c r="L171" s="21">
        <v>0</v>
      </c>
      <c r="M171" s="21">
        <v>1</v>
      </c>
      <c r="N171" s="21">
        <v>1</v>
      </c>
      <c r="O171" s="21">
        <v>1</v>
      </c>
      <c r="P171" s="21">
        <v>0</v>
      </c>
      <c r="Q171" s="21">
        <v>1</v>
      </c>
      <c r="R171" s="21">
        <v>0</v>
      </c>
      <c r="S171" s="21">
        <v>1</v>
      </c>
      <c r="T171" s="21">
        <v>0</v>
      </c>
      <c r="U171" s="22">
        <f t="shared" si="44"/>
        <v>4534</v>
      </c>
      <c r="V171" s="19" t="str">
        <f t="shared" si="45"/>
        <v>11B6</v>
      </c>
      <c r="W171" s="7"/>
      <c r="X171" s="23">
        <v>4545</v>
      </c>
      <c r="Y171" s="19" t="str">
        <f t="shared" si="42"/>
        <v>11C1</v>
      </c>
      <c r="Z171" s="18">
        <f t="shared" si="40"/>
        <v>0</v>
      </c>
      <c r="AA171" s="18">
        <f t="shared" si="48"/>
        <v>0</v>
      </c>
      <c r="AB171" s="18">
        <f t="shared" si="48"/>
        <v>1</v>
      </c>
      <c r="AC171" s="18">
        <f t="shared" si="48"/>
        <v>0</v>
      </c>
      <c r="AD171" s="18">
        <f t="shared" si="48"/>
        <v>0</v>
      </c>
      <c r="AE171" s="18">
        <f t="shared" si="48"/>
        <v>0</v>
      </c>
      <c r="AF171" s="18">
        <f t="shared" si="48"/>
        <v>0</v>
      </c>
      <c r="AG171" s="18">
        <f t="shared" si="48"/>
        <v>1</v>
      </c>
      <c r="AH171" s="18">
        <f t="shared" si="48"/>
        <v>1</v>
      </c>
      <c r="AI171" s="18">
        <f t="shared" si="48"/>
        <v>1</v>
      </c>
      <c r="AJ171" s="18">
        <f t="shared" si="48"/>
        <v>0</v>
      </c>
      <c r="AK171" s="18">
        <f t="shared" si="48"/>
        <v>0</v>
      </c>
      <c r="AL171" s="18">
        <f t="shared" si="48"/>
        <v>0</v>
      </c>
      <c r="AM171" s="18">
        <f t="shared" si="48"/>
        <v>0</v>
      </c>
      <c r="AN171" s="18">
        <f t="shared" si="48"/>
        <v>1</v>
      </c>
      <c r="AO171" s="18">
        <f t="shared" si="48"/>
        <v>0</v>
      </c>
      <c r="AQ171" s="28" t="str">
        <f t="shared" si="46"/>
        <v xml:space="preserve">    0x11B6,  // alien</v>
      </c>
    </row>
    <row r="172" spans="1:43" ht="18.75" x14ac:dyDescent="0.3">
      <c r="A172" s="6"/>
      <c r="B172" s="16">
        <v>150</v>
      </c>
      <c r="C172" s="19" t="str">
        <f t="shared" si="43"/>
        <v>96</v>
      </c>
      <c r="D172" s="24" t="s">
        <v>71</v>
      </c>
      <c r="E172" s="21">
        <v>1</v>
      </c>
      <c r="F172" s="21">
        <v>1</v>
      </c>
      <c r="G172" s="21">
        <v>0</v>
      </c>
      <c r="H172" s="21">
        <v>0</v>
      </c>
      <c r="I172" s="21">
        <v>0</v>
      </c>
      <c r="J172" s="21">
        <v>0</v>
      </c>
      <c r="K172" s="21">
        <v>0</v>
      </c>
      <c r="L172" s="21">
        <v>0</v>
      </c>
      <c r="M172" s="21">
        <v>1</v>
      </c>
      <c r="N172" s="21">
        <v>1</v>
      </c>
      <c r="O172" s="21">
        <v>1</v>
      </c>
      <c r="P172" s="21">
        <v>0</v>
      </c>
      <c r="Q172" s="21">
        <v>1</v>
      </c>
      <c r="R172" s="21">
        <v>1</v>
      </c>
      <c r="S172" s="21">
        <v>0</v>
      </c>
      <c r="T172" s="21">
        <v>0</v>
      </c>
      <c r="U172" s="22">
        <f t="shared" si="44"/>
        <v>16822</v>
      </c>
      <c r="V172" s="19" t="str">
        <f t="shared" si="45"/>
        <v>41B6</v>
      </c>
      <c r="W172" s="7"/>
      <c r="X172" s="23">
        <v>2613</v>
      </c>
      <c r="Y172" s="19" t="str">
        <f t="shared" si="42"/>
        <v>0A35</v>
      </c>
      <c r="Z172" s="18">
        <f t="shared" si="40"/>
        <v>1</v>
      </c>
      <c r="AA172" s="18">
        <f t="shared" si="48"/>
        <v>1</v>
      </c>
      <c r="AB172" s="18">
        <f t="shared" si="48"/>
        <v>0</v>
      </c>
      <c r="AC172" s="18">
        <f t="shared" si="48"/>
        <v>0</v>
      </c>
      <c r="AD172" s="18">
        <f t="shared" si="48"/>
        <v>0</v>
      </c>
      <c r="AE172" s="18">
        <f t="shared" si="48"/>
        <v>0</v>
      </c>
      <c r="AF172" s="18">
        <f t="shared" si="48"/>
        <v>1</v>
      </c>
      <c r="AG172" s="18">
        <f t="shared" si="48"/>
        <v>1</v>
      </c>
      <c r="AH172" s="18">
        <f t="shared" si="48"/>
        <v>0</v>
      </c>
      <c r="AI172" s="18">
        <f t="shared" si="48"/>
        <v>0</v>
      </c>
      <c r="AJ172" s="18">
        <f t="shared" si="48"/>
        <v>0</v>
      </c>
      <c r="AK172" s="18">
        <f t="shared" si="48"/>
        <v>0</v>
      </c>
      <c r="AL172" s="18">
        <f t="shared" si="48"/>
        <v>1</v>
      </c>
      <c r="AM172" s="18">
        <f t="shared" si="48"/>
        <v>0</v>
      </c>
      <c r="AN172" s="18">
        <f t="shared" si="48"/>
        <v>0</v>
      </c>
      <c r="AO172" s="18">
        <f t="shared" si="48"/>
        <v>1</v>
      </c>
      <c r="AQ172" s="28" t="str">
        <f t="shared" si="46"/>
        <v xml:space="preserve">    0x41B6,  // alien</v>
      </c>
    </row>
    <row r="173" spans="1:43" ht="18.75" x14ac:dyDescent="0.3">
      <c r="A173" s="6"/>
      <c r="B173" s="16">
        <v>151</v>
      </c>
      <c r="C173" s="19" t="str">
        <f t="shared" si="43"/>
        <v>97</v>
      </c>
      <c r="D173" s="24" t="s">
        <v>71</v>
      </c>
      <c r="E173" s="21">
        <v>1</v>
      </c>
      <c r="F173" s="21">
        <v>1</v>
      </c>
      <c r="G173" s="21">
        <v>0</v>
      </c>
      <c r="H173" s="21">
        <v>0</v>
      </c>
      <c r="I173" s="21">
        <v>0</v>
      </c>
      <c r="J173" s="21">
        <v>0</v>
      </c>
      <c r="K173" s="21">
        <v>0</v>
      </c>
      <c r="L173" s="21">
        <v>0</v>
      </c>
      <c r="M173" s="21">
        <v>1</v>
      </c>
      <c r="N173" s="21">
        <v>1</v>
      </c>
      <c r="O173" s="21">
        <v>1</v>
      </c>
      <c r="P173" s="21">
        <v>0</v>
      </c>
      <c r="Q173" s="21">
        <v>1</v>
      </c>
      <c r="R173" s="21">
        <v>1</v>
      </c>
      <c r="S173" s="21">
        <v>0</v>
      </c>
      <c r="T173" s="21">
        <v>1</v>
      </c>
      <c r="U173" s="22">
        <f t="shared" si="44"/>
        <v>18870</v>
      </c>
      <c r="V173" s="19" t="str">
        <f t="shared" si="45"/>
        <v>49B6</v>
      </c>
      <c r="W173" s="7"/>
      <c r="X173" s="23">
        <v>457</v>
      </c>
      <c r="Y173" s="19" t="str">
        <f t="shared" si="42"/>
        <v>01C9</v>
      </c>
      <c r="Z173" s="18">
        <f t="shared" si="40"/>
        <v>0</v>
      </c>
      <c r="AA173" s="18">
        <f t="shared" si="48"/>
        <v>0</v>
      </c>
      <c r="AB173" s="18">
        <f t="shared" si="48"/>
        <v>1</v>
      </c>
      <c r="AC173" s="18">
        <f t="shared" si="48"/>
        <v>0</v>
      </c>
      <c r="AD173" s="18">
        <f t="shared" si="48"/>
        <v>0</v>
      </c>
      <c r="AE173" s="18">
        <f t="shared" si="48"/>
        <v>0</v>
      </c>
      <c r="AF173" s="18">
        <f t="shared" si="48"/>
        <v>0</v>
      </c>
      <c r="AG173" s="18">
        <f t="shared" si="48"/>
        <v>1</v>
      </c>
      <c r="AH173" s="18">
        <f t="shared" si="48"/>
        <v>1</v>
      </c>
      <c r="AI173" s="18">
        <f t="shared" si="48"/>
        <v>1</v>
      </c>
      <c r="AJ173" s="18">
        <f t="shared" si="48"/>
        <v>0</v>
      </c>
      <c r="AK173" s="18">
        <f t="shared" si="48"/>
        <v>1</v>
      </c>
      <c r="AL173" s="18">
        <f t="shared" si="48"/>
        <v>0</v>
      </c>
      <c r="AM173" s="18">
        <f t="shared" si="48"/>
        <v>0</v>
      </c>
      <c r="AN173" s="18">
        <f t="shared" si="48"/>
        <v>0</v>
      </c>
      <c r="AO173" s="18">
        <f t="shared" si="48"/>
        <v>0</v>
      </c>
      <c r="AQ173" s="28" t="str">
        <f t="shared" si="46"/>
        <v xml:space="preserve">    0x49B6,  // alien</v>
      </c>
    </row>
    <row r="174" spans="1:43" ht="18.75" x14ac:dyDescent="0.3">
      <c r="A174" s="6"/>
      <c r="B174" s="16">
        <v>152</v>
      </c>
      <c r="C174" s="19" t="str">
        <f t="shared" si="43"/>
        <v>98</v>
      </c>
      <c r="D174" s="24" t="s">
        <v>71</v>
      </c>
      <c r="E174" s="21">
        <v>0</v>
      </c>
      <c r="F174" s="21">
        <v>0</v>
      </c>
      <c r="G174" s="21">
        <v>0</v>
      </c>
      <c r="H174" s="21">
        <v>0</v>
      </c>
      <c r="I174" s="21">
        <v>1</v>
      </c>
      <c r="J174" s="21">
        <v>1</v>
      </c>
      <c r="K174" s="21">
        <v>0</v>
      </c>
      <c r="L174" s="21">
        <v>0</v>
      </c>
      <c r="M174" s="21">
        <v>0</v>
      </c>
      <c r="N174" s="21">
        <v>0</v>
      </c>
      <c r="O174" s="21">
        <v>0</v>
      </c>
      <c r="P174" s="21">
        <v>0</v>
      </c>
      <c r="Q174" s="21">
        <v>0</v>
      </c>
      <c r="R174" s="21">
        <v>1</v>
      </c>
      <c r="S174" s="21">
        <v>0</v>
      </c>
      <c r="T174" s="21">
        <v>1</v>
      </c>
      <c r="U174" s="22">
        <f t="shared" si="44"/>
        <v>27648</v>
      </c>
      <c r="V174" s="19" t="str">
        <f t="shared" si="45"/>
        <v>6C00</v>
      </c>
      <c r="W174" s="7"/>
      <c r="X174" s="23">
        <v>9636</v>
      </c>
      <c r="Y174" s="19" t="str">
        <f t="shared" si="42"/>
        <v>25A4</v>
      </c>
      <c r="Z174" s="18">
        <f t="shared" si="40"/>
        <v>1</v>
      </c>
      <c r="AA174" s="18">
        <f t="shared" si="48"/>
        <v>1</v>
      </c>
      <c r="AB174" s="18">
        <f t="shared" si="48"/>
        <v>0</v>
      </c>
      <c r="AC174" s="18">
        <f t="shared" si="48"/>
        <v>0</v>
      </c>
      <c r="AD174" s="18">
        <f t="shared" si="48"/>
        <v>1</v>
      </c>
      <c r="AE174" s="18">
        <f t="shared" si="48"/>
        <v>1</v>
      </c>
      <c r="AF174" s="18">
        <f t="shared" si="48"/>
        <v>0</v>
      </c>
      <c r="AG174" s="18">
        <f t="shared" si="48"/>
        <v>0</v>
      </c>
      <c r="AH174" s="18">
        <f t="shared" si="48"/>
        <v>1</v>
      </c>
      <c r="AI174" s="18">
        <f t="shared" si="48"/>
        <v>1</v>
      </c>
      <c r="AJ174" s="18">
        <f t="shared" si="48"/>
        <v>0</v>
      </c>
      <c r="AK174" s="18">
        <f t="shared" si="48"/>
        <v>0</v>
      </c>
      <c r="AL174" s="18">
        <f t="shared" si="48"/>
        <v>0</v>
      </c>
      <c r="AM174" s="18">
        <f t="shared" si="48"/>
        <v>0</v>
      </c>
      <c r="AN174" s="18">
        <f t="shared" si="48"/>
        <v>0</v>
      </c>
      <c r="AO174" s="18">
        <f t="shared" si="48"/>
        <v>0</v>
      </c>
      <c r="AQ174" s="28" t="str">
        <f t="shared" si="46"/>
        <v xml:space="preserve">    0x6C00,  // alien</v>
      </c>
    </row>
    <row r="175" spans="1:43" ht="18.75" x14ac:dyDescent="0.3">
      <c r="A175" s="6"/>
      <c r="B175" s="16">
        <v>153</v>
      </c>
      <c r="C175" s="19" t="str">
        <f t="shared" si="43"/>
        <v>99</v>
      </c>
      <c r="D175" s="24" t="s">
        <v>71</v>
      </c>
      <c r="E175" s="21">
        <v>1</v>
      </c>
      <c r="F175" s="21">
        <v>1</v>
      </c>
      <c r="G175" s="21">
        <v>0</v>
      </c>
      <c r="H175" s="21">
        <v>0</v>
      </c>
      <c r="I175" s="21">
        <v>0</v>
      </c>
      <c r="J175" s="21">
        <v>0</v>
      </c>
      <c r="K175" s="21">
        <v>0</v>
      </c>
      <c r="L175" s="21">
        <v>0</v>
      </c>
      <c r="M175" s="21">
        <v>0</v>
      </c>
      <c r="N175" s="21">
        <v>0</v>
      </c>
      <c r="O175" s="21">
        <v>1</v>
      </c>
      <c r="P175" s="21">
        <v>0</v>
      </c>
      <c r="Q175" s="21">
        <v>1</v>
      </c>
      <c r="R175" s="21">
        <v>0</v>
      </c>
      <c r="S175" s="21">
        <v>0</v>
      </c>
      <c r="T175" s="21">
        <v>0</v>
      </c>
      <c r="U175" s="22">
        <f t="shared" si="44"/>
        <v>54</v>
      </c>
      <c r="V175" s="19" t="str">
        <f t="shared" si="45"/>
        <v>0036</v>
      </c>
      <c r="W175" s="7"/>
      <c r="X175" s="23">
        <v>4589</v>
      </c>
      <c r="Y175" s="19" t="str">
        <f t="shared" si="42"/>
        <v>11ED</v>
      </c>
      <c r="Z175" s="18">
        <f t="shared" si="40"/>
        <v>1</v>
      </c>
      <c r="AA175" s="18">
        <f t="shared" si="48"/>
        <v>1</v>
      </c>
      <c r="AB175" s="18">
        <f t="shared" si="48"/>
        <v>1</v>
      </c>
      <c r="AC175" s="18">
        <f t="shared" si="48"/>
        <v>0</v>
      </c>
      <c r="AD175" s="18">
        <f t="shared" si="48"/>
        <v>0</v>
      </c>
      <c r="AE175" s="18">
        <f t="shared" si="48"/>
        <v>0</v>
      </c>
      <c r="AF175" s="18">
        <f t="shared" si="48"/>
        <v>0</v>
      </c>
      <c r="AG175" s="18">
        <f t="shared" si="48"/>
        <v>1</v>
      </c>
      <c r="AH175" s="18">
        <f t="shared" si="48"/>
        <v>1</v>
      </c>
      <c r="AI175" s="18">
        <f t="shared" si="48"/>
        <v>1</v>
      </c>
      <c r="AJ175" s="18">
        <f t="shared" si="48"/>
        <v>0</v>
      </c>
      <c r="AK175" s="18">
        <f t="shared" si="48"/>
        <v>1</v>
      </c>
      <c r="AL175" s="18">
        <f t="shared" si="48"/>
        <v>0</v>
      </c>
      <c r="AM175" s="18">
        <f t="shared" si="48"/>
        <v>0</v>
      </c>
      <c r="AN175" s="18">
        <f t="shared" si="48"/>
        <v>1</v>
      </c>
      <c r="AO175" s="18">
        <f t="shared" si="48"/>
        <v>0</v>
      </c>
      <c r="AQ175" s="28" t="str">
        <f t="shared" si="46"/>
        <v xml:space="preserve">    0x0036,  // alien</v>
      </c>
    </row>
    <row r="176" spans="1:43" ht="18.75" x14ac:dyDescent="0.3">
      <c r="A176" s="6"/>
      <c r="B176" s="16">
        <v>154</v>
      </c>
      <c r="C176" s="19" t="str">
        <f t="shared" si="43"/>
        <v>9A</v>
      </c>
      <c r="D176" s="24" t="s">
        <v>71</v>
      </c>
      <c r="E176" s="21">
        <v>0</v>
      </c>
      <c r="F176" s="21">
        <v>0</v>
      </c>
      <c r="G176" s="21">
        <v>0</v>
      </c>
      <c r="H176" s="21">
        <v>0</v>
      </c>
      <c r="I176" s="21">
        <v>0</v>
      </c>
      <c r="J176" s="21">
        <v>0</v>
      </c>
      <c r="K176" s="21">
        <v>0</v>
      </c>
      <c r="L176" s="21">
        <v>0</v>
      </c>
      <c r="M176" s="21">
        <v>1</v>
      </c>
      <c r="N176" s="21">
        <v>1</v>
      </c>
      <c r="O176" s="21">
        <v>0</v>
      </c>
      <c r="P176" s="21">
        <v>0</v>
      </c>
      <c r="Q176" s="21">
        <v>0</v>
      </c>
      <c r="R176" s="21">
        <v>1</v>
      </c>
      <c r="S176" s="21">
        <v>0</v>
      </c>
      <c r="T176" s="21">
        <v>1</v>
      </c>
      <c r="U176" s="22">
        <f t="shared" si="44"/>
        <v>18816</v>
      </c>
      <c r="V176" s="19" t="str">
        <f t="shared" si="45"/>
        <v>4980</v>
      </c>
      <c r="W176" s="7"/>
      <c r="X176" s="23">
        <v>180</v>
      </c>
      <c r="Y176" s="19" t="str">
        <f t="shared" si="42"/>
        <v>00B4</v>
      </c>
      <c r="Z176" s="18">
        <f t="shared" si="40"/>
        <v>1</v>
      </c>
      <c r="AA176" s="18">
        <f t="shared" si="48"/>
        <v>1</v>
      </c>
      <c r="AB176" s="18">
        <f t="shared" si="48"/>
        <v>0</v>
      </c>
      <c r="AC176" s="18">
        <f t="shared" si="48"/>
        <v>0</v>
      </c>
      <c r="AD176" s="18">
        <f t="shared" si="48"/>
        <v>0</v>
      </c>
      <c r="AE176" s="18">
        <f t="shared" si="48"/>
        <v>0</v>
      </c>
      <c r="AF176" s="18">
        <f t="shared" si="48"/>
        <v>0</v>
      </c>
      <c r="AG176" s="18">
        <f t="shared" si="48"/>
        <v>0</v>
      </c>
      <c r="AH176" s="18">
        <f t="shared" si="48"/>
        <v>0</v>
      </c>
      <c r="AI176" s="18">
        <f t="shared" si="48"/>
        <v>1</v>
      </c>
      <c r="AJ176" s="18">
        <f t="shared" si="48"/>
        <v>0</v>
      </c>
      <c r="AK176" s="18">
        <f t="shared" si="48"/>
        <v>0</v>
      </c>
      <c r="AL176" s="18">
        <f t="shared" si="48"/>
        <v>1</v>
      </c>
      <c r="AM176" s="18">
        <f t="shared" si="48"/>
        <v>0</v>
      </c>
      <c r="AN176" s="18">
        <f t="shared" si="48"/>
        <v>0</v>
      </c>
      <c r="AO176" s="18">
        <f t="shared" si="48"/>
        <v>0</v>
      </c>
      <c r="AQ176" s="28" t="str">
        <f t="shared" si="46"/>
        <v xml:space="preserve">    0x4980,  // alien</v>
      </c>
    </row>
    <row r="177" spans="1:43" ht="18.75" x14ac:dyDescent="0.3">
      <c r="A177" s="6"/>
      <c r="B177" s="16">
        <v>155</v>
      </c>
      <c r="C177" s="19" t="str">
        <f t="shared" si="43"/>
        <v>9B</v>
      </c>
      <c r="D177" s="24" t="s">
        <v>71</v>
      </c>
      <c r="E177" s="21">
        <v>0</v>
      </c>
      <c r="F177" s="21">
        <v>0</v>
      </c>
      <c r="G177" s="21">
        <v>0</v>
      </c>
      <c r="H177" s="21">
        <v>0</v>
      </c>
      <c r="I177" s="21">
        <v>0</v>
      </c>
      <c r="J177" s="21">
        <v>0</v>
      </c>
      <c r="K177" s="21">
        <v>0</v>
      </c>
      <c r="L177" s="21">
        <v>0</v>
      </c>
      <c r="M177" s="21">
        <v>1</v>
      </c>
      <c r="N177" s="21">
        <v>1</v>
      </c>
      <c r="O177" s="21">
        <v>1</v>
      </c>
      <c r="P177" s="21">
        <v>0</v>
      </c>
      <c r="Q177" s="21">
        <v>1</v>
      </c>
      <c r="R177" s="21">
        <v>0</v>
      </c>
      <c r="S177" s="21">
        <v>0</v>
      </c>
      <c r="T177" s="21">
        <v>0</v>
      </c>
      <c r="U177" s="22">
        <f t="shared" si="44"/>
        <v>402</v>
      </c>
      <c r="V177" s="19" t="str">
        <f t="shared" si="45"/>
        <v>0192</v>
      </c>
      <c r="W177" s="7"/>
      <c r="X177" s="23">
        <v>17941</v>
      </c>
      <c r="Y177" s="19" t="str">
        <f t="shared" si="42"/>
        <v>4615</v>
      </c>
      <c r="Z177" s="18">
        <f t="shared" si="40"/>
        <v>1</v>
      </c>
      <c r="AA177" s="18">
        <f t="shared" si="48"/>
        <v>0</v>
      </c>
      <c r="AB177" s="18">
        <f t="shared" si="48"/>
        <v>0</v>
      </c>
      <c r="AC177" s="18">
        <f t="shared" si="48"/>
        <v>0</v>
      </c>
      <c r="AD177" s="18">
        <f t="shared" si="48"/>
        <v>1</v>
      </c>
      <c r="AE177" s="18">
        <f t="shared" si="48"/>
        <v>0</v>
      </c>
      <c r="AF177" s="18">
        <f t="shared" si="48"/>
        <v>1</v>
      </c>
      <c r="AG177" s="18">
        <f t="shared" si="48"/>
        <v>1</v>
      </c>
      <c r="AH177" s="18">
        <f t="shared" si="48"/>
        <v>0</v>
      </c>
      <c r="AI177" s="18">
        <f t="shared" si="48"/>
        <v>0</v>
      </c>
      <c r="AJ177" s="18">
        <f t="shared" si="48"/>
        <v>0</v>
      </c>
      <c r="AK177" s="18">
        <f t="shared" si="48"/>
        <v>0</v>
      </c>
      <c r="AL177" s="18">
        <f t="shared" si="48"/>
        <v>1</v>
      </c>
      <c r="AM177" s="18">
        <f t="shared" si="48"/>
        <v>1</v>
      </c>
      <c r="AN177" s="18">
        <f t="shared" si="48"/>
        <v>0</v>
      </c>
      <c r="AO177" s="18">
        <f t="shared" si="48"/>
        <v>0</v>
      </c>
      <c r="AQ177" s="28" t="str">
        <f t="shared" si="46"/>
        <v xml:space="preserve">    0x0192,  // alien</v>
      </c>
    </row>
    <row r="178" spans="1:43" ht="18.75" x14ac:dyDescent="0.3">
      <c r="A178" s="6"/>
      <c r="B178" s="16">
        <v>156</v>
      </c>
      <c r="C178" s="19" t="str">
        <f t="shared" si="43"/>
        <v>9C</v>
      </c>
      <c r="D178" s="24" t="s">
        <v>71</v>
      </c>
      <c r="E178" s="21">
        <v>0</v>
      </c>
      <c r="F178" s="21">
        <v>1</v>
      </c>
      <c r="G178" s="21">
        <v>1</v>
      </c>
      <c r="H178" s="21">
        <v>0</v>
      </c>
      <c r="I178" s="21">
        <v>0</v>
      </c>
      <c r="J178" s="21">
        <v>0</v>
      </c>
      <c r="K178" s="21">
        <v>0</v>
      </c>
      <c r="L178" s="21">
        <v>0</v>
      </c>
      <c r="M178" s="21">
        <v>1</v>
      </c>
      <c r="N178" s="21">
        <v>1</v>
      </c>
      <c r="O178" s="21">
        <v>0</v>
      </c>
      <c r="P178" s="21">
        <v>1</v>
      </c>
      <c r="Q178" s="21">
        <v>0</v>
      </c>
      <c r="R178" s="21">
        <v>0</v>
      </c>
      <c r="S178" s="21">
        <v>1</v>
      </c>
      <c r="T178" s="21">
        <v>1</v>
      </c>
      <c r="U178" s="22">
        <f t="shared" si="44"/>
        <v>6632</v>
      </c>
      <c r="V178" s="19" t="str">
        <f t="shared" si="45"/>
        <v>19E8</v>
      </c>
      <c r="W178" s="7"/>
      <c r="X178" s="23">
        <v>18018</v>
      </c>
      <c r="Y178" s="19" t="str">
        <f t="shared" si="42"/>
        <v>4662</v>
      </c>
      <c r="Z178" s="18">
        <f t="shared" si="40"/>
        <v>0</v>
      </c>
      <c r="AA178" s="18">
        <f t="shared" si="48"/>
        <v>1</v>
      </c>
      <c r="AB178" s="18">
        <f t="shared" si="48"/>
        <v>1</v>
      </c>
      <c r="AC178" s="18">
        <f t="shared" si="48"/>
        <v>0</v>
      </c>
      <c r="AD178" s="18">
        <f t="shared" si="48"/>
        <v>1</v>
      </c>
      <c r="AE178" s="18">
        <f t="shared" si="48"/>
        <v>0</v>
      </c>
      <c r="AF178" s="18">
        <f t="shared" si="48"/>
        <v>1</v>
      </c>
      <c r="AG178" s="18">
        <f t="shared" si="48"/>
        <v>0</v>
      </c>
      <c r="AH178" s="18">
        <f t="shared" si="48"/>
        <v>0</v>
      </c>
      <c r="AI178" s="18">
        <f t="shared" si="48"/>
        <v>0</v>
      </c>
      <c r="AJ178" s="18">
        <f t="shared" si="48"/>
        <v>1</v>
      </c>
      <c r="AK178" s="18">
        <f t="shared" si="48"/>
        <v>0</v>
      </c>
      <c r="AL178" s="18">
        <f t="shared" si="48"/>
        <v>0</v>
      </c>
      <c r="AM178" s="18">
        <f t="shared" si="48"/>
        <v>1</v>
      </c>
      <c r="AN178" s="18">
        <f t="shared" si="48"/>
        <v>0</v>
      </c>
      <c r="AO178" s="18">
        <f t="shared" si="48"/>
        <v>0</v>
      </c>
      <c r="AQ178" s="28" t="str">
        <f t="shared" si="46"/>
        <v xml:space="preserve">    0x19E8,  // alien</v>
      </c>
    </row>
    <row r="179" spans="1:43" ht="18.75" x14ac:dyDescent="0.3">
      <c r="A179" s="6"/>
      <c r="B179" s="16">
        <v>157</v>
      </c>
      <c r="C179" s="19" t="str">
        <f t="shared" si="43"/>
        <v>9D</v>
      </c>
      <c r="D179" s="24" t="s">
        <v>71</v>
      </c>
      <c r="E179" s="21">
        <v>0</v>
      </c>
      <c r="F179" s="21">
        <v>0</v>
      </c>
      <c r="G179" s="21">
        <v>0</v>
      </c>
      <c r="H179" s="21">
        <v>1</v>
      </c>
      <c r="I179" s="21">
        <v>0</v>
      </c>
      <c r="J179" s="21">
        <v>1</v>
      </c>
      <c r="K179" s="21">
        <v>0</v>
      </c>
      <c r="L179" s="21">
        <v>0</v>
      </c>
      <c r="M179" s="21">
        <v>1</v>
      </c>
      <c r="N179" s="21">
        <v>1</v>
      </c>
      <c r="O179" s="21">
        <v>1</v>
      </c>
      <c r="P179" s="21">
        <v>1</v>
      </c>
      <c r="Q179" s="21">
        <v>0</v>
      </c>
      <c r="R179" s="21">
        <v>0</v>
      </c>
      <c r="S179" s="21">
        <v>1</v>
      </c>
      <c r="T179" s="21">
        <v>0</v>
      </c>
      <c r="U179" s="22">
        <f t="shared" ref="U179" si="49">SUMPRODUCT(E$19:T$19,E179:T179)</f>
        <v>45450</v>
      </c>
      <c r="V179" s="19" t="str">
        <f t="shared" ref="V179" si="50">DEC2HEX(U179,4)</f>
        <v>B18A</v>
      </c>
      <c r="W179" s="7"/>
      <c r="X179" s="23">
        <v>18018</v>
      </c>
      <c r="Y179" s="19" t="str">
        <f t="shared" ref="Y179" si="51">DEC2HEX(X179,4)</f>
        <v>4662</v>
      </c>
      <c r="Z179" s="18">
        <f t="shared" si="40"/>
        <v>0</v>
      </c>
      <c r="AA179" s="18">
        <f t="shared" si="48"/>
        <v>1</v>
      </c>
      <c r="AB179" s="18">
        <f t="shared" si="48"/>
        <v>1</v>
      </c>
      <c r="AC179" s="18">
        <f t="shared" si="48"/>
        <v>0</v>
      </c>
      <c r="AD179" s="18">
        <f t="shared" si="48"/>
        <v>1</v>
      </c>
      <c r="AE179" s="18">
        <f t="shared" si="48"/>
        <v>0</v>
      </c>
      <c r="AF179" s="18">
        <f t="shared" si="48"/>
        <v>1</v>
      </c>
      <c r="AG179" s="18">
        <f t="shared" si="48"/>
        <v>0</v>
      </c>
      <c r="AH179" s="18">
        <f t="shared" si="48"/>
        <v>0</v>
      </c>
      <c r="AI179" s="18">
        <f t="shared" si="48"/>
        <v>0</v>
      </c>
      <c r="AJ179" s="18">
        <f t="shared" si="48"/>
        <v>1</v>
      </c>
      <c r="AK179" s="18">
        <f t="shared" si="48"/>
        <v>0</v>
      </c>
      <c r="AL179" s="18">
        <f t="shared" si="48"/>
        <v>0</v>
      </c>
      <c r="AM179" s="18">
        <f t="shared" si="48"/>
        <v>1</v>
      </c>
      <c r="AN179" s="18">
        <f t="shared" si="48"/>
        <v>0</v>
      </c>
      <c r="AO179" s="18">
        <f t="shared" si="48"/>
        <v>0</v>
      </c>
      <c r="AQ179" s="28" t="str">
        <f t="shared" si="46"/>
        <v xml:space="preserve">    0xB18A,  // alien</v>
      </c>
    </row>
    <row r="180" spans="1:43" ht="18.75" x14ac:dyDescent="0.3">
      <c r="A180" s="6"/>
      <c r="B180" s="16">
        <v>158</v>
      </c>
      <c r="C180" s="19" t="str">
        <f t="shared" si="43"/>
        <v>9E</v>
      </c>
      <c r="D180" s="24" t="s">
        <v>71</v>
      </c>
      <c r="E180" s="21">
        <v>0</v>
      </c>
      <c r="F180" s="21">
        <v>0</v>
      </c>
      <c r="G180" s="21">
        <v>0</v>
      </c>
      <c r="H180" s="21">
        <v>0</v>
      </c>
      <c r="I180" s="21">
        <v>1</v>
      </c>
      <c r="J180" s="21">
        <v>0</v>
      </c>
      <c r="K180" s="21">
        <v>1</v>
      </c>
      <c r="L180" s="21">
        <v>0</v>
      </c>
      <c r="M180" s="21">
        <v>1</v>
      </c>
      <c r="N180" s="21">
        <v>1</v>
      </c>
      <c r="O180" s="21">
        <v>0</v>
      </c>
      <c r="P180" s="21">
        <v>1</v>
      </c>
      <c r="Q180" s="21">
        <v>1</v>
      </c>
      <c r="R180" s="21">
        <v>0</v>
      </c>
      <c r="S180" s="21">
        <v>1</v>
      </c>
      <c r="T180" s="21">
        <v>0</v>
      </c>
      <c r="U180" s="22">
        <f t="shared" si="44"/>
        <v>6040</v>
      </c>
      <c r="V180" s="19" t="str">
        <f t="shared" si="45"/>
        <v>1798</v>
      </c>
      <c r="W180" s="7"/>
      <c r="X180" s="23">
        <v>392</v>
      </c>
      <c r="Y180" s="19" t="str">
        <f t="shared" si="42"/>
        <v>0188</v>
      </c>
      <c r="Z180" s="18">
        <f t="shared" si="40"/>
        <v>0</v>
      </c>
      <c r="AA180" s="18">
        <f t="shared" si="48"/>
        <v>0</v>
      </c>
      <c r="AB180" s="18">
        <f t="shared" si="48"/>
        <v>0</v>
      </c>
      <c r="AC180" s="18">
        <f t="shared" si="48"/>
        <v>0</v>
      </c>
      <c r="AD180" s="18">
        <f t="shared" si="48"/>
        <v>0</v>
      </c>
      <c r="AE180" s="18">
        <f t="shared" si="48"/>
        <v>0</v>
      </c>
      <c r="AF180" s="18">
        <f t="shared" si="48"/>
        <v>0</v>
      </c>
      <c r="AG180" s="18">
        <f t="shared" si="48"/>
        <v>0</v>
      </c>
      <c r="AH180" s="18">
        <f t="shared" si="48"/>
        <v>1</v>
      </c>
      <c r="AI180" s="18">
        <f t="shared" si="48"/>
        <v>1</v>
      </c>
      <c r="AJ180" s="18">
        <f t="shared" si="48"/>
        <v>0</v>
      </c>
      <c r="AK180" s="18">
        <f t="shared" si="48"/>
        <v>1</v>
      </c>
      <c r="AL180" s="18">
        <f t="shared" si="48"/>
        <v>0</v>
      </c>
      <c r="AM180" s="18">
        <f t="shared" si="48"/>
        <v>0</v>
      </c>
      <c r="AN180" s="18">
        <f t="shared" si="48"/>
        <v>0</v>
      </c>
      <c r="AO180" s="18">
        <f t="shared" si="48"/>
        <v>0</v>
      </c>
      <c r="AQ180" s="28" t="str">
        <f t="shared" si="46"/>
        <v xml:space="preserve">    0x1798,  // alien</v>
      </c>
    </row>
    <row r="181" spans="1:43" ht="18.75" x14ac:dyDescent="0.3">
      <c r="A181" s="6"/>
      <c r="B181" s="16">
        <v>159</v>
      </c>
      <c r="C181" s="19" t="str">
        <f t="shared" si="43"/>
        <v>9F</v>
      </c>
      <c r="D181" s="24" t="s">
        <v>71</v>
      </c>
      <c r="E181" s="21">
        <v>1</v>
      </c>
      <c r="F181" s="21">
        <v>0</v>
      </c>
      <c r="G181" s="21">
        <v>0</v>
      </c>
      <c r="H181" s="21">
        <v>0</v>
      </c>
      <c r="I181" s="21">
        <v>0</v>
      </c>
      <c r="J181" s="21">
        <v>0</v>
      </c>
      <c r="K181" s="21">
        <v>0</v>
      </c>
      <c r="L181" s="21">
        <v>1</v>
      </c>
      <c r="M181" s="21">
        <v>1</v>
      </c>
      <c r="N181" s="21">
        <v>1</v>
      </c>
      <c r="O181" s="21">
        <v>0</v>
      </c>
      <c r="P181" s="21">
        <v>1</v>
      </c>
      <c r="Q181" s="21">
        <v>0</v>
      </c>
      <c r="R181" s="21">
        <v>1</v>
      </c>
      <c r="S181" s="21">
        <v>1</v>
      </c>
      <c r="T181" s="21">
        <v>0</v>
      </c>
      <c r="U181" s="22">
        <f t="shared" si="44"/>
        <v>20877</v>
      </c>
      <c r="V181" s="19" t="str">
        <f t="shared" si="45"/>
        <v>518D</v>
      </c>
      <c r="W181" s="7"/>
      <c r="X181" s="23">
        <v>13312</v>
      </c>
      <c r="Y181" s="19" t="str">
        <f t="shared" si="42"/>
        <v>3400</v>
      </c>
      <c r="Z181" s="18">
        <f t="shared" si="40"/>
        <v>0</v>
      </c>
      <c r="AA181" s="18">
        <f t="shared" si="48"/>
        <v>0</v>
      </c>
      <c r="AB181" s="18">
        <f t="shared" si="48"/>
        <v>0</v>
      </c>
      <c r="AC181" s="18">
        <f t="shared" si="48"/>
        <v>0</v>
      </c>
      <c r="AD181" s="18">
        <f t="shared" si="48"/>
        <v>1</v>
      </c>
      <c r="AE181" s="18">
        <f t="shared" si="48"/>
        <v>1</v>
      </c>
      <c r="AF181" s="18">
        <f t="shared" si="48"/>
        <v>0</v>
      </c>
      <c r="AG181" s="18">
        <f t="shared" si="48"/>
        <v>0</v>
      </c>
      <c r="AH181" s="18">
        <f t="shared" si="48"/>
        <v>0</v>
      </c>
      <c r="AI181" s="18">
        <f t="shared" si="48"/>
        <v>0</v>
      </c>
      <c r="AJ181" s="18">
        <f t="shared" si="48"/>
        <v>0</v>
      </c>
      <c r="AK181" s="18">
        <f t="shared" si="48"/>
        <v>0</v>
      </c>
      <c r="AL181" s="18">
        <f t="shared" si="48"/>
        <v>0</v>
      </c>
      <c r="AM181" s="18">
        <f t="shared" si="48"/>
        <v>0</v>
      </c>
      <c r="AN181" s="18">
        <f t="shared" si="48"/>
        <v>1</v>
      </c>
      <c r="AO181" s="18">
        <f t="shared" si="48"/>
        <v>0</v>
      </c>
      <c r="AQ181" s="28" t="str">
        <f t="shared" si="46"/>
        <v xml:space="preserve">    0x518D,  // alien</v>
      </c>
    </row>
    <row r="182" spans="1:43" ht="18.75" x14ac:dyDescent="0.3">
      <c r="A182" s="6"/>
      <c r="B182" s="16">
        <v>160</v>
      </c>
      <c r="C182" s="19" t="str">
        <f t="shared" si="43"/>
        <v>A0</v>
      </c>
      <c r="D182" s="24" t="s">
        <v>171</v>
      </c>
      <c r="E182" s="21">
        <v>0</v>
      </c>
      <c r="F182" s="21">
        <v>0</v>
      </c>
      <c r="G182" s="21">
        <v>0</v>
      </c>
      <c r="H182" s="21">
        <v>0</v>
      </c>
      <c r="I182" s="21">
        <v>0</v>
      </c>
      <c r="J182" s="21">
        <v>1</v>
      </c>
      <c r="K182" s="21">
        <v>0</v>
      </c>
      <c r="L182" s="21">
        <v>0</v>
      </c>
      <c r="M182" s="21">
        <v>0</v>
      </c>
      <c r="N182" s="21">
        <v>0</v>
      </c>
      <c r="O182" s="21">
        <v>0</v>
      </c>
      <c r="P182" s="21">
        <v>0</v>
      </c>
      <c r="Q182" s="21">
        <v>0</v>
      </c>
      <c r="R182" s="21">
        <v>0</v>
      </c>
      <c r="S182" s="21">
        <v>0</v>
      </c>
      <c r="T182" s="21">
        <v>0</v>
      </c>
      <c r="U182" s="22">
        <f t="shared" si="44"/>
        <v>8192</v>
      </c>
      <c r="V182" s="19" t="str">
        <f t="shared" si="45"/>
        <v>2000</v>
      </c>
      <c r="W182" s="7"/>
      <c r="X182" s="23">
        <v>8192</v>
      </c>
      <c r="Y182" s="19" t="str">
        <f t="shared" si="42"/>
        <v>2000</v>
      </c>
      <c r="Z182" s="18">
        <f t="shared" si="40"/>
        <v>0</v>
      </c>
      <c r="AA182" s="18">
        <f t="shared" si="48"/>
        <v>0</v>
      </c>
      <c r="AB182" s="18">
        <f t="shared" si="48"/>
        <v>0</v>
      </c>
      <c r="AC182" s="18">
        <f t="shared" si="48"/>
        <v>0</v>
      </c>
      <c r="AD182" s="18">
        <f t="shared" si="48"/>
        <v>0</v>
      </c>
      <c r="AE182" s="18">
        <f t="shared" si="48"/>
        <v>1</v>
      </c>
      <c r="AF182" s="18">
        <f t="shared" si="48"/>
        <v>0</v>
      </c>
      <c r="AG182" s="18">
        <f t="shared" si="48"/>
        <v>0</v>
      </c>
      <c r="AH182" s="18">
        <f t="shared" si="48"/>
        <v>0</v>
      </c>
      <c r="AI182" s="18">
        <f t="shared" si="48"/>
        <v>0</v>
      </c>
      <c r="AJ182" s="18">
        <f t="shared" si="48"/>
        <v>0</v>
      </c>
      <c r="AK182" s="18">
        <f t="shared" si="48"/>
        <v>0</v>
      </c>
      <c r="AL182" s="18">
        <f t="shared" si="48"/>
        <v>0</v>
      </c>
      <c r="AM182" s="18">
        <f t="shared" si="48"/>
        <v>0</v>
      </c>
      <c r="AN182" s="18">
        <f t="shared" si="48"/>
        <v>0</v>
      </c>
      <c r="AO182" s="18">
        <f t="shared" si="48"/>
        <v>0</v>
      </c>
      <c r="AQ182" s="28" t="str">
        <f t="shared" si="46"/>
        <v xml:space="preserve">    0x2000,  // &lt;pattern&gt;</v>
      </c>
    </row>
    <row r="183" spans="1:43" ht="18.75" x14ac:dyDescent="0.3">
      <c r="A183" s="6"/>
      <c r="B183" s="16">
        <v>161</v>
      </c>
      <c r="C183" s="19" t="str">
        <f t="shared" si="43"/>
        <v>A1</v>
      </c>
      <c r="D183" s="24" t="s">
        <v>134</v>
      </c>
      <c r="E183" s="21">
        <v>0</v>
      </c>
      <c r="F183" s="21">
        <v>1</v>
      </c>
      <c r="G183" s="21">
        <v>0</v>
      </c>
      <c r="H183" s="21">
        <v>0</v>
      </c>
      <c r="I183" s="21">
        <v>0</v>
      </c>
      <c r="J183" s="21">
        <v>0</v>
      </c>
      <c r="K183" s="21">
        <v>0</v>
      </c>
      <c r="L183" s="21">
        <v>0</v>
      </c>
      <c r="M183" s="21">
        <v>0</v>
      </c>
      <c r="N183" s="21">
        <v>0</v>
      </c>
      <c r="O183" s="21">
        <v>0</v>
      </c>
      <c r="P183" s="21">
        <v>1</v>
      </c>
      <c r="Q183" s="21">
        <v>1</v>
      </c>
      <c r="R183" s="21">
        <v>0</v>
      </c>
      <c r="S183" s="21">
        <v>0</v>
      </c>
      <c r="T183" s="21">
        <v>1</v>
      </c>
      <c r="U183" s="22">
        <f t="shared" si="44"/>
        <v>2104</v>
      </c>
      <c r="V183" s="19" t="str">
        <f t="shared" si="45"/>
        <v>0838</v>
      </c>
      <c r="W183" s="7"/>
      <c r="X183" s="23">
        <v>2104</v>
      </c>
      <c r="Y183" s="19" t="str">
        <f t="shared" si="42"/>
        <v>0838</v>
      </c>
      <c r="Z183" s="18">
        <f t="shared" si="40"/>
        <v>0</v>
      </c>
      <c r="AA183" s="18">
        <f t="shared" si="48"/>
        <v>1</v>
      </c>
      <c r="AB183" s="18">
        <f t="shared" si="48"/>
        <v>0</v>
      </c>
      <c r="AC183" s="18">
        <f t="shared" si="48"/>
        <v>0</v>
      </c>
      <c r="AD183" s="18">
        <f t="shared" si="48"/>
        <v>0</v>
      </c>
      <c r="AE183" s="18">
        <f t="shared" si="48"/>
        <v>0</v>
      </c>
      <c r="AF183" s="18">
        <f t="shared" si="48"/>
        <v>0</v>
      </c>
      <c r="AG183" s="18">
        <f t="shared" si="48"/>
        <v>0</v>
      </c>
      <c r="AH183" s="18">
        <f t="shared" si="48"/>
        <v>0</v>
      </c>
      <c r="AI183" s="18">
        <f t="shared" si="48"/>
        <v>0</v>
      </c>
      <c r="AJ183" s="18">
        <f t="shared" si="48"/>
        <v>0</v>
      </c>
      <c r="AK183" s="18">
        <f t="shared" si="48"/>
        <v>1</v>
      </c>
      <c r="AL183" s="18">
        <f t="shared" si="48"/>
        <v>1</v>
      </c>
      <c r="AM183" s="18">
        <f t="shared" si="48"/>
        <v>0</v>
      </c>
      <c r="AN183" s="18">
        <f t="shared" si="48"/>
        <v>0</v>
      </c>
      <c r="AO183" s="18">
        <f t="shared" si="48"/>
        <v>1</v>
      </c>
      <c r="AQ183" s="28" t="str">
        <f t="shared" si="46"/>
        <v xml:space="preserve">    0x0838,  // !</v>
      </c>
    </row>
    <row r="184" spans="1:43" ht="18.75" x14ac:dyDescent="0.3">
      <c r="A184" s="6"/>
      <c r="B184" s="16">
        <v>162</v>
      </c>
      <c r="C184" s="19" t="str">
        <f t="shared" si="43"/>
        <v>A2</v>
      </c>
      <c r="D184" s="24" t="s">
        <v>135</v>
      </c>
      <c r="E184" s="21">
        <v>0</v>
      </c>
      <c r="F184" s="21">
        <v>0</v>
      </c>
      <c r="G184" s="21">
        <v>0</v>
      </c>
      <c r="H184" s="21">
        <v>0</v>
      </c>
      <c r="I184" s="21">
        <v>0</v>
      </c>
      <c r="J184" s="21">
        <v>0</v>
      </c>
      <c r="K184" s="21">
        <v>0</v>
      </c>
      <c r="L184" s="21">
        <v>1</v>
      </c>
      <c r="M184" s="21">
        <v>0</v>
      </c>
      <c r="N184" s="21">
        <v>0</v>
      </c>
      <c r="O184" s="21">
        <v>0</v>
      </c>
      <c r="P184" s="21">
        <v>1</v>
      </c>
      <c r="Q184" s="21">
        <v>0</v>
      </c>
      <c r="R184" s="21">
        <v>0</v>
      </c>
      <c r="S184" s="21">
        <v>0</v>
      </c>
      <c r="T184" s="21">
        <v>0</v>
      </c>
      <c r="U184" s="22">
        <f t="shared" si="44"/>
        <v>9</v>
      </c>
      <c r="V184" s="19" t="str">
        <f t="shared" si="45"/>
        <v>0009</v>
      </c>
      <c r="W184" s="7"/>
      <c r="X184" s="23">
        <v>9</v>
      </c>
      <c r="Y184" s="19" t="str">
        <f t="shared" si="42"/>
        <v>0009</v>
      </c>
      <c r="Z184" s="18">
        <f t="shared" si="40"/>
        <v>0</v>
      </c>
      <c r="AA184" s="18">
        <f t="shared" si="48"/>
        <v>0</v>
      </c>
      <c r="AB184" s="18">
        <f t="shared" si="48"/>
        <v>0</v>
      </c>
      <c r="AC184" s="18">
        <f t="shared" si="48"/>
        <v>0</v>
      </c>
      <c r="AD184" s="18">
        <f t="shared" si="48"/>
        <v>0</v>
      </c>
      <c r="AE184" s="18">
        <f t="shared" si="48"/>
        <v>0</v>
      </c>
      <c r="AF184" s="18">
        <f t="shared" si="48"/>
        <v>0</v>
      </c>
      <c r="AG184" s="18">
        <f t="shared" si="48"/>
        <v>1</v>
      </c>
      <c r="AH184" s="18">
        <f t="shared" si="48"/>
        <v>0</v>
      </c>
      <c r="AI184" s="18">
        <f t="shared" si="48"/>
        <v>0</v>
      </c>
      <c r="AJ184" s="18">
        <f t="shared" si="48"/>
        <v>0</v>
      </c>
      <c r="AK184" s="18">
        <f t="shared" si="48"/>
        <v>1</v>
      </c>
      <c r="AL184" s="18">
        <f t="shared" si="48"/>
        <v>0</v>
      </c>
      <c r="AM184" s="18">
        <f t="shared" si="48"/>
        <v>0</v>
      </c>
      <c r="AN184" s="18">
        <f t="shared" si="48"/>
        <v>0</v>
      </c>
      <c r="AO184" s="18">
        <f t="shared" si="48"/>
        <v>0</v>
      </c>
      <c r="AQ184" s="28" t="str">
        <f t="shared" si="46"/>
        <v xml:space="preserve">    0x0009,  // "</v>
      </c>
    </row>
    <row r="185" spans="1:43" ht="18.75" x14ac:dyDescent="0.3">
      <c r="A185" s="6"/>
      <c r="B185" s="16">
        <v>163</v>
      </c>
      <c r="C185" s="19" t="str">
        <f t="shared" si="43"/>
        <v>A3</v>
      </c>
      <c r="D185" s="24" t="s">
        <v>136</v>
      </c>
      <c r="E185" s="21">
        <v>1</v>
      </c>
      <c r="F185" s="21">
        <v>1</v>
      </c>
      <c r="G185" s="21">
        <v>0</v>
      </c>
      <c r="H185" s="21">
        <v>0</v>
      </c>
      <c r="I185" s="21">
        <v>0</v>
      </c>
      <c r="J185" s="21">
        <v>0</v>
      </c>
      <c r="K185" s="21">
        <v>1</v>
      </c>
      <c r="L185" s="21">
        <v>1</v>
      </c>
      <c r="M185" s="21">
        <v>1</v>
      </c>
      <c r="N185" s="21">
        <v>1</v>
      </c>
      <c r="O185" s="21">
        <v>0</v>
      </c>
      <c r="P185" s="21">
        <v>1</v>
      </c>
      <c r="Q185" s="21">
        <v>0</v>
      </c>
      <c r="R185" s="21">
        <v>0</v>
      </c>
      <c r="S185" s="21">
        <v>1</v>
      </c>
      <c r="T185" s="21">
        <v>0</v>
      </c>
      <c r="U185" s="22">
        <f t="shared" si="44"/>
        <v>5037</v>
      </c>
      <c r="V185" s="19" t="str">
        <f t="shared" si="45"/>
        <v>13AD</v>
      </c>
      <c r="W185" s="7"/>
      <c r="X185" s="23">
        <v>5037</v>
      </c>
      <c r="Y185" s="19" t="str">
        <f t="shared" si="42"/>
        <v>13AD</v>
      </c>
      <c r="Z185" s="18">
        <f t="shared" si="40"/>
        <v>1</v>
      </c>
      <c r="AA185" s="18">
        <f t="shared" si="48"/>
        <v>1</v>
      </c>
      <c r="AB185" s="18">
        <f t="shared" si="48"/>
        <v>0</v>
      </c>
      <c r="AC185" s="18">
        <f t="shared" si="48"/>
        <v>0</v>
      </c>
      <c r="AD185" s="18">
        <f t="shared" si="48"/>
        <v>0</v>
      </c>
      <c r="AE185" s="18">
        <f t="shared" si="48"/>
        <v>0</v>
      </c>
      <c r="AF185" s="18">
        <f t="shared" si="48"/>
        <v>1</v>
      </c>
      <c r="AG185" s="18">
        <f t="shared" si="48"/>
        <v>1</v>
      </c>
      <c r="AH185" s="18">
        <f t="shared" si="48"/>
        <v>1</v>
      </c>
      <c r="AI185" s="18">
        <f t="shared" si="48"/>
        <v>1</v>
      </c>
      <c r="AJ185" s="18">
        <f t="shared" si="48"/>
        <v>0</v>
      </c>
      <c r="AK185" s="18">
        <f t="shared" si="48"/>
        <v>1</v>
      </c>
      <c r="AL185" s="18">
        <f t="shared" si="48"/>
        <v>0</v>
      </c>
      <c r="AM185" s="18">
        <f t="shared" si="48"/>
        <v>0</v>
      </c>
      <c r="AN185" s="18">
        <f t="shared" si="48"/>
        <v>1</v>
      </c>
      <c r="AO185" s="18">
        <f t="shared" si="48"/>
        <v>0</v>
      </c>
      <c r="AQ185" s="28" t="str">
        <f t="shared" si="46"/>
        <v xml:space="preserve">    0x13AD,  // #</v>
      </c>
    </row>
    <row r="186" spans="1:43" ht="18.75" x14ac:dyDescent="0.3">
      <c r="A186" s="6"/>
      <c r="B186" s="16">
        <v>164</v>
      </c>
      <c r="C186" s="19" t="str">
        <f t="shared" si="43"/>
        <v>A4</v>
      </c>
      <c r="D186" s="24" t="s">
        <v>137</v>
      </c>
      <c r="E186" s="21">
        <v>1</v>
      </c>
      <c r="F186" s="21">
        <v>1</v>
      </c>
      <c r="G186" s="21">
        <v>0</v>
      </c>
      <c r="H186" s="21">
        <v>1</v>
      </c>
      <c r="I186" s="21">
        <v>1</v>
      </c>
      <c r="J186" s="21">
        <v>1</v>
      </c>
      <c r="K186" s="21">
        <v>0</v>
      </c>
      <c r="L186" s="21">
        <v>0</v>
      </c>
      <c r="M186" s="21">
        <v>0</v>
      </c>
      <c r="N186" s="21">
        <v>1</v>
      </c>
      <c r="O186" s="21">
        <v>1</v>
      </c>
      <c r="P186" s="21">
        <v>1</v>
      </c>
      <c r="Q186" s="21">
        <v>0</v>
      </c>
      <c r="R186" s="21">
        <v>0</v>
      </c>
      <c r="S186" s="21">
        <v>1</v>
      </c>
      <c r="T186" s="21">
        <v>0</v>
      </c>
      <c r="U186" s="22">
        <f t="shared" si="44"/>
        <v>46254</v>
      </c>
      <c r="V186" s="19" t="str">
        <f t="shared" si="45"/>
        <v>B4AE</v>
      </c>
      <c r="W186" s="7"/>
      <c r="X186" s="23">
        <v>46254</v>
      </c>
      <c r="Y186" s="19" t="str">
        <f t="shared" si="42"/>
        <v>B4AE</v>
      </c>
      <c r="Z186" s="18">
        <f t="shared" si="40"/>
        <v>1</v>
      </c>
      <c r="AA186" s="18">
        <f t="shared" si="48"/>
        <v>1</v>
      </c>
      <c r="AB186" s="18">
        <f t="shared" si="48"/>
        <v>0</v>
      </c>
      <c r="AC186" s="18">
        <f t="shared" si="48"/>
        <v>1</v>
      </c>
      <c r="AD186" s="18">
        <f t="shared" si="48"/>
        <v>1</v>
      </c>
      <c r="AE186" s="18">
        <f t="shared" si="48"/>
        <v>1</v>
      </c>
      <c r="AF186" s="18">
        <f t="shared" si="48"/>
        <v>0</v>
      </c>
      <c r="AG186" s="18">
        <f t="shared" si="48"/>
        <v>0</v>
      </c>
      <c r="AH186" s="18">
        <f t="shared" si="48"/>
        <v>0</v>
      </c>
      <c r="AI186" s="18">
        <f t="shared" si="48"/>
        <v>1</v>
      </c>
      <c r="AJ186" s="18">
        <f t="shared" si="48"/>
        <v>1</v>
      </c>
      <c r="AK186" s="18">
        <f t="shared" si="48"/>
        <v>1</v>
      </c>
      <c r="AL186" s="18">
        <f t="shared" si="48"/>
        <v>0</v>
      </c>
      <c r="AM186" s="18">
        <f t="shared" si="48"/>
        <v>0</v>
      </c>
      <c r="AN186" s="18">
        <f t="shared" si="48"/>
        <v>1</v>
      </c>
      <c r="AO186" s="18">
        <f t="shared" si="48"/>
        <v>0</v>
      </c>
      <c r="AQ186" s="28" t="str">
        <f t="shared" si="46"/>
        <v xml:space="preserve">    0xB4AE,  // $</v>
      </c>
    </row>
    <row r="187" spans="1:43" ht="18.75" x14ac:dyDescent="0.3">
      <c r="A187" s="6"/>
      <c r="B187" s="16">
        <v>165</v>
      </c>
      <c r="C187" s="19" t="str">
        <f t="shared" si="43"/>
        <v>A5</v>
      </c>
      <c r="D187" s="24" t="s">
        <v>138</v>
      </c>
      <c r="E187" s="21">
        <v>0</v>
      </c>
      <c r="F187" s="21">
        <v>0</v>
      </c>
      <c r="G187" s="21">
        <v>0</v>
      </c>
      <c r="H187" s="21">
        <v>1</v>
      </c>
      <c r="I187" s="21">
        <v>0</v>
      </c>
      <c r="J187" s="21">
        <v>0</v>
      </c>
      <c r="K187" s="21">
        <v>0</v>
      </c>
      <c r="L187" s="21">
        <v>1</v>
      </c>
      <c r="M187" s="21">
        <v>1</v>
      </c>
      <c r="N187" s="21">
        <v>1</v>
      </c>
      <c r="O187" s="21">
        <v>1</v>
      </c>
      <c r="P187" s="21">
        <v>0</v>
      </c>
      <c r="Q187" s="21">
        <v>1</v>
      </c>
      <c r="R187" s="21">
        <v>1</v>
      </c>
      <c r="S187" s="21">
        <v>0</v>
      </c>
      <c r="T187" s="21">
        <v>1</v>
      </c>
      <c r="U187" s="22">
        <f t="shared" si="44"/>
        <v>51603</v>
      </c>
      <c r="V187" s="19" t="str">
        <f t="shared" si="45"/>
        <v>C993</v>
      </c>
      <c r="W187" s="7"/>
      <c r="X187" s="23">
        <v>51603</v>
      </c>
      <c r="Y187" s="19" t="str">
        <f t="shared" si="42"/>
        <v>C993</v>
      </c>
      <c r="Z187" s="18">
        <f t="shared" si="40"/>
        <v>0</v>
      </c>
      <c r="AA187" s="18">
        <f t="shared" si="48"/>
        <v>0</v>
      </c>
      <c r="AB187" s="18">
        <f t="shared" si="48"/>
        <v>0</v>
      </c>
      <c r="AC187" s="18">
        <f t="shared" si="48"/>
        <v>1</v>
      </c>
      <c r="AD187" s="18">
        <f t="shared" si="48"/>
        <v>0</v>
      </c>
      <c r="AE187" s="18">
        <f t="shared" si="48"/>
        <v>0</v>
      </c>
      <c r="AF187" s="18">
        <f t="shared" si="48"/>
        <v>0</v>
      </c>
      <c r="AG187" s="18">
        <f t="shared" si="48"/>
        <v>1</v>
      </c>
      <c r="AH187" s="18">
        <f t="shared" si="48"/>
        <v>1</v>
      </c>
      <c r="AI187" s="18">
        <f t="shared" si="48"/>
        <v>1</v>
      </c>
      <c r="AJ187" s="18">
        <f t="shared" si="48"/>
        <v>1</v>
      </c>
      <c r="AK187" s="18">
        <f t="shared" si="48"/>
        <v>0</v>
      </c>
      <c r="AL187" s="18">
        <f t="shared" si="48"/>
        <v>1</v>
      </c>
      <c r="AM187" s="18">
        <f t="shared" si="48"/>
        <v>1</v>
      </c>
      <c r="AN187" s="18">
        <f t="shared" si="48"/>
        <v>0</v>
      </c>
      <c r="AO187" s="18">
        <f t="shared" ref="AA187:AO204" si="52">IF(_xlfn.BITAND($X187,AO$19)=0,0,1)</f>
        <v>1</v>
      </c>
      <c r="AQ187" s="28" t="str">
        <f t="shared" si="46"/>
        <v xml:space="preserve">    0xC993,  // %</v>
      </c>
    </row>
    <row r="188" spans="1:43" ht="18.75" x14ac:dyDescent="0.3">
      <c r="A188" s="6"/>
      <c r="B188" s="16">
        <v>166</v>
      </c>
      <c r="C188" s="19" t="str">
        <f t="shared" si="43"/>
        <v>A6</v>
      </c>
      <c r="D188" s="24" t="s">
        <v>139</v>
      </c>
      <c r="E188" s="21">
        <v>1</v>
      </c>
      <c r="F188" s="21">
        <v>0</v>
      </c>
      <c r="G188" s="21">
        <v>0</v>
      </c>
      <c r="H188" s="21">
        <v>1</v>
      </c>
      <c r="I188" s="21">
        <v>1</v>
      </c>
      <c r="J188" s="21">
        <v>1</v>
      </c>
      <c r="K188" s="21">
        <v>0</v>
      </c>
      <c r="L188" s="21">
        <v>0</v>
      </c>
      <c r="M188" s="21">
        <v>0</v>
      </c>
      <c r="N188" s="21">
        <v>0</v>
      </c>
      <c r="O188" s="21">
        <v>1</v>
      </c>
      <c r="P188" s="21">
        <v>1</v>
      </c>
      <c r="Q188" s="21">
        <v>0</v>
      </c>
      <c r="R188" s="21">
        <v>1</v>
      </c>
      <c r="S188" s="21">
        <v>0</v>
      </c>
      <c r="T188" s="21">
        <v>1</v>
      </c>
      <c r="U188" s="22">
        <f t="shared" si="44"/>
        <v>60430</v>
      </c>
      <c r="V188" s="19" t="str">
        <f t="shared" si="45"/>
        <v>EC0E</v>
      </c>
      <c r="W188" s="7"/>
      <c r="X188" s="23">
        <v>60430</v>
      </c>
      <c r="Y188" s="19" t="str">
        <f t="shared" si="42"/>
        <v>EC0E</v>
      </c>
      <c r="Z188" s="18">
        <f t="shared" si="40"/>
        <v>1</v>
      </c>
      <c r="AA188" s="18">
        <f t="shared" si="52"/>
        <v>0</v>
      </c>
      <c r="AB188" s="18">
        <f t="shared" si="52"/>
        <v>0</v>
      </c>
      <c r="AC188" s="18">
        <f t="shared" si="52"/>
        <v>1</v>
      </c>
      <c r="AD188" s="18">
        <f t="shared" si="52"/>
        <v>1</v>
      </c>
      <c r="AE188" s="18">
        <f t="shared" si="52"/>
        <v>1</v>
      </c>
      <c r="AF188" s="18">
        <f t="shared" si="52"/>
        <v>0</v>
      </c>
      <c r="AG188" s="18">
        <f t="shared" si="52"/>
        <v>0</v>
      </c>
      <c r="AH188" s="18">
        <f t="shared" si="52"/>
        <v>0</v>
      </c>
      <c r="AI188" s="18">
        <f t="shared" si="52"/>
        <v>0</v>
      </c>
      <c r="AJ188" s="18">
        <f t="shared" si="52"/>
        <v>1</v>
      </c>
      <c r="AK188" s="18">
        <f t="shared" si="52"/>
        <v>1</v>
      </c>
      <c r="AL188" s="18">
        <f t="shared" si="52"/>
        <v>0</v>
      </c>
      <c r="AM188" s="18">
        <f t="shared" si="52"/>
        <v>1</v>
      </c>
      <c r="AN188" s="18">
        <f t="shared" si="52"/>
        <v>0</v>
      </c>
      <c r="AO188" s="18">
        <f t="shared" si="52"/>
        <v>1</v>
      </c>
      <c r="AQ188" s="28" t="str">
        <f t="shared" si="46"/>
        <v xml:space="preserve">    0xEC0E,  // &amp;</v>
      </c>
    </row>
    <row r="189" spans="1:43" ht="18.75" x14ac:dyDescent="0.3">
      <c r="A189" s="6"/>
      <c r="B189" s="16">
        <v>167</v>
      </c>
      <c r="C189" s="19" t="str">
        <f t="shared" si="43"/>
        <v>A7</v>
      </c>
      <c r="D189" s="24" t="s">
        <v>140</v>
      </c>
      <c r="E189" s="21">
        <v>0</v>
      </c>
      <c r="F189" s="21">
        <v>0</v>
      </c>
      <c r="G189" s="21">
        <v>0</v>
      </c>
      <c r="H189" s="21">
        <v>0</v>
      </c>
      <c r="I189" s="21">
        <v>0</v>
      </c>
      <c r="J189" s="21">
        <v>0</v>
      </c>
      <c r="K189" s="21">
        <v>0</v>
      </c>
      <c r="L189" s="21">
        <v>0</v>
      </c>
      <c r="M189" s="21">
        <v>0</v>
      </c>
      <c r="N189" s="21">
        <v>0</v>
      </c>
      <c r="O189" s="21">
        <v>0</v>
      </c>
      <c r="P189" s="21">
        <v>1</v>
      </c>
      <c r="Q189" s="21">
        <v>0</v>
      </c>
      <c r="R189" s="21">
        <v>0</v>
      </c>
      <c r="S189" s="21">
        <v>0</v>
      </c>
      <c r="T189" s="21">
        <v>0</v>
      </c>
      <c r="U189" s="22">
        <f t="shared" si="44"/>
        <v>8</v>
      </c>
      <c r="V189" s="19" t="str">
        <f t="shared" si="45"/>
        <v>0008</v>
      </c>
      <c r="W189" s="7"/>
      <c r="X189" s="23">
        <v>8</v>
      </c>
      <c r="Y189" s="19" t="str">
        <f t="shared" si="42"/>
        <v>0008</v>
      </c>
      <c r="Z189" s="18">
        <f t="shared" si="40"/>
        <v>0</v>
      </c>
      <c r="AA189" s="18">
        <f t="shared" si="52"/>
        <v>0</v>
      </c>
      <c r="AB189" s="18">
        <f t="shared" si="52"/>
        <v>0</v>
      </c>
      <c r="AC189" s="18">
        <f t="shared" si="52"/>
        <v>0</v>
      </c>
      <c r="AD189" s="18">
        <f t="shared" si="52"/>
        <v>0</v>
      </c>
      <c r="AE189" s="18">
        <f t="shared" si="52"/>
        <v>0</v>
      </c>
      <c r="AF189" s="18">
        <f t="shared" si="52"/>
        <v>0</v>
      </c>
      <c r="AG189" s="18">
        <f t="shared" si="52"/>
        <v>0</v>
      </c>
      <c r="AH189" s="18">
        <f t="shared" si="52"/>
        <v>0</v>
      </c>
      <c r="AI189" s="18">
        <f t="shared" si="52"/>
        <v>0</v>
      </c>
      <c r="AJ189" s="18">
        <f t="shared" si="52"/>
        <v>0</v>
      </c>
      <c r="AK189" s="18">
        <f t="shared" si="52"/>
        <v>1</v>
      </c>
      <c r="AL189" s="18">
        <f t="shared" si="52"/>
        <v>0</v>
      </c>
      <c r="AM189" s="18">
        <f t="shared" si="52"/>
        <v>0</v>
      </c>
      <c r="AN189" s="18">
        <f t="shared" si="52"/>
        <v>0</v>
      </c>
      <c r="AO189" s="18">
        <f t="shared" si="52"/>
        <v>0</v>
      </c>
      <c r="AQ189" s="28" t="str">
        <f t="shared" si="46"/>
        <v xml:space="preserve">    0x0008,  // '</v>
      </c>
    </row>
    <row r="190" spans="1:43" ht="18.75" x14ac:dyDescent="0.3">
      <c r="A190" s="6"/>
      <c r="B190" s="16">
        <v>168</v>
      </c>
      <c r="C190" s="19" t="str">
        <f t="shared" si="43"/>
        <v>A8</v>
      </c>
      <c r="D190" s="24" t="s">
        <v>141</v>
      </c>
      <c r="E190" s="21">
        <v>1</v>
      </c>
      <c r="F190" s="21">
        <v>1</v>
      </c>
      <c r="G190" s="21">
        <v>0</v>
      </c>
      <c r="H190" s="21">
        <v>0</v>
      </c>
      <c r="I190" s="21">
        <v>1</v>
      </c>
      <c r="J190" s="21">
        <v>1</v>
      </c>
      <c r="K190" s="21">
        <v>1</v>
      </c>
      <c r="L190" s="21">
        <v>1</v>
      </c>
      <c r="M190" s="21">
        <v>0</v>
      </c>
      <c r="N190" s="21">
        <v>0</v>
      </c>
      <c r="O190" s="21">
        <v>0</v>
      </c>
      <c r="P190" s="21">
        <v>0</v>
      </c>
      <c r="Q190" s="21">
        <v>1</v>
      </c>
      <c r="R190" s="21">
        <v>1</v>
      </c>
      <c r="S190" s="21">
        <v>0</v>
      </c>
      <c r="T190" s="21">
        <v>0</v>
      </c>
      <c r="U190" s="22">
        <f t="shared" si="44"/>
        <v>26165</v>
      </c>
      <c r="V190" s="19" t="str">
        <f t="shared" si="45"/>
        <v>6635</v>
      </c>
      <c r="W190" s="7"/>
      <c r="X190" s="23">
        <v>26165</v>
      </c>
      <c r="Y190" s="19" t="str">
        <f t="shared" si="42"/>
        <v>6635</v>
      </c>
      <c r="Z190" s="18">
        <f t="shared" si="40"/>
        <v>1</v>
      </c>
      <c r="AA190" s="18">
        <f t="shared" si="52"/>
        <v>1</v>
      </c>
      <c r="AB190" s="18">
        <f t="shared" si="52"/>
        <v>0</v>
      </c>
      <c r="AC190" s="18">
        <f t="shared" si="52"/>
        <v>0</v>
      </c>
      <c r="AD190" s="18">
        <f t="shared" si="52"/>
        <v>1</v>
      </c>
      <c r="AE190" s="18">
        <f t="shared" si="52"/>
        <v>1</v>
      </c>
      <c r="AF190" s="18">
        <f t="shared" si="52"/>
        <v>1</v>
      </c>
      <c r="AG190" s="18">
        <f t="shared" si="52"/>
        <v>1</v>
      </c>
      <c r="AH190" s="18">
        <f t="shared" si="52"/>
        <v>0</v>
      </c>
      <c r="AI190" s="18">
        <f t="shared" si="52"/>
        <v>0</v>
      </c>
      <c r="AJ190" s="18">
        <f t="shared" si="52"/>
        <v>0</v>
      </c>
      <c r="AK190" s="18">
        <f t="shared" si="52"/>
        <v>0</v>
      </c>
      <c r="AL190" s="18">
        <f t="shared" si="52"/>
        <v>1</v>
      </c>
      <c r="AM190" s="18">
        <f t="shared" si="52"/>
        <v>1</v>
      </c>
      <c r="AN190" s="18">
        <f t="shared" si="52"/>
        <v>0</v>
      </c>
      <c r="AO190" s="18">
        <f t="shared" si="52"/>
        <v>0</v>
      </c>
      <c r="AQ190" s="28" t="str">
        <f t="shared" si="46"/>
        <v xml:space="preserve">    0x6635,  // (</v>
      </c>
    </row>
    <row r="191" spans="1:43" ht="18.75" x14ac:dyDescent="0.3">
      <c r="A191" s="6"/>
      <c r="B191" s="16">
        <v>169</v>
      </c>
      <c r="C191" s="19" t="str">
        <f t="shared" si="43"/>
        <v>A9</v>
      </c>
      <c r="D191" s="24" t="s">
        <v>142</v>
      </c>
      <c r="E191" s="21">
        <v>1</v>
      </c>
      <c r="F191" s="21">
        <v>1</v>
      </c>
      <c r="G191" s="21">
        <v>1</v>
      </c>
      <c r="H191" s="21">
        <v>1</v>
      </c>
      <c r="I191" s="21">
        <v>1</v>
      </c>
      <c r="J191" s="21">
        <v>1</v>
      </c>
      <c r="K191" s="21">
        <v>0</v>
      </c>
      <c r="L191" s="21">
        <v>0</v>
      </c>
      <c r="M191" s="21">
        <v>0</v>
      </c>
      <c r="N191" s="21">
        <v>0</v>
      </c>
      <c r="O191" s="21">
        <v>1</v>
      </c>
      <c r="P191" s="21">
        <v>0</v>
      </c>
      <c r="Q191" s="21">
        <v>0</v>
      </c>
      <c r="R191" s="21">
        <v>0</v>
      </c>
      <c r="S191" s="21">
        <v>0</v>
      </c>
      <c r="T191" s="21">
        <v>1</v>
      </c>
      <c r="U191" s="22">
        <f t="shared" si="44"/>
        <v>44134</v>
      </c>
      <c r="V191" s="19" t="str">
        <f t="shared" si="45"/>
        <v>AC66</v>
      </c>
      <c r="W191" s="7"/>
      <c r="X191" s="23">
        <v>44134</v>
      </c>
      <c r="Y191" s="19" t="str">
        <f t="shared" si="42"/>
        <v>AC66</v>
      </c>
      <c r="Z191" s="18">
        <f t="shared" si="40"/>
        <v>1</v>
      </c>
      <c r="AA191" s="18">
        <f t="shared" si="52"/>
        <v>1</v>
      </c>
      <c r="AB191" s="18">
        <f t="shared" si="52"/>
        <v>1</v>
      </c>
      <c r="AC191" s="18">
        <f t="shared" si="52"/>
        <v>1</v>
      </c>
      <c r="AD191" s="18">
        <f t="shared" si="52"/>
        <v>1</v>
      </c>
      <c r="AE191" s="18">
        <f t="shared" si="52"/>
        <v>1</v>
      </c>
      <c r="AF191" s="18">
        <f t="shared" si="52"/>
        <v>0</v>
      </c>
      <c r="AG191" s="18">
        <f t="shared" si="52"/>
        <v>0</v>
      </c>
      <c r="AH191" s="18">
        <f t="shared" si="52"/>
        <v>0</v>
      </c>
      <c r="AI191" s="18">
        <f t="shared" si="52"/>
        <v>0</v>
      </c>
      <c r="AJ191" s="18">
        <f t="shared" si="52"/>
        <v>1</v>
      </c>
      <c r="AK191" s="18">
        <f t="shared" si="52"/>
        <v>0</v>
      </c>
      <c r="AL191" s="18">
        <f t="shared" si="52"/>
        <v>0</v>
      </c>
      <c r="AM191" s="18">
        <f t="shared" si="52"/>
        <v>0</v>
      </c>
      <c r="AN191" s="18">
        <f t="shared" si="52"/>
        <v>0</v>
      </c>
      <c r="AO191" s="18">
        <f t="shared" si="52"/>
        <v>1</v>
      </c>
      <c r="AQ191" s="28" t="str">
        <f t="shared" si="46"/>
        <v xml:space="preserve">    0xAC66,  // )</v>
      </c>
    </row>
    <row r="192" spans="1:43" ht="18.75" x14ac:dyDescent="0.3">
      <c r="A192" s="6"/>
      <c r="B192" s="16">
        <v>170</v>
      </c>
      <c r="C192" s="19" t="str">
        <f t="shared" si="43"/>
        <v>AA</v>
      </c>
      <c r="D192" s="24" t="s">
        <v>143</v>
      </c>
      <c r="E192" s="21">
        <v>0</v>
      </c>
      <c r="F192" s="21">
        <v>0</v>
      </c>
      <c r="G192" s="21">
        <v>0</v>
      </c>
      <c r="H192" s="21">
        <v>0</v>
      </c>
      <c r="I192" s="21">
        <v>0</v>
      </c>
      <c r="J192" s="21">
        <v>0</v>
      </c>
      <c r="K192" s="21">
        <v>0</v>
      </c>
      <c r="L192" s="21">
        <v>0</v>
      </c>
      <c r="M192" s="21">
        <v>1</v>
      </c>
      <c r="N192" s="21">
        <v>1</v>
      </c>
      <c r="O192" s="21">
        <v>1</v>
      </c>
      <c r="P192" s="21">
        <v>0</v>
      </c>
      <c r="Q192" s="21">
        <v>1</v>
      </c>
      <c r="R192" s="21">
        <v>1</v>
      </c>
      <c r="S192" s="21">
        <v>0</v>
      </c>
      <c r="T192" s="21">
        <v>1</v>
      </c>
      <c r="U192" s="22">
        <f t="shared" si="44"/>
        <v>18834</v>
      </c>
      <c r="V192" s="19" t="str">
        <f t="shared" si="45"/>
        <v>4992</v>
      </c>
      <c r="W192" s="7"/>
      <c r="X192" s="23">
        <v>28115</v>
      </c>
      <c r="Y192" s="19" t="str">
        <f t="shared" si="42"/>
        <v>6DD3</v>
      </c>
      <c r="Z192" s="18">
        <f t="shared" si="40"/>
        <v>0</v>
      </c>
      <c r="AA192" s="18">
        <f t="shared" si="52"/>
        <v>0</v>
      </c>
      <c r="AB192" s="18">
        <f t="shared" si="52"/>
        <v>1</v>
      </c>
      <c r="AC192" s="18">
        <f t="shared" si="52"/>
        <v>0</v>
      </c>
      <c r="AD192" s="18">
        <f t="shared" si="52"/>
        <v>1</v>
      </c>
      <c r="AE192" s="18">
        <f t="shared" si="52"/>
        <v>1</v>
      </c>
      <c r="AF192" s="18">
        <f t="shared" si="52"/>
        <v>0</v>
      </c>
      <c r="AG192" s="18">
        <f t="shared" si="52"/>
        <v>1</v>
      </c>
      <c r="AH192" s="18">
        <f t="shared" si="52"/>
        <v>1</v>
      </c>
      <c r="AI192" s="18">
        <f t="shared" si="52"/>
        <v>1</v>
      </c>
      <c r="AJ192" s="18">
        <f t="shared" si="52"/>
        <v>1</v>
      </c>
      <c r="AK192" s="18">
        <f t="shared" si="52"/>
        <v>0</v>
      </c>
      <c r="AL192" s="18">
        <f t="shared" si="52"/>
        <v>1</v>
      </c>
      <c r="AM192" s="18">
        <f t="shared" si="52"/>
        <v>1</v>
      </c>
      <c r="AN192" s="18">
        <f t="shared" si="52"/>
        <v>0</v>
      </c>
      <c r="AO192" s="18">
        <f t="shared" si="52"/>
        <v>1</v>
      </c>
      <c r="AQ192" s="28" t="str">
        <f t="shared" si="46"/>
        <v xml:space="preserve">    0x4992,  // *</v>
      </c>
    </row>
    <row r="193" spans="1:43" ht="18.75" x14ac:dyDescent="0.3">
      <c r="A193" s="6"/>
      <c r="B193" s="16">
        <v>171</v>
      </c>
      <c r="C193" s="19" t="str">
        <f t="shared" si="43"/>
        <v>AB</v>
      </c>
      <c r="D193" s="24" t="s">
        <v>144</v>
      </c>
      <c r="E193" s="21">
        <v>1</v>
      </c>
      <c r="F193" s="21">
        <v>0</v>
      </c>
      <c r="G193" s="21">
        <v>1</v>
      </c>
      <c r="H193" s="21">
        <v>0</v>
      </c>
      <c r="I193" s="21">
        <v>0</v>
      </c>
      <c r="J193" s="21">
        <v>1</v>
      </c>
      <c r="K193" s="21">
        <v>1</v>
      </c>
      <c r="L193" s="21">
        <v>0</v>
      </c>
      <c r="M193" s="21">
        <v>1</v>
      </c>
      <c r="N193" s="21">
        <v>1</v>
      </c>
      <c r="O193" s="21">
        <v>0</v>
      </c>
      <c r="P193" s="21">
        <v>1</v>
      </c>
      <c r="Q193" s="21">
        <v>0</v>
      </c>
      <c r="R193" s="21">
        <v>0</v>
      </c>
      <c r="S193" s="21">
        <v>1</v>
      </c>
      <c r="T193" s="21">
        <v>0</v>
      </c>
      <c r="U193" s="22">
        <f t="shared" si="44"/>
        <v>13260</v>
      </c>
      <c r="V193" s="19" t="str">
        <f t="shared" si="45"/>
        <v>33CC</v>
      </c>
      <c r="W193" s="7"/>
      <c r="X193" s="23">
        <v>13769</v>
      </c>
      <c r="Y193" s="19" t="str">
        <f t="shared" si="42"/>
        <v>35C9</v>
      </c>
      <c r="Z193" s="18">
        <f t="shared" si="40"/>
        <v>0</v>
      </c>
      <c r="AA193" s="18">
        <f t="shared" si="52"/>
        <v>0</v>
      </c>
      <c r="AB193" s="18">
        <f t="shared" si="52"/>
        <v>1</v>
      </c>
      <c r="AC193" s="18">
        <f t="shared" si="52"/>
        <v>0</v>
      </c>
      <c r="AD193" s="18">
        <f t="shared" si="52"/>
        <v>1</v>
      </c>
      <c r="AE193" s="18">
        <f t="shared" si="52"/>
        <v>1</v>
      </c>
      <c r="AF193" s="18">
        <f t="shared" si="52"/>
        <v>0</v>
      </c>
      <c r="AG193" s="18">
        <f t="shared" si="52"/>
        <v>1</v>
      </c>
      <c r="AH193" s="18">
        <f t="shared" si="52"/>
        <v>1</v>
      </c>
      <c r="AI193" s="18">
        <f t="shared" si="52"/>
        <v>1</v>
      </c>
      <c r="AJ193" s="18">
        <f t="shared" si="52"/>
        <v>0</v>
      </c>
      <c r="AK193" s="18">
        <f t="shared" si="52"/>
        <v>1</v>
      </c>
      <c r="AL193" s="18">
        <f t="shared" si="52"/>
        <v>0</v>
      </c>
      <c r="AM193" s="18">
        <f t="shared" si="52"/>
        <v>0</v>
      </c>
      <c r="AN193" s="18">
        <f t="shared" si="52"/>
        <v>1</v>
      </c>
      <c r="AO193" s="18">
        <f t="shared" si="52"/>
        <v>0</v>
      </c>
      <c r="AQ193" s="28" t="str">
        <f t="shared" si="46"/>
        <v xml:space="preserve">    0x33CC,  // +</v>
      </c>
    </row>
    <row r="194" spans="1:43" ht="18.75" x14ac:dyDescent="0.3">
      <c r="A194" s="6"/>
      <c r="B194" s="16">
        <v>172</v>
      </c>
      <c r="C194" s="19" t="str">
        <f t="shared" si="43"/>
        <v>AC</v>
      </c>
      <c r="D194" s="24" t="s">
        <v>145</v>
      </c>
      <c r="E194" s="21">
        <v>0</v>
      </c>
      <c r="F194" s="21">
        <v>0</v>
      </c>
      <c r="G194" s="21">
        <v>0</v>
      </c>
      <c r="H194" s="21">
        <v>0</v>
      </c>
      <c r="I194" s="21">
        <v>0</v>
      </c>
      <c r="J194" s="21">
        <v>0</v>
      </c>
      <c r="K194" s="21">
        <v>0</v>
      </c>
      <c r="L194" s="21">
        <v>0</v>
      </c>
      <c r="M194" s="21">
        <v>1</v>
      </c>
      <c r="N194" s="21">
        <v>0</v>
      </c>
      <c r="O194" s="21">
        <v>0</v>
      </c>
      <c r="P194" s="21">
        <v>0</v>
      </c>
      <c r="Q194" s="21">
        <v>0</v>
      </c>
      <c r="R194" s="21">
        <v>0</v>
      </c>
      <c r="S194" s="21">
        <v>1</v>
      </c>
      <c r="T194" s="21">
        <v>0</v>
      </c>
      <c r="U194" s="22">
        <f t="shared" si="44"/>
        <v>4352</v>
      </c>
      <c r="V194" s="19" t="str">
        <f t="shared" si="45"/>
        <v>1100</v>
      </c>
      <c r="W194" s="7"/>
      <c r="X194" s="23">
        <v>4352</v>
      </c>
      <c r="Y194" s="19" t="str">
        <f t="shared" si="42"/>
        <v>1100</v>
      </c>
      <c r="Z194" s="18">
        <f t="shared" si="40"/>
        <v>0</v>
      </c>
      <c r="AA194" s="18">
        <f t="shared" si="52"/>
        <v>0</v>
      </c>
      <c r="AB194" s="18">
        <f t="shared" si="52"/>
        <v>0</v>
      </c>
      <c r="AC194" s="18">
        <f t="shared" si="52"/>
        <v>0</v>
      </c>
      <c r="AD194" s="18">
        <f t="shared" si="52"/>
        <v>0</v>
      </c>
      <c r="AE194" s="18">
        <f t="shared" si="52"/>
        <v>0</v>
      </c>
      <c r="AF194" s="18">
        <f t="shared" si="52"/>
        <v>0</v>
      </c>
      <c r="AG194" s="18">
        <f t="shared" si="52"/>
        <v>0</v>
      </c>
      <c r="AH194" s="18">
        <f t="shared" si="52"/>
        <v>1</v>
      </c>
      <c r="AI194" s="18">
        <f t="shared" si="52"/>
        <v>0</v>
      </c>
      <c r="AJ194" s="18">
        <f t="shared" si="52"/>
        <v>0</v>
      </c>
      <c r="AK194" s="18">
        <f t="shared" si="52"/>
        <v>0</v>
      </c>
      <c r="AL194" s="18">
        <f t="shared" si="52"/>
        <v>0</v>
      </c>
      <c r="AM194" s="18">
        <f t="shared" si="52"/>
        <v>0</v>
      </c>
      <c r="AN194" s="18">
        <f t="shared" si="52"/>
        <v>1</v>
      </c>
      <c r="AO194" s="18">
        <f t="shared" si="52"/>
        <v>0</v>
      </c>
      <c r="AQ194" s="28" t="str">
        <f t="shared" si="46"/>
        <v xml:space="preserve">    0x1100,  // ,</v>
      </c>
    </row>
    <row r="195" spans="1:43" ht="18.75" x14ac:dyDescent="0.3">
      <c r="A195" s="6"/>
      <c r="B195" s="16">
        <v>173</v>
      </c>
      <c r="C195" s="19" t="str">
        <f t="shared" si="43"/>
        <v>AD</v>
      </c>
      <c r="D195" s="24" t="s">
        <v>146</v>
      </c>
      <c r="E195" s="21">
        <v>0</v>
      </c>
      <c r="F195" s="21">
        <v>0</v>
      </c>
      <c r="G195" s="21">
        <v>0</v>
      </c>
      <c r="H195" s="21">
        <v>0</v>
      </c>
      <c r="I195" s="21">
        <v>0</v>
      </c>
      <c r="J195" s="21">
        <v>0</v>
      </c>
      <c r="K195" s="21">
        <v>0</v>
      </c>
      <c r="L195" s="21">
        <v>0</v>
      </c>
      <c r="M195" s="21">
        <v>1</v>
      </c>
      <c r="N195" s="21">
        <v>1</v>
      </c>
      <c r="O195" s="21">
        <v>1</v>
      </c>
      <c r="P195" s="21">
        <v>0</v>
      </c>
      <c r="Q195" s="21">
        <v>0</v>
      </c>
      <c r="R195" s="21">
        <v>1</v>
      </c>
      <c r="S195" s="21">
        <v>0</v>
      </c>
      <c r="T195" s="21">
        <v>0</v>
      </c>
      <c r="U195" s="22">
        <f t="shared" si="44"/>
        <v>16770</v>
      </c>
      <c r="V195" s="19" t="str">
        <f t="shared" si="45"/>
        <v>4182</v>
      </c>
      <c r="W195" s="7"/>
      <c r="X195" s="23">
        <v>16770</v>
      </c>
      <c r="Y195" s="19" t="str">
        <f t="shared" si="42"/>
        <v>4182</v>
      </c>
      <c r="Z195" s="18">
        <f t="shared" si="40"/>
        <v>0</v>
      </c>
      <c r="AA195" s="18">
        <f t="shared" si="52"/>
        <v>0</v>
      </c>
      <c r="AB195" s="18">
        <f t="shared" si="52"/>
        <v>0</v>
      </c>
      <c r="AC195" s="18">
        <f t="shared" si="52"/>
        <v>0</v>
      </c>
      <c r="AD195" s="18">
        <f t="shared" si="52"/>
        <v>0</v>
      </c>
      <c r="AE195" s="18">
        <f t="shared" si="52"/>
        <v>0</v>
      </c>
      <c r="AF195" s="18">
        <f t="shared" si="52"/>
        <v>0</v>
      </c>
      <c r="AG195" s="18">
        <f t="shared" si="52"/>
        <v>0</v>
      </c>
      <c r="AH195" s="18">
        <f t="shared" si="52"/>
        <v>1</v>
      </c>
      <c r="AI195" s="18">
        <f t="shared" si="52"/>
        <v>1</v>
      </c>
      <c r="AJ195" s="18">
        <f t="shared" si="52"/>
        <v>1</v>
      </c>
      <c r="AK195" s="18">
        <f t="shared" si="52"/>
        <v>0</v>
      </c>
      <c r="AL195" s="18">
        <f t="shared" si="52"/>
        <v>0</v>
      </c>
      <c r="AM195" s="18">
        <f t="shared" si="52"/>
        <v>1</v>
      </c>
      <c r="AN195" s="18">
        <f t="shared" si="52"/>
        <v>0</v>
      </c>
      <c r="AO195" s="18">
        <f t="shared" si="52"/>
        <v>0</v>
      </c>
      <c r="AQ195" s="28" t="str">
        <f t="shared" si="46"/>
        <v xml:space="preserve">    0x4182,  // -</v>
      </c>
    </row>
    <row r="196" spans="1:43" ht="18.75" x14ac:dyDescent="0.3">
      <c r="A196" s="6"/>
      <c r="B196" s="16">
        <v>174</v>
      </c>
      <c r="C196" s="19" t="str">
        <f t="shared" si="43"/>
        <v>AE</v>
      </c>
      <c r="D196" s="24" t="s">
        <v>147</v>
      </c>
      <c r="E196" s="21">
        <v>0</v>
      </c>
      <c r="F196" s="21">
        <v>0</v>
      </c>
      <c r="G196" s="21">
        <v>0</v>
      </c>
      <c r="H196" s="21">
        <v>0</v>
      </c>
      <c r="I196" s="21">
        <v>1</v>
      </c>
      <c r="J196" s="21">
        <v>0</v>
      </c>
      <c r="K196" s="21">
        <v>1</v>
      </c>
      <c r="L196" s="21">
        <v>0</v>
      </c>
      <c r="M196" s="21">
        <v>1</v>
      </c>
      <c r="N196" s="21">
        <v>0</v>
      </c>
      <c r="O196" s="21">
        <v>0</v>
      </c>
      <c r="P196" s="21">
        <v>0</v>
      </c>
      <c r="Q196" s="21">
        <v>0</v>
      </c>
      <c r="R196" s="21">
        <v>0</v>
      </c>
      <c r="S196" s="21">
        <v>1</v>
      </c>
      <c r="T196" s="21">
        <v>0</v>
      </c>
      <c r="U196" s="22">
        <f t="shared" si="44"/>
        <v>5888</v>
      </c>
      <c r="V196" s="19" t="str">
        <f t="shared" si="45"/>
        <v>1700</v>
      </c>
      <c r="W196" s="7"/>
      <c r="X196" s="23">
        <v>5888</v>
      </c>
      <c r="Y196" s="19" t="str">
        <f t="shared" si="42"/>
        <v>1700</v>
      </c>
      <c r="Z196" s="18">
        <f t="shared" si="40"/>
        <v>0</v>
      </c>
      <c r="AA196" s="18">
        <f t="shared" si="52"/>
        <v>0</v>
      </c>
      <c r="AB196" s="18">
        <f t="shared" si="52"/>
        <v>0</v>
      </c>
      <c r="AC196" s="18">
        <f t="shared" si="52"/>
        <v>0</v>
      </c>
      <c r="AD196" s="18">
        <f t="shared" si="52"/>
        <v>1</v>
      </c>
      <c r="AE196" s="18">
        <f t="shared" si="52"/>
        <v>0</v>
      </c>
      <c r="AF196" s="18">
        <f t="shared" si="52"/>
        <v>1</v>
      </c>
      <c r="AG196" s="18">
        <f t="shared" si="52"/>
        <v>0</v>
      </c>
      <c r="AH196" s="18">
        <f t="shared" si="52"/>
        <v>1</v>
      </c>
      <c r="AI196" s="18">
        <f t="shared" si="52"/>
        <v>0</v>
      </c>
      <c r="AJ196" s="18">
        <f t="shared" si="52"/>
        <v>0</v>
      </c>
      <c r="AK196" s="18">
        <f t="shared" si="52"/>
        <v>0</v>
      </c>
      <c r="AL196" s="18">
        <f t="shared" si="52"/>
        <v>0</v>
      </c>
      <c r="AM196" s="18">
        <f t="shared" si="52"/>
        <v>0</v>
      </c>
      <c r="AN196" s="18">
        <f t="shared" si="52"/>
        <v>1</v>
      </c>
      <c r="AO196" s="18">
        <f t="shared" si="52"/>
        <v>0</v>
      </c>
      <c r="AQ196" s="28" t="str">
        <f t="shared" si="46"/>
        <v xml:space="preserve">    0x1700,  // .</v>
      </c>
    </row>
    <row r="197" spans="1:43" ht="18.75" x14ac:dyDescent="0.3">
      <c r="A197" s="6"/>
      <c r="B197" s="16">
        <v>175</v>
      </c>
      <c r="C197" s="19" t="str">
        <f t="shared" si="43"/>
        <v>AF</v>
      </c>
      <c r="D197" s="24" t="s">
        <v>148</v>
      </c>
      <c r="E197" s="21">
        <v>0</v>
      </c>
      <c r="F197" s="21">
        <v>0</v>
      </c>
      <c r="G197" s="21">
        <v>0</v>
      </c>
      <c r="H197" s="21">
        <v>0</v>
      </c>
      <c r="I197" s="21">
        <v>0</v>
      </c>
      <c r="J197" s="21">
        <v>0</v>
      </c>
      <c r="K197" s="21">
        <v>0</v>
      </c>
      <c r="L197" s="21">
        <v>0</v>
      </c>
      <c r="M197" s="21">
        <v>1</v>
      </c>
      <c r="N197" s="21">
        <v>1</v>
      </c>
      <c r="O197" s="21">
        <v>0</v>
      </c>
      <c r="P197" s="21">
        <v>0</v>
      </c>
      <c r="Q197" s="21">
        <v>1</v>
      </c>
      <c r="R197" s="21">
        <v>0</v>
      </c>
      <c r="S197" s="21">
        <v>0</v>
      </c>
      <c r="T197" s="21">
        <v>1</v>
      </c>
      <c r="U197" s="22">
        <f t="shared" si="44"/>
        <v>2448</v>
      </c>
      <c r="V197" s="19" t="str">
        <f t="shared" si="45"/>
        <v>0990</v>
      </c>
      <c r="W197" s="7"/>
      <c r="X197" s="23">
        <v>2448</v>
      </c>
      <c r="Y197" s="19" t="str">
        <f t="shared" si="42"/>
        <v>0990</v>
      </c>
      <c r="Z197" s="18">
        <f t="shared" ref="Z197:Z260" si="53">IF(_xlfn.BITAND($X197,Z$19)=0,0,1)</f>
        <v>0</v>
      </c>
      <c r="AA197" s="18">
        <f t="shared" si="52"/>
        <v>0</v>
      </c>
      <c r="AB197" s="18">
        <f t="shared" si="52"/>
        <v>0</v>
      </c>
      <c r="AC197" s="18">
        <f t="shared" si="52"/>
        <v>0</v>
      </c>
      <c r="AD197" s="18">
        <f t="shared" si="52"/>
        <v>0</v>
      </c>
      <c r="AE197" s="18">
        <f t="shared" si="52"/>
        <v>0</v>
      </c>
      <c r="AF197" s="18">
        <f t="shared" si="52"/>
        <v>0</v>
      </c>
      <c r="AG197" s="18">
        <f t="shared" si="52"/>
        <v>0</v>
      </c>
      <c r="AH197" s="18">
        <f t="shared" si="52"/>
        <v>1</v>
      </c>
      <c r="AI197" s="18">
        <f t="shared" si="52"/>
        <v>1</v>
      </c>
      <c r="AJ197" s="18">
        <f t="shared" si="52"/>
        <v>0</v>
      </c>
      <c r="AK197" s="18">
        <f t="shared" si="52"/>
        <v>0</v>
      </c>
      <c r="AL197" s="18">
        <f t="shared" si="52"/>
        <v>1</v>
      </c>
      <c r="AM197" s="18">
        <f t="shared" si="52"/>
        <v>0</v>
      </c>
      <c r="AN197" s="18">
        <f t="shared" si="52"/>
        <v>0</v>
      </c>
      <c r="AO197" s="18">
        <f t="shared" si="52"/>
        <v>1</v>
      </c>
      <c r="AQ197" s="28" t="str">
        <f t="shared" si="46"/>
        <v xml:space="preserve">    0x0990,  // /</v>
      </c>
    </row>
    <row r="198" spans="1:43" ht="18.75" x14ac:dyDescent="0.3">
      <c r="A198" s="6"/>
      <c r="B198" s="16">
        <v>176</v>
      </c>
      <c r="C198" s="19" t="str">
        <f t="shared" si="43"/>
        <v>B0</v>
      </c>
      <c r="D198" s="25" t="s">
        <v>155</v>
      </c>
      <c r="E198" s="21">
        <v>1</v>
      </c>
      <c r="F198" s="21">
        <v>1</v>
      </c>
      <c r="G198" s="21">
        <v>1</v>
      </c>
      <c r="H198" s="21">
        <v>1</v>
      </c>
      <c r="I198" s="21">
        <v>1</v>
      </c>
      <c r="J198" s="21">
        <v>1</v>
      </c>
      <c r="K198" s="21">
        <v>1</v>
      </c>
      <c r="L198" s="21">
        <v>1</v>
      </c>
      <c r="M198" s="21">
        <v>0</v>
      </c>
      <c r="N198" s="21">
        <v>0</v>
      </c>
      <c r="O198" s="21">
        <v>0</v>
      </c>
      <c r="P198" s="21">
        <v>0</v>
      </c>
      <c r="Q198" s="21">
        <v>1</v>
      </c>
      <c r="R198" s="21">
        <v>0</v>
      </c>
      <c r="S198" s="21">
        <v>0</v>
      </c>
      <c r="T198" s="21">
        <v>1</v>
      </c>
      <c r="U198" s="22">
        <f t="shared" si="44"/>
        <v>44661</v>
      </c>
      <c r="V198" s="19" t="str">
        <f t="shared" si="45"/>
        <v>AE75</v>
      </c>
      <c r="W198" s="7"/>
      <c r="X198" s="23">
        <v>44661</v>
      </c>
      <c r="Y198" s="19" t="str">
        <f t="shared" si="42"/>
        <v>AE75</v>
      </c>
      <c r="Z198" s="18">
        <f t="shared" si="53"/>
        <v>1</v>
      </c>
      <c r="AA198" s="18">
        <f t="shared" si="52"/>
        <v>1</v>
      </c>
      <c r="AB198" s="18">
        <f t="shared" si="52"/>
        <v>1</v>
      </c>
      <c r="AC198" s="18">
        <f t="shared" si="52"/>
        <v>1</v>
      </c>
      <c r="AD198" s="18">
        <f t="shared" si="52"/>
        <v>1</v>
      </c>
      <c r="AE198" s="18">
        <f t="shared" si="52"/>
        <v>1</v>
      </c>
      <c r="AF198" s="18">
        <f t="shared" si="52"/>
        <v>1</v>
      </c>
      <c r="AG198" s="18">
        <f t="shared" si="52"/>
        <v>1</v>
      </c>
      <c r="AH198" s="18">
        <f t="shared" si="52"/>
        <v>0</v>
      </c>
      <c r="AI198" s="18">
        <f t="shared" si="52"/>
        <v>0</v>
      </c>
      <c r="AJ198" s="18">
        <f t="shared" si="52"/>
        <v>0</v>
      </c>
      <c r="AK198" s="18">
        <f t="shared" si="52"/>
        <v>0</v>
      </c>
      <c r="AL198" s="18">
        <f t="shared" si="52"/>
        <v>1</v>
      </c>
      <c r="AM198" s="18">
        <f t="shared" si="52"/>
        <v>0</v>
      </c>
      <c r="AN198" s="18">
        <f t="shared" si="52"/>
        <v>0</v>
      </c>
      <c r="AO198" s="18">
        <f t="shared" si="52"/>
        <v>1</v>
      </c>
      <c r="AQ198" s="28" t="str">
        <f t="shared" si="46"/>
        <v xml:space="preserve">    0xAE75,  // 0</v>
      </c>
    </row>
    <row r="199" spans="1:43" ht="18.75" x14ac:dyDescent="0.3">
      <c r="A199" s="6"/>
      <c r="B199" s="16">
        <v>177</v>
      </c>
      <c r="C199" s="19" t="str">
        <f t="shared" si="43"/>
        <v>B1</v>
      </c>
      <c r="D199" s="25" t="s">
        <v>156</v>
      </c>
      <c r="E199" s="21">
        <v>0</v>
      </c>
      <c r="F199" s="21">
        <v>0</v>
      </c>
      <c r="G199" s="21">
        <v>1</v>
      </c>
      <c r="H199" s="21">
        <v>1</v>
      </c>
      <c r="I199" s="21">
        <v>0</v>
      </c>
      <c r="J199" s="21">
        <v>0</v>
      </c>
      <c r="K199" s="21">
        <v>0</v>
      </c>
      <c r="L199" s="21">
        <v>0</v>
      </c>
      <c r="M199" s="21">
        <v>0</v>
      </c>
      <c r="N199" s="21">
        <v>0</v>
      </c>
      <c r="O199" s="21">
        <v>0</v>
      </c>
      <c r="P199" s="21">
        <v>0</v>
      </c>
      <c r="Q199" s="21">
        <v>1</v>
      </c>
      <c r="R199" s="21">
        <v>0</v>
      </c>
      <c r="S199" s="21">
        <v>0</v>
      </c>
      <c r="T199" s="21">
        <v>0</v>
      </c>
      <c r="U199" s="22">
        <f t="shared" si="44"/>
        <v>32848</v>
      </c>
      <c r="V199" s="19" t="str">
        <f t="shared" si="45"/>
        <v>8050</v>
      </c>
      <c r="W199" s="7"/>
      <c r="X199" s="23">
        <v>32848</v>
      </c>
      <c r="Y199" s="19" t="str">
        <f t="shared" si="42"/>
        <v>8050</v>
      </c>
      <c r="Z199" s="18">
        <f t="shared" si="53"/>
        <v>0</v>
      </c>
      <c r="AA199" s="18">
        <f t="shared" si="52"/>
        <v>0</v>
      </c>
      <c r="AB199" s="18">
        <f t="shared" si="52"/>
        <v>1</v>
      </c>
      <c r="AC199" s="18">
        <f t="shared" si="52"/>
        <v>1</v>
      </c>
      <c r="AD199" s="18">
        <f t="shared" si="52"/>
        <v>0</v>
      </c>
      <c r="AE199" s="18">
        <f t="shared" si="52"/>
        <v>0</v>
      </c>
      <c r="AF199" s="18">
        <f t="shared" si="52"/>
        <v>0</v>
      </c>
      <c r="AG199" s="18">
        <f t="shared" si="52"/>
        <v>0</v>
      </c>
      <c r="AH199" s="18">
        <f t="shared" si="52"/>
        <v>0</v>
      </c>
      <c r="AI199" s="18">
        <f t="shared" si="52"/>
        <v>0</v>
      </c>
      <c r="AJ199" s="18">
        <f t="shared" si="52"/>
        <v>0</v>
      </c>
      <c r="AK199" s="18">
        <f t="shared" si="52"/>
        <v>0</v>
      </c>
      <c r="AL199" s="18">
        <f t="shared" si="52"/>
        <v>1</v>
      </c>
      <c r="AM199" s="18">
        <f t="shared" si="52"/>
        <v>0</v>
      </c>
      <c r="AN199" s="18">
        <f t="shared" si="52"/>
        <v>0</v>
      </c>
      <c r="AO199" s="18">
        <f t="shared" si="52"/>
        <v>0</v>
      </c>
      <c r="AQ199" s="28" t="str">
        <f t="shared" si="46"/>
        <v xml:space="preserve">    0x8050,  // 1</v>
      </c>
    </row>
    <row r="200" spans="1:43" ht="18.75" x14ac:dyDescent="0.3">
      <c r="A200" s="6"/>
      <c r="B200" s="16">
        <v>178</v>
      </c>
      <c r="C200" s="19" t="str">
        <f t="shared" si="43"/>
        <v>B2</v>
      </c>
      <c r="D200" s="25" t="s">
        <v>157</v>
      </c>
      <c r="E200" s="21">
        <v>0</v>
      </c>
      <c r="F200" s="21">
        <v>1</v>
      </c>
      <c r="G200" s="21">
        <v>1</v>
      </c>
      <c r="H200" s="21">
        <v>0</v>
      </c>
      <c r="I200" s="21">
        <v>1</v>
      </c>
      <c r="J200" s="21">
        <v>1</v>
      </c>
      <c r="K200" s="21">
        <v>0</v>
      </c>
      <c r="L200" s="21">
        <v>0</v>
      </c>
      <c r="M200" s="21">
        <v>0</v>
      </c>
      <c r="N200" s="21">
        <v>1</v>
      </c>
      <c r="O200" s="21">
        <v>0</v>
      </c>
      <c r="P200" s="21">
        <v>0</v>
      </c>
      <c r="Q200" s="21">
        <v>0</v>
      </c>
      <c r="R200" s="21">
        <v>0</v>
      </c>
      <c r="S200" s="21">
        <v>0</v>
      </c>
      <c r="T200" s="21">
        <v>1</v>
      </c>
      <c r="U200" s="22">
        <f t="shared" si="44"/>
        <v>11488</v>
      </c>
      <c r="V200" s="19" t="str">
        <f t="shared" si="45"/>
        <v>2CE0</v>
      </c>
      <c r="W200" s="7"/>
      <c r="X200" s="23">
        <v>11492</v>
      </c>
      <c r="Y200" s="19" t="str">
        <f t="shared" si="42"/>
        <v>2CE4</v>
      </c>
      <c r="Z200" s="18">
        <f t="shared" si="53"/>
        <v>1</v>
      </c>
      <c r="AA200" s="18">
        <f t="shared" si="52"/>
        <v>1</v>
      </c>
      <c r="AB200" s="18">
        <f t="shared" si="52"/>
        <v>1</v>
      </c>
      <c r="AC200" s="18">
        <f t="shared" si="52"/>
        <v>0</v>
      </c>
      <c r="AD200" s="18">
        <f t="shared" si="52"/>
        <v>1</v>
      </c>
      <c r="AE200" s="18">
        <f t="shared" si="52"/>
        <v>1</v>
      </c>
      <c r="AF200" s="18">
        <f t="shared" si="52"/>
        <v>0</v>
      </c>
      <c r="AG200" s="18">
        <f t="shared" si="52"/>
        <v>0</v>
      </c>
      <c r="AH200" s="18">
        <f t="shared" si="52"/>
        <v>0</v>
      </c>
      <c r="AI200" s="18">
        <f t="shared" si="52"/>
        <v>1</v>
      </c>
      <c r="AJ200" s="18">
        <f t="shared" si="52"/>
        <v>0</v>
      </c>
      <c r="AK200" s="18">
        <f t="shared" si="52"/>
        <v>0</v>
      </c>
      <c r="AL200" s="18">
        <f t="shared" si="52"/>
        <v>0</v>
      </c>
      <c r="AM200" s="18">
        <f t="shared" si="52"/>
        <v>0</v>
      </c>
      <c r="AN200" s="18">
        <f t="shared" si="52"/>
        <v>0</v>
      </c>
      <c r="AO200" s="18">
        <f t="shared" si="52"/>
        <v>1</v>
      </c>
      <c r="AQ200" s="28" t="str">
        <f t="shared" si="46"/>
        <v xml:space="preserve">    0x2CE0,  // 2</v>
      </c>
    </row>
    <row r="201" spans="1:43" ht="18.75" x14ac:dyDescent="0.3">
      <c r="A201" s="6"/>
      <c r="B201" s="16">
        <v>179</v>
      </c>
      <c r="C201" s="19" t="str">
        <f t="shared" si="43"/>
        <v>B3</v>
      </c>
      <c r="D201" s="25" t="s">
        <v>158</v>
      </c>
      <c r="E201" s="21">
        <v>0</v>
      </c>
      <c r="F201" s="21">
        <v>1</v>
      </c>
      <c r="G201" s="21">
        <v>1</v>
      </c>
      <c r="H201" s="21">
        <v>1</v>
      </c>
      <c r="I201" s="21">
        <v>1</v>
      </c>
      <c r="J201" s="21">
        <v>1</v>
      </c>
      <c r="K201" s="21">
        <v>0</v>
      </c>
      <c r="L201" s="21">
        <v>0</v>
      </c>
      <c r="M201" s="21">
        <v>0</v>
      </c>
      <c r="N201" s="21">
        <v>1</v>
      </c>
      <c r="O201" s="21">
        <v>0</v>
      </c>
      <c r="P201" s="21">
        <v>0</v>
      </c>
      <c r="Q201" s="21">
        <v>0</v>
      </c>
      <c r="R201" s="21">
        <v>0</v>
      </c>
      <c r="S201" s="21">
        <v>0</v>
      </c>
      <c r="T201" s="21">
        <v>0</v>
      </c>
      <c r="U201" s="22">
        <f t="shared" si="44"/>
        <v>42208</v>
      </c>
      <c r="V201" s="19" t="str">
        <f t="shared" si="45"/>
        <v>A4E0</v>
      </c>
      <c r="W201" s="7"/>
      <c r="X201" s="23">
        <v>42212</v>
      </c>
      <c r="Y201" s="19" t="str">
        <f t="shared" si="42"/>
        <v>A4E4</v>
      </c>
      <c r="Z201" s="18">
        <f t="shared" si="53"/>
        <v>1</v>
      </c>
      <c r="AA201" s="18">
        <f t="shared" si="52"/>
        <v>1</v>
      </c>
      <c r="AB201" s="18">
        <f t="shared" si="52"/>
        <v>1</v>
      </c>
      <c r="AC201" s="18">
        <f t="shared" si="52"/>
        <v>1</v>
      </c>
      <c r="AD201" s="18">
        <f t="shared" si="52"/>
        <v>1</v>
      </c>
      <c r="AE201" s="18">
        <f t="shared" si="52"/>
        <v>1</v>
      </c>
      <c r="AF201" s="18">
        <f t="shared" si="52"/>
        <v>0</v>
      </c>
      <c r="AG201" s="18">
        <f t="shared" si="52"/>
        <v>0</v>
      </c>
      <c r="AH201" s="18">
        <f t="shared" si="52"/>
        <v>0</v>
      </c>
      <c r="AI201" s="18">
        <f t="shared" si="52"/>
        <v>1</v>
      </c>
      <c r="AJ201" s="18">
        <f t="shared" si="52"/>
        <v>0</v>
      </c>
      <c r="AK201" s="18">
        <f t="shared" si="52"/>
        <v>0</v>
      </c>
      <c r="AL201" s="18">
        <f t="shared" si="52"/>
        <v>0</v>
      </c>
      <c r="AM201" s="18">
        <f t="shared" si="52"/>
        <v>0</v>
      </c>
      <c r="AN201" s="18">
        <f t="shared" si="52"/>
        <v>0</v>
      </c>
      <c r="AO201" s="18">
        <f t="shared" si="52"/>
        <v>0</v>
      </c>
      <c r="AQ201" s="28" t="str">
        <f t="shared" si="46"/>
        <v xml:space="preserve">    0xA4E0,  // 3</v>
      </c>
    </row>
    <row r="202" spans="1:43" ht="18.75" x14ac:dyDescent="0.3">
      <c r="A202" s="6"/>
      <c r="B202" s="16">
        <v>180</v>
      </c>
      <c r="C202" s="19" t="str">
        <f t="shared" si="43"/>
        <v>B4</v>
      </c>
      <c r="D202" s="25" t="s">
        <v>159</v>
      </c>
      <c r="E202" s="21">
        <v>0</v>
      </c>
      <c r="F202" s="21">
        <v>0</v>
      </c>
      <c r="G202" s="21">
        <v>0</v>
      </c>
      <c r="H202" s="21">
        <v>0</v>
      </c>
      <c r="I202" s="21">
        <v>0</v>
      </c>
      <c r="J202" s="21">
        <v>0</v>
      </c>
      <c r="K202" s="21">
        <v>0</v>
      </c>
      <c r="L202" s="21">
        <v>1</v>
      </c>
      <c r="M202" s="21">
        <v>1</v>
      </c>
      <c r="N202" s="21">
        <v>1</v>
      </c>
      <c r="O202" s="21">
        <v>0</v>
      </c>
      <c r="P202" s="21">
        <v>1</v>
      </c>
      <c r="Q202" s="21">
        <v>0</v>
      </c>
      <c r="R202" s="21">
        <v>0</v>
      </c>
      <c r="S202" s="21">
        <v>1</v>
      </c>
      <c r="T202" s="21">
        <v>0</v>
      </c>
      <c r="U202" s="22">
        <f t="shared" si="44"/>
        <v>4489</v>
      </c>
      <c r="V202" s="19" t="str">
        <f t="shared" si="45"/>
        <v>1189</v>
      </c>
      <c r="W202" s="7"/>
      <c r="X202" s="23">
        <v>4489</v>
      </c>
      <c r="Y202" s="19" t="str">
        <f t="shared" si="42"/>
        <v>1189</v>
      </c>
      <c r="Z202" s="18">
        <f t="shared" si="53"/>
        <v>0</v>
      </c>
      <c r="AA202" s="18">
        <f t="shared" si="52"/>
        <v>0</v>
      </c>
      <c r="AB202" s="18">
        <f t="shared" si="52"/>
        <v>0</v>
      </c>
      <c r="AC202" s="18">
        <f t="shared" si="52"/>
        <v>0</v>
      </c>
      <c r="AD202" s="18">
        <f t="shared" si="52"/>
        <v>0</v>
      </c>
      <c r="AE202" s="18">
        <f t="shared" si="52"/>
        <v>0</v>
      </c>
      <c r="AF202" s="18">
        <f t="shared" si="52"/>
        <v>0</v>
      </c>
      <c r="AG202" s="18">
        <f t="shared" si="52"/>
        <v>1</v>
      </c>
      <c r="AH202" s="18">
        <f t="shared" si="52"/>
        <v>1</v>
      </c>
      <c r="AI202" s="18">
        <f t="shared" si="52"/>
        <v>1</v>
      </c>
      <c r="AJ202" s="18">
        <f t="shared" si="52"/>
        <v>0</v>
      </c>
      <c r="AK202" s="18">
        <f t="shared" si="52"/>
        <v>1</v>
      </c>
      <c r="AL202" s="18">
        <f t="shared" si="52"/>
        <v>0</v>
      </c>
      <c r="AM202" s="18">
        <f t="shared" si="52"/>
        <v>0</v>
      </c>
      <c r="AN202" s="18">
        <f t="shared" si="52"/>
        <v>1</v>
      </c>
      <c r="AO202" s="18">
        <f t="shared" si="52"/>
        <v>0</v>
      </c>
      <c r="AQ202" s="28" t="str">
        <f t="shared" si="46"/>
        <v xml:space="preserve">    0x1189,  // 4</v>
      </c>
    </row>
    <row r="203" spans="1:43" ht="18.75" x14ac:dyDescent="0.3">
      <c r="A203" s="6"/>
      <c r="B203" s="16">
        <v>181</v>
      </c>
      <c r="C203" s="19" t="str">
        <f t="shared" si="43"/>
        <v>B5</v>
      </c>
      <c r="D203" s="25" t="s">
        <v>160</v>
      </c>
      <c r="E203" s="21">
        <v>1</v>
      </c>
      <c r="F203" s="21">
        <v>0</v>
      </c>
      <c r="G203" s="21">
        <v>0</v>
      </c>
      <c r="H203" s="21">
        <v>0</v>
      </c>
      <c r="I203" s="21">
        <v>1</v>
      </c>
      <c r="J203" s="21">
        <v>1</v>
      </c>
      <c r="K203" s="21">
        <v>0</v>
      </c>
      <c r="L203" s="21">
        <v>1</v>
      </c>
      <c r="M203" s="21">
        <v>1</v>
      </c>
      <c r="N203" s="21">
        <v>0</v>
      </c>
      <c r="O203" s="21">
        <v>0</v>
      </c>
      <c r="P203" s="21">
        <v>0</v>
      </c>
      <c r="Q203" s="21">
        <v>0</v>
      </c>
      <c r="R203" s="21">
        <v>1</v>
      </c>
      <c r="S203" s="21">
        <v>0</v>
      </c>
      <c r="T203" s="21">
        <v>0</v>
      </c>
      <c r="U203" s="22">
        <f t="shared" si="44"/>
        <v>25861</v>
      </c>
      <c r="V203" s="19" t="str">
        <f t="shared" si="45"/>
        <v>6505</v>
      </c>
      <c r="W203" s="7"/>
      <c r="X203" s="23">
        <v>25861</v>
      </c>
      <c r="Y203" s="19" t="str">
        <f t="shared" si="42"/>
        <v>6505</v>
      </c>
      <c r="Z203" s="18">
        <f t="shared" si="53"/>
        <v>1</v>
      </c>
      <c r="AA203" s="18">
        <f t="shared" si="52"/>
        <v>0</v>
      </c>
      <c r="AB203" s="18">
        <f t="shared" si="52"/>
        <v>0</v>
      </c>
      <c r="AC203" s="18">
        <f t="shared" si="52"/>
        <v>0</v>
      </c>
      <c r="AD203" s="18">
        <f t="shared" si="52"/>
        <v>1</v>
      </c>
      <c r="AE203" s="18">
        <f t="shared" si="52"/>
        <v>1</v>
      </c>
      <c r="AF203" s="18">
        <f t="shared" si="52"/>
        <v>0</v>
      </c>
      <c r="AG203" s="18">
        <f t="shared" si="52"/>
        <v>1</v>
      </c>
      <c r="AH203" s="18">
        <f t="shared" si="52"/>
        <v>1</v>
      </c>
      <c r="AI203" s="18">
        <f t="shared" si="52"/>
        <v>0</v>
      </c>
      <c r="AJ203" s="18">
        <f t="shared" si="52"/>
        <v>0</v>
      </c>
      <c r="AK203" s="18">
        <f t="shared" si="52"/>
        <v>0</v>
      </c>
      <c r="AL203" s="18">
        <f t="shared" si="52"/>
        <v>0</v>
      </c>
      <c r="AM203" s="18">
        <f t="shared" si="52"/>
        <v>1</v>
      </c>
      <c r="AN203" s="18">
        <f t="shared" si="52"/>
        <v>0</v>
      </c>
      <c r="AO203" s="18">
        <f t="shared" si="52"/>
        <v>0</v>
      </c>
      <c r="AQ203" s="28" t="str">
        <f t="shared" si="46"/>
        <v xml:space="preserve">    0x6505,  // 5</v>
      </c>
    </row>
    <row r="204" spans="1:43" ht="18.75" x14ac:dyDescent="0.3">
      <c r="A204" s="6"/>
      <c r="B204" s="16">
        <v>182</v>
      </c>
      <c r="C204" s="19" t="str">
        <f t="shared" si="43"/>
        <v>B6</v>
      </c>
      <c r="D204" s="25" t="s">
        <v>161</v>
      </c>
      <c r="E204" s="21">
        <v>1</v>
      </c>
      <c r="F204" s="21">
        <v>0</v>
      </c>
      <c r="G204" s="21">
        <v>0</v>
      </c>
      <c r="H204" s="21">
        <v>0</v>
      </c>
      <c r="I204" s="21">
        <v>1</v>
      </c>
      <c r="J204" s="21">
        <v>1</v>
      </c>
      <c r="K204" s="21">
        <v>1</v>
      </c>
      <c r="L204" s="21">
        <v>1</v>
      </c>
      <c r="M204" s="21">
        <v>1</v>
      </c>
      <c r="N204" s="21">
        <v>0</v>
      </c>
      <c r="O204" s="21">
        <v>0</v>
      </c>
      <c r="P204" s="21">
        <v>0</v>
      </c>
      <c r="Q204" s="21">
        <v>0</v>
      </c>
      <c r="R204" s="21">
        <v>1</v>
      </c>
      <c r="S204" s="21">
        <v>0</v>
      </c>
      <c r="T204" s="21">
        <v>0</v>
      </c>
      <c r="U204" s="22">
        <f t="shared" si="44"/>
        <v>26373</v>
      </c>
      <c r="V204" s="19" t="str">
        <f t="shared" si="45"/>
        <v>6705</v>
      </c>
      <c r="W204" s="7"/>
      <c r="X204" s="23">
        <v>26373</v>
      </c>
      <c r="Y204" s="19" t="str">
        <f t="shared" si="42"/>
        <v>6705</v>
      </c>
      <c r="Z204" s="18">
        <f t="shared" si="53"/>
        <v>1</v>
      </c>
      <c r="AA204" s="18">
        <f t="shared" si="52"/>
        <v>0</v>
      </c>
      <c r="AB204" s="18">
        <f t="shared" si="52"/>
        <v>0</v>
      </c>
      <c r="AC204" s="18">
        <f t="shared" si="52"/>
        <v>0</v>
      </c>
      <c r="AD204" s="18">
        <f t="shared" si="52"/>
        <v>1</v>
      </c>
      <c r="AE204" s="18">
        <f t="shared" si="52"/>
        <v>1</v>
      </c>
      <c r="AF204" s="18">
        <f t="shared" si="52"/>
        <v>1</v>
      </c>
      <c r="AG204" s="18">
        <f t="shared" si="52"/>
        <v>1</v>
      </c>
      <c r="AH204" s="18">
        <f t="shared" si="52"/>
        <v>1</v>
      </c>
      <c r="AI204" s="18">
        <f t="shared" si="52"/>
        <v>0</v>
      </c>
      <c r="AJ204" s="18">
        <f t="shared" si="52"/>
        <v>0</v>
      </c>
      <c r="AK204" s="18">
        <f t="shared" si="52"/>
        <v>0</v>
      </c>
      <c r="AL204" s="18">
        <f t="shared" si="52"/>
        <v>0</v>
      </c>
      <c r="AM204" s="18">
        <f t="shared" si="52"/>
        <v>1</v>
      </c>
      <c r="AN204" s="18">
        <f t="shared" si="52"/>
        <v>0</v>
      </c>
      <c r="AO204" s="18">
        <f t="shared" ref="AA204:AO221" si="54">IF(_xlfn.BITAND($X204,AO$19)=0,0,1)</f>
        <v>0</v>
      </c>
      <c r="AQ204" s="28" t="str">
        <f t="shared" si="46"/>
        <v xml:space="preserve">    0x6705,  // 6</v>
      </c>
    </row>
    <row r="205" spans="1:43" ht="18.75" x14ac:dyDescent="0.3">
      <c r="A205" s="6"/>
      <c r="B205" s="16">
        <v>183</v>
      </c>
      <c r="C205" s="19" t="str">
        <f t="shared" si="43"/>
        <v>B7</v>
      </c>
      <c r="D205" s="25" t="s">
        <v>162</v>
      </c>
      <c r="E205" s="21">
        <v>1</v>
      </c>
      <c r="F205" s="21">
        <v>1</v>
      </c>
      <c r="G205" s="21">
        <v>0</v>
      </c>
      <c r="H205" s="21">
        <v>0</v>
      </c>
      <c r="I205" s="21">
        <v>0</v>
      </c>
      <c r="J205" s="21">
        <v>0</v>
      </c>
      <c r="K205" s="21">
        <v>0</v>
      </c>
      <c r="L205" s="21">
        <v>0</v>
      </c>
      <c r="M205" s="21">
        <v>0</v>
      </c>
      <c r="N205" s="21">
        <v>0</v>
      </c>
      <c r="O205" s="21">
        <v>0</v>
      </c>
      <c r="P205" s="21">
        <v>0</v>
      </c>
      <c r="Q205" s="21">
        <v>1</v>
      </c>
      <c r="R205" s="21">
        <v>0</v>
      </c>
      <c r="S205" s="21">
        <v>1</v>
      </c>
      <c r="T205" s="21">
        <v>0</v>
      </c>
      <c r="U205" s="22">
        <f t="shared" si="44"/>
        <v>4148</v>
      </c>
      <c r="V205" s="19" t="str">
        <f t="shared" si="45"/>
        <v>1034</v>
      </c>
      <c r="W205" s="7"/>
      <c r="X205" s="23">
        <v>4148</v>
      </c>
      <c r="Y205" s="19" t="str">
        <f t="shared" si="42"/>
        <v>1034</v>
      </c>
      <c r="Z205" s="18">
        <f t="shared" si="53"/>
        <v>1</v>
      </c>
      <c r="AA205" s="18">
        <f t="shared" si="54"/>
        <v>1</v>
      </c>
      <c r="AB205" s="18">
        <f t="shared" si="54"/>
        <v>0</v>
      </c>
      <c r="AC205" s="18">
        <f t="shared" si="54"/>
        <v>0</v>
      </c>
      <c r="AD205" s="18">
        <f t="shared" si="54"/>
        <v>0</v>
      </c>
      <c r="AE205" s="18">
        <f t="shared" si="54"/>
        <v>0</v>
      </c>
      <c r="AF205" s="18">
        <f t="shared" si="54"/>
        <v>0</v>
      </c>
      <c r="AG205" s="18">
        <f t="shared" si="54"/>
        <v>0</v>
      </c>
      <c r="AH205" s="18">
        <f t="shared" si="54"/>
        <v>0</v>
      </c>
      <c r="AI205" s="18">
        <f t="shared" si="54"/>
        <v>0</v>
      </c>
      <c r="AJ205" s="18">
        <f t="shared" si="54"/>
        <v>0</v>
      </c>
      <c r="AK205" s="18">
        <f t="shared" si="54"/>
        <v>0</v>
      </c>
      <c r="AL205" s="18">
        <f t="shared" si="54"/>
        <v>1</v>
      </c>
      <c r="AM205" s="18">
        <f t="shared" si="54"/>
        <v>0</v>
      </c>
      <c r="AN205" s="18">
        <f t="shared" si="54"/>
        <v>1</v>
      </c>
      <c r="AO205" s="18">
        <f t="shared" si="54"/>
        <v>0</v>
      </c>
      <c r="AQ205" s="28" t="str">
        <f t="shared" si="46"/>
        <v xml:space="preserve">    0x1034,  // 7</v>
      </c>
    </row>
    <row r="206" spans="1:43" ht="18.75" x14ac:dyDescent="0.3">
      <c r="A206" s="6"/>
      <c r="B206" s="16">
        <v>184</v>
      </c>
      <c r="C206" s="19" t="str">
        <f t="shared" si="43"/>
        <v>B8</v>
      </c>
      <c r="D206" s="25" t="s">
        <v>163</v>
      </c>
      <c r="E206" s="21">
        <v>1</v>
      </c>
      <c r="F206" s="21">
        <v>1</v>
      </c>
      <c r="G206" s="21">
        <v>0</v>
      </c>
      <c r="H206" s="21">
        <v>1</v>
      </c>
      <c r="I206" s="21">
        <v>1</v>
      </c>
      <c r="J206" s="21">
        <v>1</v>
      </c>
      <c r="K206" s="21">
        <v>1</v>
      </c>
      <c r="L206" s="21">
        <v>0</v>
      </c>
      <c r="M206" s="21">
        <v>1</v>
      </c>
      <c r="N206" s="21">
        <v>1</v>
      </c>
      <c r="O206" s="21">
        <v>1</v>
      </c>
      <c r="P206" s="21">
        <v>0</v>
      </c>
      <c r="Q206" s="21">
        <v>1</v>
      </c>
      <c r="R206" s="21">
        <v>0</v>
      </c>
      <c r="S206" s="21">
        <v>0</v>
      </c>
      <c r="T206" s="21">
        <v>0</v>
      </c>
      <c r="U206" s="22">
        <f t="shared" si="44"/>
        <v>42934</v>
      </c>
      <c r="V206" s="19" t="str">
        <f t="shared" si="45"/>
        <v>A7B6</v>
      </c>
      <c r="W206" s="7"/>
      <c r="X206" s="23">
        <v>44469</v>
      </c>
      <c r="Y206" s="19" t="str">
        <f t="shared" si="42"/>
        <v>ADB5</v>
      </c>
      <c r="Z206" s="18">
        <f t="shared" si="53"/>
        <v>1</v>
      </c>
      <c r="AA206" s="18">
        <f t="shared" si="54"/>
        <v>1</v>
      </c>
      <c r="AB206" s="18">
        <f t="shared" si="54"/>
        <v>0</v>
      </c>
      <c r="AC206" s="18">
        <f t="shared" si="54"/>
        <v>1</v>
      </c>
      <c r="AD206" s="18">
        <f t="shared" si="54"/>
        <v>1</v>
      </c>
      <c r="AE206" s="18">
        <f t="shared" si="54"/>
        <v>1</v>
      </c>
      <c r="AF206" s="18">
        <f t="shared" si="54"/>
        <v>0</v>
      </c>
      <c r="AG206" s="18">
        <f t="shared" si="54"/>
        <v>1</v>
      </c>
      <c r="AH206" s="18">
        <f t="shared" si="54"/>
        <v>1</v>
      </c>
      <c r="AI206" s="18">
        <f t="shared" si="54"/>
        <v>1</v>
      </c>
      <c r="AJ206" s="18">
        <f t="shared" si="54"/>
        <v>0</v>
      </c>
      <c r="AK206" s="18">
        <f t="shared" si="54"/>
        <v>0</v>
      </c>
      <c r="AL206" s="18">
        <f t="shared" si="54"/>
        <v>1</v>
      </c>
      <c r="AM206" s="18">
        <f t="shared" si="54"/>
        <v>0</v>
      </c>
      <c r="AN206" s="18">
        <f t="shared" si="54"/>
        <v>0</v>
      </c>
      <c r="AO206" s="18">
        <f t="shared" si="54"/>
        <v>1</v>
      </c>
      <c r="AQ206" s="28" t="str">
        <f t="shared" si="46"/>
        <v xml:space="preserve">    0xA7B6,  // 8</v>
      </c>
    </row>
    <row r="207" spans="1:43" ht="18.75" x14ac:dyDescent="0.3">
      <c r="A207" s="6"/>
      <c r="B207" s="16">
        <v>185</v>
      </c>
      <c r="C207" s="19" t="str">
        <f t="shared" si="43"/>
        <v>B9</v>
      </c>
      <c r="D207" s="25" t="s">
        <v>164</v>
      </c>
      <c r="E207" s="21">
        <v>1</v>
      </c>
      <c r="F207" s="21">
        <v>1</v>
      </c>
      <c r="G207" s="21">
        <v>1</v>
      </c>
      <c r="H207" s="21">
        <v>1</v>
      </c>
      <c r="I207" s="21">
        <v>0</v>
      </c>
      <c r="J207" s="21">
        <v>1</v>
      </c>
      <c r="K207" s="21">
        <v>0</v>
      </c>
      <c r="L207" s="21">
        <v>0</v>
      </c>
      <c r="M207" s="21">
        <v>0</v>
      </c>
      <c r="N207" s="21">
        <v>1</v>
      </c>
      <c r="O207" s="21">
        <v>1</v>
      </c>
      <c r="P207" s="21">
        <v>0</v>
      </c>
      <c r="Q207" s="21">
        <v>0</v>
      </c>
      <c r="R207" s="21">
        <v>0</v>
      </c>
      <c r="S207" s="21">
        <v>0</v>
      </c>
      <c r="T207" s="21">
        <v>0</v>
      </c>
      <c r="U207" s="22">
        <f t="shared" si="44"/>
        <v>41190</v>
      </c>
      <c r="V207" s="19" t="str">
        <f t="shared" si="45"/>
        <v>A0E6</v>
      </c>
      <c r="W207" s="7"/>
      <c r="X207" s="23">
        <v>41190</v>
      </c>
      <c r="Y207" s="19" t="str">
        <f t="shared" si="42"/>
        <v>A0E6</v>
      </c>
      <c r="Z207" s="18">
        <f t="shared" si="53"/>
        <v>1</v>
      </c>
      <c r="AA207" s="18">
        <f t="shared" si="54"/>
        <v>1</v>
      </c>
      <c r="AB207" s="18">
        <f t="shared" si="54"/>
        <v>1</v>
      </c>
      <c r="AC207" s="18">
        <f t="shared" si="54"/>
        <v>1</v>
      </c>
      <c r="AD207" s="18">
        <f t="shared" si="54"/>
        <v>0</v>
      </c>
      <c r="AE207" s="18">
        <f t="shared" si="54"/>
        <v>1</v>
      </c>
      <c r="AF207" s="18">
        <f t="shared" si="54"/>
        <v>0</v>
      </c>
      <c r="AG207" s="18">
        <f t="shared" si="54"/>
        <v>0</v>
      </c>
      <c r="AH207" s="18">
        <f t="shared" si="54"/>
        <v>0</v>
      </c>
      <c r="AI207" s="18">
        <f t="shared" si="54"/>
        <v>1</v>
      </c>
      <c r="AJ207" s="18">
        <f t="shared" si="54"/>
        <v>1</v>
      </c>
      <c r="AK207" s="18">
        <f t="shared" si="54"/>
        <v>0</v>
      </c>
      <c r="AL207" s="18">
        <f t="shared" si="54"/>
        <v>0</v>
      </c>
      <c r="AM207" s="18">
        <f t="shared" si="54"/>
        <v>0</v>
      </c>
      <c r="AN207" s="18">
        <f t="shared" si="54"/>
        <v>0</v>
      </c>
      <c r="AO207" s="18">
        <f t="shared" si="54"/>
        <v>0</v>
      </c>
      <c r="AQ207" s="28" t="str">
        <f t="shared" si="46"/>
        <v xml:space="preserve">    0xA0E6,  // 9</v>
      </c>
    </row>
    <row r="208" spans="1:43" ht="18.75" x14ac:dyDescent="0.3">
      <c r="A208" s="6"/>
      <c r="B208" s="16">
        <v>186</v>
      </c>
      <c r="C208" s="19" t="str">
        <f t="shared" si="43"/>
        <v>BA</v>
      </c>
      <c r="D208" s="24" t="s">
        <v>149</v>
      </c>
      <c r="E208" s="21">
        <v>1</v>
      </c>
      <c r="F208" s="21">
        <v>0</v>
      </c>
      <c r="G208" s="21">
        <v>0</v>
      </c>
      <c r="H208" s="21">
        <v>0</v>
      </c>
      <c r="I208" s="21">
        <v>0</v>
      </c>
      <c r="J208" s="21">
        <v>0</v>
      </c>
      <c r="K208" s="21">
        <v>0</v>
      </c>
      <c r="L208" s="21">
        <v>0</v>
      </c>
      <c r="M208" s="21">
        <v>1</v>
      </c>
      <c r="N208" s="21">
        <v>0</v>
      </c>
      <c r="O208" s="21">
        <v>0</v>
      </c>
      <c r="P208" s="21">
        <v>0</v>
      </c>
      <c r="Q208" s="21">
        <v>0</v>
      </c>
      <c r="R208" s="21">
        <v>0</v>
      </c>
      <c r="S208" s="21">
        <v>0</v>
      </c>
      <c r="T208" s="21">
        <v>0</v>
      </c>
      <c r="U208" s="22">
        <f t="shared" si="44"/>
        <v>260</v>
      </c>
      <c r="V208" s="19" t="str">
        <f t="shared" si="45"/>
        <v>0104</v>
      </c>
      <c r="W208" s="7"/>
      <c r="X208" s="23">
        <v>260</v>
      </c>
      <c r="Y208" s="19" t="str">
        <f t="shared" si="42"/>
        <v>0104</v>
      </c>
      <c r="Z208" s="18">
        <f t="shared" si="53"/>
        <v>1</v>
      </c>
      <c r="AA208" s="18">
        <f t="shared" si="54"/>
        <v>0</v>
      </c>
      <c r="AB208" s="18">
        <f t="shared" si="54"/>
        <v>0</v>
      </c>
      <c r="AC208" s="18">
        <f t="shared" si="54"/>
        <v>0</v>
      </c>
      <c r="AD208" s="18">
        <f t="shared" si="54"/>
        <v>0</v>
      </c>
      <c r="AE208" s="18">
        <f t="shared" si="54"/>
        <v>0</v>
      </c>
      <c r="AF208" s="18">
        <f t="shared" si="54"/>
        <v>0</v>
      </c>
      <c r="AG208" s="18">
        <f t="shared" si="54"/>
        <v>0</v>
      </c>
      <c r="AH208" s="18">
        <f t="shared" si="54"/>
        <v>1</v>
      </c>
      <c r="AI208" s="18">
        <f t="shared" si="54"/>
        <v>0</v>
      </c>
      <c r="AJ208" s="18">
        <f t="shared" si="54"/>
        <v>0</v>
      </c>
      <c r="AK208" s="18">
        <f t="shared" si="54"/>
        <v>0</v>
      </c>
      <c r="AL208" s="18">
        <f t="shared" si="54"/>
        <v>0</v>
      </c>
      <c r="AM208" s="18">
        <f t="shared" si="54"/>
        <v>0</v>
      </c>
      <c r="AN208" s="18">
        <f t="shared" si="54"/>
        <v>0</v>
      </c>
      <c r="AO208" s="18">
        <f t="shared" si="54"/>
        <v>0</v>
      </c>
      <c r="AQ208" s="28" t="str">
        <f t="shared" si="46"/>
        <v xml:space="preserve">    0x0104,  // :</v>
      </c>
    </row>
    <row r="209" spans="1:43" ht="18.75" x14ac:dyDescent="0.3">
      <c r="A209" s="6"/>
      <c r="B209" s="16">
        <v>187</v>
      </c>
      <c r="C209" s="19" t="str">
        <f t="shared" si="43"/>
        <v>BB</v>
      </c>
      <c r="D209" s="24" t="s">
        <v>150</v>
      </c>
      <c r="E209" s="21">
        <v>1</v>
      </c>
      <c r="F209" s="21">
        <v>0</v>
      </c>
      <c r="G209" s="21">
        <v>0</v>
      </c>
      <c r="H209" s="21">
        <v>0</v>
      </c>
      <c r="I209" s="21">
        <v>0</v>
      </c>
      <c r="J209" s="21">
        <v>0</v>
      </c>
      <c r="K209" s="21">
        <v>0</v>
      </c>
      <c r="L209" s="21">
        <v>0</v>
      </c>
      <c r="M209" s="21">
        <v>1</v>
      </c>
      <c r="N209" s="21">
        <v>0</v>
      </c>
      <c r="O209" s="21">
        <v>0</v>
      </c>
      <c r="P209" s="21">
        <v>0</v>
      </c>
      <c r="Q209" s="21">
        <v>0</v>
      </c>
      <c r="R209" s="21">
        <v>0</v>
      </c>
      <c r="S209" s="21">
        <v>1</v>
      </c>
      <c r="T209" s="21">
        <v>0</v>
      </c>
      <c r="U209" s="22">
        <f t="shared" si="44"/>
        <v>4356</v>
      </c>
      <c r="V209" s="19" t="str">
        <f t="shared" si="45"/>
        <v>1104</v>
      </c>
      <c r="W209" s="7"/>
      <c r="X209" s="23">
        <v>4356</v>
      </c>
      <c r="Y209" s="19" t="str">
        <f t="shared" si="42"/>
        <v>1104</v>
      </c>
      <c r="Z209" s="18">
        <f t="shared" si="53"/>
        <v>1</v>
      </c>
      <c r="AA209" s="18">
        <f t="shared" si="54"/>
        <v>0</v>
      </c>
      <c r="AB209" s="18">
        <f t="shared" si="54"/>
        <v>0</v>
      </c>
      <c r="AC209" s="18">
        <f t="shared" si="54"/>
        <v>0</v>
      </c>
      <c r="AD209" s="18">
        <f t="shared" si="54"/>
        <v>0</v>
      </c>
      <c r="AE209" s="18">
        <f t="shared" si="54"/>
        <v>0</v>
      </c>
      <c r="AF209" s="18">
        <f t="shared" si="54"/>
        <v>0</v>
      </c>
      <c r="AG209" s="18">
        <f t="shared" si="54"/>
        <v>0</v>
      </c>
      <c r="AH209" s="18">
        <f t="shared" si="54"/>
        <v>1</v>
      </c>
      <c r="AI209" s="18">
        <f t="shared" si="54"/>
        <v>0</v>
      </c>
      <c r="AJ209" s="18">
        <f t="shared" si="54"/>
        <v>0</v>
      </c>
      <c r="AK209" s="18">
        <f t="shared" si="54"/>
        <v>0</v>
      </c>
      <c r="AL209" s="18">
        <f t="shared" si="54"/>
        <v>0</v>
      </c>
      <c r="AM209" s="18">
        <f t="shared" si="54"/>
        <v>0</v>
      </c>
      <c r="AN209" s="18">
        <f t="shared" si="54"/>
        <v>1</v>
      </c>
      <c r="AO209" s="18">
        <f t="shared" si="54"/>
        <v>0</v>
      </c>
      <c r="AQ209" s="28" t="str">
        <f t="shared" si="46"/>
        <v xml:space="preserve">    0x1104,  // ;</v>
      </c>
    </row>
    <row r="210" spans="1:43" ht="18.75" x14ac:dyDescent="0.3">
      <c r="A210" s="6"/>
      <c r="B210" s="16">
        <v>188</v>
      </c>
      <c r="C210" s="19" t="str">
        <f t="shared" si="43"/>
        <v>BC</v>
      </c>
      <c r="D210" s="24" t="s">
        <v>151</v>
      </c>
      <c r="E210" s="21">
        <v>0</v>
      </c>
      <c r="F210" s="21">
        <v>0</v>
      </c>
      <c r="G210" s="21">
        <v>0</v>
      </c>
      <c r="H210" s="21">
        <v>0</v>
      </c>
      <c r="I210" s="21">
        <v>0</v>
      </c>
      <c r="J210" s="21">
        <v>0</v>
      </c>
      <c r="K210" s="21">
        <v>0</v>
      </c>
      <c r="L210" s="21">
        <v>0</v>
      </c>
      <c r="M210" s="21">
        <v>1</v>
      </c>
      <c r="N210" s="21">
        <v>0</v>
      </c>
      <c r="O210" s="21">
        <v>0</v>
      </c>
      <c r="P210" s="21">
        <v>0</v>
      </c>
      <c r="Q210" s="21">
        <v>1</v>
      </c>
      <c r="R210" s="21">
        <v>1</v>
      </c>
      <c r="S210" s="21">
        <v>0</v>
      </c>
      <c r="T210" s="21">
        <v>0</v>
      </c>
      <c r="U210" s="22">
        <f t="shared" si="44"/>
        <v>16656</v>
      </c>
      <c r="V210" s="19" t="str">
        <f t="shared" si="45"/>
        <v>4110</v>
      </c>
      <c r="W210" s="7"/>
      <c r="X210" s="23">
        <v>16656</v>
      </c>
      <c r="Y210" s="19" t="str">
        <f t="shared" si="42"/>
        <v>4110</v>
      </c>
      <c r="Z210" s="18">
        <f t="shared" si="53"/>
        <v>0</v>
      </c>
      <c r="AA210" s="18">
        <f t="shared" si="54"/>
        <v>0</v>
      </c>
      <c r="AB210" s="18">
        <f t="shared" si="54"/>
        <v>0</v>
      </c>
      <c r="AC210" s="18">
        <f t="shared" si="54"/>
        <v>0</v>
      </c>
      <c r="AD210" s="18">
        <f t="shared" si="54"/>
        <v>0</v>
      </c>
      <c r="AE210" s="18">
        <f t="shared" si="54"/>
        <v>0</v>
      </c>
      <c r="AF210" s="18">
        <f t="shared" si="54"/>
        <v>0</v>
      </c>
      <c r="AG210" s="18">
        <f t="shared" si="54"/>
        <v>0</v>
      </c>
      <c r="AH210" s="18">
        <f t="shared" si="54"/>
        <v>1</v>
      </c>
      <c r="AI210" s="18">
        <f t="shared" si="54"/>
        <v>0</v>
      </c>
      <c r="AJ210" s="18">
        <f t="shared" si="54"/>
        <v>0</v>
      </c>
      <c r="AK210" s="18">
        <f t="shared" si="54"/>
        <v>0</v>
      </c>
      <c r="AL210" s="18">
        <f t="shared" si="54"/>
        <v>1</v>
      </c>
      <c r="AM210" s="18">
        <f t="shared" si="54"/>
        <v>1</v>
      </c>
      <c r="AN210" s="18">
        <f t="shared" si="54"/>
        <v>0</v>
      </c>
      <c r="AO210" s="18">
        <f t="shared" si="54"/>
        <v>0</v>
      </c>
      <c r="AQ210" s="28" t="str">
        <f t="shared" si="46"/>
        <v xml:space="preserve">    0x4110,  // &lt;</v>
      </c>
    </row>
    <row r="211" spans="1:43" ht="18.75" x14ac:dyDescent="0.3">
      <c r="A211" s="6"/>
      <c r="B211" s="16">
        <v>189</v>
      </c>
      <c r="C211" s="19" t="str">
        <f t="shared" si="43"/>
        <v>BD</v>
      </c>
      <c r="D211" s="24" t="s">
        <v>152</v>
      </c>
      <c r="E211" s="21">
        <v>1</v>
      </c>
      <c r="F211" s="21">
        <v>1</v>
      </c>
      <c r="G211" s="21">
        <v>0</v>
      </c>
      <c r="H211" s="21">
        <v>0</v>
      </c>
      <c r="I211" s="21">
        <v>0</v>
      </c>
      <c r="J211" s="21">
        <v>0</v>
      </c>
      <c r="K211" s="21">
        <v>0</v>
      </c>
      <c r="L211" s="21">
        <v>0</v>
      </c>
      <c r="M211" s="21">
        <v>1</v>
      </c>
      <c r="N211" s="21">
        <v>1</v>
      </c>
      <c r="O211" s="21">
        <v>0</v>
      </c>
      <c r="P211" s="21">
        <v>0</v>
      </c>
      <c r="Q211" s="21">
        <v>0</v>
      </c>
      <c r="R211" s="21">
        <v>0</v>
      </c>
      <c r="S211" s="21">
        <v>0</v>
      </c>
      <c r="T211" s="21">
        <v>0</v>
      </c>
      <c r="U211" s="22">
        <f t="shared" si="44"/>
        <v>420</v>
      </c>
      <c r="V211" s="19" t="str">
        <f t="shared" si="45"/>
        <v>01A4</v>
      </c>
      <c r="W211" s="7"/>
      <c r="X211" s="23">
        <v>420</v>
      </c>
      <c r="Y211" s="19" t="str">
        <f t="shared" si="42"/>
        <v>01A4</v>
      </c>
      <c r="Z211" s="18">
        <f t="shared" si="53"/>
        <v>1</v>
      </c>
      <c r="AA211" s="18">
        <f t="shared" si="54"/>
        <v>1</v>
      </c>
      <c r="AB211" s="18">
        <f t="shared" si="54"/>
        <v>0</v>
      </c>
      <c r="AC211" s="18">
        <f t="shared" si="54"/>
        <v>0</v>
      </c>
      <c r="AD211" s="18">
        <f t="shared" si="54"/>
        <v>0</v>
      </c>
      <c r="AE211" s="18">
        <f t="shared" si="54"/>
        <v>0</v>
      </c>
      <c r="AF211" s="18">
        <f t="shared" si="54"/>
        <v>0</v>
      </c>
      <c r="AG211" s="18">
        <f t="shared" si="54"/>
        <v>0</v>
      </c>
      <c r="AH211" s="18">
        <f t="shared" si="54"/>
        <v>1</v>
      </c>
      <c r="AI211" s="18">
        <f t="shared" si="54"/>
        <v>1</v>
      </c>
      <c r="AJ211" s="18">
        <f t="shared" si="54"/>
        <v>0</v>
      </c>
      <c r="AK211" s="18">
        <f t="shared" si="54"/>
        <v>0</v>
      </c>
      <c r="AL211" s="18">
        <f t="shared" si="54"/>
        <v>0</v>
      </c>
      <c r="AM211" s="18">
        <f t="shared" si="54"/>
        <v>0</v>
      </c>
      <c r="AN211" s="18">
        <f t="shared" si="54"/>
        <v>0</v>
      </c>
      <c r="AO211" s="18">
        <f t="shared" si="54"/>
        <v>0</v>
      </c>
      <c r="AQ211" s="28" t="str">
        <f t="shared" si="46"/>
        <v xml:space="preserve">    0x01A4,  // =</v>
      </c>
    </row>
    <row r="212" spans="1:43" ht="18.75" x14ac:dyDescent="0.3">
      <c r="A212" s="6"/>
      <c r="B212" s="16">
        <v>190</v>
      </c>
      <c r="C212" s="19" t="str">
        <f t="shared" si="43"/>
        <v>BE</v>
      </c>
      <c r="D212" s="24" t="s">
        <v>153</v>
      </c>
      <c r="E212" s="21">
        <v>0</v>
      </c>
      <c r="F212" s="21">
        <v>0</v>
      </c>
      <c r="G212" s="21">
        <v>0</v>
      </c>
      <c r="H212" s="21">
        <v>0</v>
      </c>
      <c r="I212" s="21">
        <v>0</v>
      </c>
      <c r="J212" s="21">
        <v>0</v>
      </c>
      <c r="K212" s="21">
        <v>0</v>
      </c>
      <c r="L212" s="21">
        <v>0</v>
      </c>
      <c r="M212" s="21">
        <v>0</v>
      </c>
      <c r="N212" s="21">
        <v>1</v>
      </c>
      <c r="O212" s="21">
        <v>1</v>
      </c>
      <c r="P212" s="21">
        <v>0</v>
      </c>
      <c r="Q212" s="21">
        <v>0</v>
      </c>
      <c r="R212" s="21">
        <v>0</v>
      </c>
      <c r="S212" s="21">
        <v>0</v>
      </c>
      <c r="T212" s="21">
        <v>1</v>
      </c>
      <c r="U212" s="22">
        <f t="shared" si="44"/>
        <v>2178</v>
      </c>
      <c r="V212" s="19" t="str">
        <f t="shared" si="45"/>
        <v>0882</v>
      </c>
      <c r="W212" s="7"/>
      <c r="X212" s="23">
        <v>2178</v>
      </c>
      <c r="Y212" s="19" t="str">
        <f t="shared" si="42"/>
        <v>0882</v>
      </c>
      <c r="Z212" s="18">
        <f t="shared" si="53"/>
        <v>0</v>
      </c>
      <c r="AA212" s="18">
        <f t="shared" si="54"/>
        <v>0</v>
      </c>
      <c r="AB212" s="18">
        <f t="shared" si="54"/>
        <v>0</v>
      </c>
      <c r="AC212" s="18">
        <f t="shared" si="54"/>
        <v>0</v>
      </c>
      <c r="AD212" s="18">
        <f t="shared" si="54"/>
        <v>0</v>
      </c>
      <c r="AE212" s="18">
        <f t="shared" si="54"/>
        <v>0</v>
      </c>
      <c r="AF212" s="18">
        <f t="shared" si="54"/>
        <v>0</v>
      </c>
      <c r="AG212" s="18">
        <f t="shared" si="54"/>
        <v>0</v>
      </c>
      <c r="AH212" s="18">
        <f t="shared" si="54"/>
        <v>0</v>
      </c>
      <c r="AI212" s="18">
        <f t="shared" si="54"/>
        <v>1</v>
      </c>
      <c r="AJ212" s="18">
        <f t="shared" si="54"/>
        <v>1</v>
      </c>
      <c r="AK212" s="18">
        <f t="shared" si="54"/>
        <v>0</v>
      </c>
      <c r="AL212" s="18">
        <f t="shared" si="54"/>
        <v>0</v>
      </c>
      <c r="AM212" s="18">
        <f t="shared" si="54"/>
        <v>0</v>
      </c>
      <c r="AN212" s="18">
        <f t="shared" si="54"/>
        <v>0</v>
      </c>
      <c r="AO212" s="18">
        <f t="shared" si="54"/>
        <v>1</v>
      </c>
      <c r="AQ212" s="28" t="str">
        <f t="shared" si="46"/>
        <v xml:space="preserve">    0x0882,  // &gt;</v>
      </c>
    </row>
    <row r="213" spans="1:43" ht="18.75" x14ac:dyDescent="0.3">
      <c r="A213" s="6"/>
      <c r="B213" s="16">
        <v>191</v>
      </c>
      <c r="C213" s="19" t="str">
        <f t="shared" si="43"/>
        <v>BF</v>
      </c>
      <c r="D213" s="24" t="s">
        <v>154</v>
      </c>
      <c r="E213" s="21">
        <v>1</v>
      </c>
      <c r="F213" s="21">
        <v>1</v>
      </c>
      <c r="G213" s="21">
        <v>1</v>
      </c>
      <c r="H213" s="21">
        <v>0</v>
      </c>
      <c r="I213" s="21">
        <v>0</v>
      </c>
      <c r="J213" s="21">
        <v>0</v>
      </c>
      <c r="K213" s="21">
        <v>0</v>
      </c>
      <c r="L213" s="21">
        <v>0</v>
      </c>
      <c r="M213" s="21">
        <v>0</v>
      </c>
      <c r="N213" s="21">
        <v>1</v>
      </c>
      <c r="O213" s="21">
        <v>0</v>
      </c>
      <c r="P213" s="21">
        <v>0</v>
      </c>
      <c r="Q213" s="21">
        <v>0</v>
      </c>
      <c r="R213" s="21">
        <v>0</v>
      </c>
      <c r="S213" s="21">
        <v>0</v>
      </c>
      <c r="T213" s="21">
        <v>1</v>
      </c>
      <c r="U213" s="22">
        <f t="shared" si="44"/>
        <v>2276</v>
      </c>
      <c r="V213" s="19" t="str">
        <f t="shared" si="45"/>
        <v>08E4</v>
      </c>
      <c r="W213" s="7"/>
      <c r="X213" s="23">
        <v>2276</v>
      </c>
      <c r="Y213" s="19" t="str">
        <f t="shared" si="42"/>
        <v>08E4</v>
      </c>
      <c r="Z213" s="18">
        <f t="shared" si="53"/>
        <v>1</v>
      </c>
      <c r="AA213" s="18">
        <f t="shared" si="54"/>
        <v>1</v>
      </c>
      <c r="AB213" s="18">
        <f t="shared" si="54"/>
        <v>1</v>
      </c>
      <c r="AC213" s="18">
        <f t="shared" si="54"/>
        <v>0</v>
      </c>
      <c r="AD213" s="18">
        <f t="shared" si="54"/>
        <v>0</v>
      </c>
      <c r="AE213" s="18">
        <f t="shared" si="54"/>
        <v>0</v>
      </c>
      <c r="AF213" s="18">
        <f t="shared" si="54"/>
        <v>0</v>
      </c>
      <c r="AG213" s="18">
        <f t="shared" si="54"/>
        <v>0</v>
      </c>
      <c r="AH213" s="18">
        <f t="shared" si="54"/>
        <v>0</v>
      </c>
      <c r="AI213" s="18">
        <f t="shared" si="54"/>
        <v>1</v>
      </c>
      <c r="AJ213" s="18">
        <f t="shared" si="54"/>
        <v>0</v>
      </c>
      <c r="AK213" s="18">
        <f t="shared" si="54"/>
        <v>0</v>
      </c>
      <c r="AL213" s="18">
        <f t="shared" si="54"/>
        <v>0</v>
      </c>
      <c r="AM213" s="18">
        <f t="shared" si="54"/>
        <v>0</v>
      </c>
      <c r="AN213" s="18">
        <f t="shared" si="54"/>
        <v>0</v>
      </c>
      <c r="AO213" s="18">
        <f t="shared" si="54"/>
        <v>1</v>
      </c>
      <c r="AQ213" s="28" t="str">
        <f t="shared" si="46"/>
        <v xml:space="preserve">    0x08E4,  // ?</v>
      </c>
    </row>
    <row r="214" spans="1:43" ht="18.75" x14ac:dyDescent="0.3">
      <c r="A214" s="6"/>
      <c r="B214" s="16">
        <v>192</v>
      </c>
      <c r="C214" s="19" t="str">
        <f t="shared" si="43"/>
        <v>C0</v>
      </c>
      <c r="D214" s="24" t="s">
        <v>72</v>
      </c>
      <c r="E214" s="21">
        <v>0</v>
      </c>
      <c r="F214" s="21">
        <v>1</v>
      </c>
      <c r="G214" s="21">
        <v>1</v>
      </c>
      <c r="H214" s="21">
        <v>1</v>
      </c>
      <c r="I214" s="21">
        <v>1</v>
      </c>
      <c r="J214" s="21">
        <v>1</v>
      </c>
      <c r="K214" s="21">
        <v>1</v>
      </c>
      <c r="L214" s="21">
        <v>0</v>
      </c>
      <c r="M214" s="21">
        <v>1</v>
      </c>
      <c r="N214" s="21">
        <v>0</v>
      </c>
      <c r="O214" s="21">
        <v>0</v>
      </c>
      <c r="P214" s="21">
        <v>0</v>
      </c>
      <c r="Q214" s="21">
        <v>0</v>
      </c>
      <c r="R214" s="21">
        <v>0</v>
      </c>
      <c r="S214" s="21">
        <v>1</v>
      </c>
      <c r="T214" s="21">
        <v>0</v>
      </c>
      <c r="U214" s="22">
        <f t="shared" si="44"/>
        <v>46944</v>
      </c>
      <c r="V214" s="19" t="str">
        <f t="shared" si="45"/>
        <v>B760</v>
      </c>
      <c r="W214" s="7"/>
      <c r="X214" s="23">
        <v>46944</v>
      </c>
      <c r="Y214" s="19" t="str">
        <f t="shared" ref="Y214:Y277" si="55">DEC2HEX(X214,4)</f>
        <v>B760</v>
      </c>
      <c r="Z214" s="18">
        <f t="shared" si="53"/>
        <v>0</v>
      </c>
      <c r="AA214" s="18">
        <f t="shared" si="54"/>
        <v>1</v>
      </c>
      <c r="AB214" s="18">
        <f t="shared" si="54"/>
        <v>1</v>
      </c>
      <c r="AC214" s="18">
        <f t="shared" si="54"/>
        <v>1</v>
      </c>
      <c r="AD214" s="18">
        <f t="shared" si="54"/>
        <v>1</v>
      </c>
      <c r="AE214" s="18">
        <f t="shared" si="54"/>
        <v>1</v>
      </c>
      <c r="AF214" s="18">
        <f t="shared" si="54"/>
        <v>1</v>
      </c>
      <c r="AG214" s="18">
        <f t="shared" si="54"/>
        <v>0</v>
      </c>
      <c r="AH214" s="18">
        <f t="shared" si="54"/>
        <v>1</v>
      </c>
      <c r="AI214" s="18">
        <f t="shared" si="54"/>
        <v>0</v>
      </c>
      <c r="AJ214" s="18">
        <f t="shared" si="54"/>
        <v>0</v>
      </c>
      <c r="AK214" s="18">
        <f t="shared" si="54"/>
        <v>0</v>
      </c>
      <c r="AL214" s="18">
        <f t="shared" si="54"/>
        <v>0</v>
      </c>
      <c r="AM214" s="18">
        <f t="shared" si="54"/>
        <v>0</v>
      </c>
      <c r="AN214" s="18">
        <f t="shared" si="54"/>
        <v>1</v>
      </c>
      <c r="AO214" s="18">
        <f t="shared" si="54"/>
        <v>0</v>
      </c>
      <c r="AQ214" s="28" t="str">
        <f t="shared" si="46"/>
        <v xml:space="preserve">    0xB760,  // @</v>
      </c>
    </row>
    <row r="215" spans="1:43" ht="18.75" x14ac:dyDescent="0.3">
      <c r="A215" s="6"/>
      <c r="B215" s="16">
        <v>193</v>
      </c>
      <c r="C215" s="19" t="str">
        <f t="shared" ref="C215:C277" si="56">DEC2HEX(B215,2)</f>
        <v>C1</v>
      </c>
      <c r="D215" s="24" t="s">
        <v>73</v>
      </c>
      <c r="E215" s="21">
        <v>0</v>
      </c>
      <c r="F215" s="21">
        <v>1</v>
      </c>
      <c r="G215" s="21">
        <v>1</v>
      </c>
      <c r="H215" s="21">
        <v>1</v>
      </c>
      <c r="I215" s="21">
        <v>0</v>
      </c>
      <c r="J215" s="21">
        <v>0</v>
      </c>
      <c r="K215" s="21">
        <v>1</v>
      </c>
      <c r="L215" s="21">
        <v>0</v>
      </c>
      <c r="M215" s="21">
        <v>1</v>
      </c>
      <c r="N215" s="21">
        <v>1</v>
      </c>
      <c r="O215" s="21">
        <v>0</v>
      </c>
      <c r="P215" s="21">
        <v>1</v>
      </c>
      <c r="Q215" s="21">
        <v>0</v>
      </c>
      <c r="R215" s="21">
        <v>0</v>
      </c>
      <c r="S215" s="21">
        <v>0</v>
      </c>
      <c r="T215" s="21">
        <v>0</v>
      </c>
      <c r="U215" s="22">
        <f t="shared" ref="U215:U277" si="57">SUMPRODUCT(E$19:T$19,E215:T215)</f>
        <v>33768</v>
      </c>
      <c r="V215" s="19" t="str">
        <f t="shared" ref="V215:V277" si="58">DEC2HEX(U215,4)</f>
        <v>83E8</v>
      </c>
      <c r="W215" s="7"/>
      <c r="X215" s="23">
        <v>33768</v>
      </c>
      <c r="Y215" s="19" t="str">
        <f t="shared" si="55"/>
        <v>83E8</v>
      </c>
      <c r="Z215" s="18">
        <f t="shared" si="53"/>
        <v>0</v>
      </c>
      <c r="AA215" s="18">
        <f t="shared" si="54"/>
        <v>1</v>
      </c>
      <c r="AB215" s="18">
        <f t="shared" si="54"/>
        <v>1</v>
      </c>
      <c r="AC215" s="18">
        <f t="shared" si="54"/>
        <v>1</v>
      </c>
      <c r="AD215" s="18">
        <f t="shared" si="54"/>
        <v>0</v>
      </c>
      <c r="AE215" s="18">
        <f t="shared" si="54"/>
        <v>0</v>
      </c>
      <c r="AF215" s="18">
        <f t="shared" si="54"/>
        <v>1</v>
      </c>
      <c r="AG215" s="18">
        <f t="shared" si="54"/>
        <v>0</v>
      </c>
      <c r="AH215" s="18">
        <f t="shared" si="54"/>
        <v>1</v>
      </c>
      <c r="AI215" s="18">
        <f t="shared" si="54"/>
        <v>1</v>
      </c>
      <c r="AJ215" s="18">
        <f t="shared" si="54"/>
        <v>0</v>
      </c>
      <c r="AK215" s="18">
        <f t="shared" si="54"/>
        <v>1</v>
      </c>
      <c r="AL215" s="18">
        <f t="shared" si="54"/>
        <v>0</v>
      </c>
      <c r="AM215" s="18">
        <f t="shared" si="54"/>
        <v>0</v>
      </c>
      <c r="AN215" s="18">
        <f t="shared" si="54"/>
        <v>0</v>
      </c>
      <c r="AO215" s="18">
        <f t="shared" si="54"/>
        <v>0</v>
      </c>
      <c r="AQ215" s="28" t="str">
        <f t="shared" ref="AQ215:AQ277" si="59">_xlfn.CONCAT("    0x", V215, ",  // ", D215)</f>
        <v xml:space="preserve">    0x83E8,  // A</v>
      </c>
    </row>
    <row r="216" spans="1:43" ht="18.75" x14ac:dyDescent="0.3">
      <c r="A216" s="6"/>
      <c r="B216" s="16">
        <v>194</v>
      </c>
      <c r="C216" s="19" t="str">
        <f t="shared" si="56"/>
        <v>C2</v>
      </c>
      <c r="D216" s="24" t="s">
        <v>74</v>
      </c>
      <c r="E216" s="21">
        <v>1</v>
      </c>
      <c r="F216" s="21">
        <v>0</v>
      </c>
      <c r="G216" s="21">
        <v>0</v>
      </c>
      <c r="H216" s="21">
        <v>1</v>
      </c>
      <c r="I216" s="21">
        <v>1</v>
      </c>
      <c r="J216" s="21">
        <v>1</v>
      </c>
      <c r="K216" s="21">
        <v>1</v>
      </c>
      <c r="L216" s="21">
        <v>1</v>
      </c>
      <c r="M216" s="21">
        <v>1</v>
      </c>
      <c r="N216" s="21">
        <v>1</v>
      </c>
      <c r="O216" s="21">
        <v>0</v>
      </c>
      <c r="P216" s="21">
        <v>1</v>
      </c>
      <c r="Q216" s="21">
        <v>0</v>
      </c>
      <c r="R216" s="21">
        <v>0</v>
      </c>
      <c r="S216" s="21">
        <v>0</v>
      </c>
      <c r="T216" s="21">
        <v>0</v>
      </c>
      <c r="U216" s="22">
        <f t="shared" si="57"/>
        <v>42893</v>
      </c>
      <c r="V216" s="19" t="str">
        <f t="shared" si="58"/>
        <v>A78D</v>
      </c>
      <c r="W216" s="7"/>
      <c r="X216" s="23">
        <v>42893</v>
      </c>
      <c r="Y216" s="19" t="str">
        <f t="shared" si="55"/>
        <v>A78D</v>
      </c>
      <c r="Z216" s="18">
        <f t="shared" si="53"/>
        <v>1</v>
      </c>
      <c r="AA216" s="18">
        <f t="shared" si="54"/>
        <v>0</v>
      </c>
      <c r="AB216" s="18">
        <f t="shared" si="54"/>
        <v>0</v>
      </c>
      <c r="AC216" s="18">
        <f t="shared" si="54"/>
        <v>1</v>
      </c>
      <c r="AD216" s="18">
        <f t="shared" si="54"/>
        <v>1</v>
      </c>
      <c r="AE216" s="18">
        <f t="shared" si="54"/>
        <v>1</v>
      </c>
      <c r="AF216" s="18">
        <f t="shared" si="54"/>
        <v>1</v>
      </c>
      <c r="AG216" s="18">
        <f t="shared" si="54"/>
        <v>1</v>
      </c>
      <c r="AH216" s="18">
        <f t="shared" si="54"/>
        <v>1</v>
      </c>
      <c r="AI216" s="18">
        <f t="shared" si="54"/>
        <v>1</v>
      </c>
      <c r="AJ216" s="18">
        <f t="shared" si="54"/>
        <v>0</v>
      </c>
      <c r="AK216" s="18">
        <f t="shared" si="54"/>
        <v>1</v>
      </c>
      <c r="AL216" s="18">
        <f t="shared" si="54"/>
        <v>0</v>
      </c>
      <c r="AM216" s="18">
        <f t="shared" si="54"/>
        <v>0</v>
      </c>
      <c r="AN216" s="18">
        <f t="shared" si="54"/>
        <v>0</v>
      </c>
      <c r="AO216" s="18">
        <f t="shared" si="54"/>
        <v>0</v>
      </c>
      <c r="AQ216" s="28" t="str">
        <f t="shared" si="59"/>
        <v xml:space="preserve">    0xA78D,  // B</v>
      </c>
    </row>
    <row r="217" spans="1:43" ht="18.75" x14ac:dyDescent="0.3">
      <c r="A217" s="6"/>
      <c r="B217" s="16">
        <v>195</v>
      </c>
      <c r="C217" s="19" t="str">
        <f t="shared" si="56"/>
        <v>C3</v>
      </c>
      <c r="D217" s="24" t="s">
        <v>75</v>
      </c>
      <c r="E217" s="21">
        <v>1</v>
      </c>
      <c r="F217" s="21">
        <v>0</v>
      </c>
      <c r="G217" s="21">
        <v>0</v>
      </c>
      <c r="H217" s="21">
        <v>1</v>
      </c>
      <c r="I217" s="21">
        <v>1</v>
      </c>
      <c r="J217" s="21">
        <v>1</v>
      </c>
      <c r="K217" s="21">
        <v>1</v>
      </c>
      <c r="L217" s="21">
        <v>1</v>
      </c>
      <c r="M217" s="21">
        <v>0</v>
      </c>
      <c r="N217" s="21">
        <v>0</v>
      </c>
      <c r="O217" s="21">
        <v>0</v>
      </c>
      <c r="P217" s="21">
        <v>1</v>
      </c>
      <c r="Q217" s="21">
        <v>0</v>
      </c>
      <c r="R217" s="21">
        <v>0</v>
      </c>
      <c r="S217" s="21">
        <v>0</v>
      </c>
      <c r="T217" s="21">
        <v>0</v>
      </c>
      <c r="U217" s="22">
        <f t="shared" si="57"/>
        <v>42509</v>
      </c>
      <c r="V217" s="19" t="str">
        <f t="shared" si="58"/>
        <v>A60D</v>
      </c>
      <c r="W217" s="7"/>
      <c r="X217" s="23">
        <v>42509</v>
      </c>
      <c r="Y217" s="19" t="str">
        <f t="shared" si="55"/>
        <v>A60D</v>
      </c>
      <c r="Z217" s="18">
        <f t="shared" si="53"/>
        <v>1</v>
      </c>
      <c r="AA217" s="18">
        <f t="shared" si="54"/>
        <v>0</v>
      </c>
      <c r="AB217" s="18">
        <f t="shared" si="54"/>
        <v>0</v>
      </c>
      <c r="AC217" s="18">
        <f t="shared" si="54"/>
        <v>1</v>
      </c>
      <c r="AD217" s="18">
        <f t="shared" si="54"/>
        <v>1</v>
      </c>
      <c r="AE217" s="18">
        <f t="shared" si="54"/>
        <v>1</v>
      </c>
      <c r="AF217" s="18">
        <f t="shared" si="54"/>
        <v>1</v>
      </c>
      <c r="AG217" s="18">
        <f t="shared" si="54"/>
        <v>1</v>
      </c>
      <c r="AH217" s="18">
        <f t="shared" si="54"/>
        <v>0</v>
      </c>
      <c r="AI217" s="18">
        <f t="shared" si="54"/>
        <v>0</v>
      </c>
      <c r="AJ217" s="18">
        <f t="shared" si="54"/>
        <v>0</v>
      </c>
      <c r="AK217" s="18">
        <f t="shared" si="54"/>
        <v>1</v>
      </c>
      <c r="AL217" s="18">
        <f t="shared" si="54"/>
        <v>0</v>
      </c>
      <c r="AM217" s="18">
        <f t="shared" si="54"/>
        <v>0</v>
      </c>
      <c r="AN217" s="18">
        <f t="shared" si="54"/>
        <v>0</v>
      </c>
      <c r="AO217" s="18">
        <f t="shared" si="54"/>
        <v>0</v>
      </c>
      <c r="AQ217" s="28" t="str">
        <f t="shared" si="59"/>
        <v xml:space="preserve">    0xA60D,  // C</v>
      </c>
    </row>
    <row r="218" spans="1:43" ht="18.75" x14ac:dyDescent="0.3">
      <c r="A218" s="6"/>
      <c r="B218" s="16">
        <v>196</v>
      </c>
      <c r="C218" s="19" t="str">
        <f t="shared" si="56"/>
        <v>C4</v>
      </c>
      <c r="D218" s="24" t="s">
        <v>76</v>
      </c>
      <c r="E218" s="21">
        <v>1</v>
      </c>
      <c r="F218" s="21">
        <v>1</v>
      </c>
      <c r="G218" s="21">
        <v>1</v>
      </c>
      <c r="H218" s="21">
        <v>1</v>
      </c>
      <c r="I218" s="21">
        <v>1</v>
      </c>
      <c r="J218" s="21">
        <v>1</v>
      </c>
      <c r="K218" s="21">
        <v>0</v>
      </c>
      <c r="L218" s="21">
        <v>0</v>
      </c>
      <c r="M218" s="21">
        <v>1</v>
      </c>
      <c r="N218" s="21">
        <v>0</v>
      </c>
      <c r="O218" s="21">
        <v>0</v>
      </c>
      <c r="P218" s="21">
        <v>1</v>
      </c>
      <c r="Q218" s="21">
        <v>0</v>
      </c>
      <c r="R218" s="21">
        <v>0</v>
      </c>
      <c r="S218" s="21">
        <v>1</v>
      </c>
      <c r="T218" s="21">
        <v>0</v>
      </c>
      <c r="U218" s="22">
        <f t="shared" si="57"/>
        <v>46444</v>
      </c>
      <c r="V218" s="19" t="str">
        <f t="shared" si="58"/>
        <v>B56C</v>
      </c>
      <c r="W218" s="7"/>
      <c r="X218" s="23">
        <v>46444</v>
      </c>
      <c r="Y218" s="19" t="str">
        <f t="shared" si="55"/>
        <v>B56C</v>
      </c>
      <c r="Z218" s="18">
        <f t="shared" si="53"/>
        <v>1</v>
      </c>
      <c r="AA218" s="18">
        <f t="shared" si="54"/>
        <v>1</v>
      </c>
      <c r="AB218" s="18">
        <f t="shared" si="54"/>
        <v>1</v>
      </c>
      <c r="AC218" s="18">
        <f t="shared" si="54"/>
        <v>1</v>
      </c>
      <c r="AD218" s="18">
        <f t="shared" si="54"/>
        <v>1</v>
      </c>
      <c r="AE218" s="18">
        <f t="shared" si="54"/>
        <v>1</v>
      </c>
      <c r="AF218" s="18">
        <f t="shared" si="54"/>
        <v>0</v>
      </c>
      <c r="AG218" s="18">
        <f t="shared" si="54"/>
        <v>0</v>
      </c>
      <c r="AH218" s="18">
        <f t="shared" si="54"/>
        <v>1</v>
      </c>
      <c r="AI218" s="18">
        <f t="shared" si="54"/>
        <v>0</v>
      </c>
      <c r="AJ218" s="18">
        <f t="shared" si="54"/>
        <v>0</v>
      </c>
      <c r="AK218" s="18">
        <f t="shared" si="54"/>
        <v>1</v>
      </c>
      <c r="AL218" s="18">
        <f t="shared" si="54"/>
        <v>0</v>
      </c>
      <c r="AM218" s="18">
        <f t="shared" si="54"/>
        <v>0</v>
      </c>
      <c r="AN218" s="18">
        <f t="shared" si="54"/>
        <v>1</v>
      </c>
      <c r="AO218" s="18">
        <f t="shared" si="54"/>
        <v>0</v>
      </c>
      <c r="AQ218" s="28" t="str">
        <f t="shared" si="59"/>
        <v xml:space="preserve">    0xB56C,  // D</v>
      </c>
    </row>
    <row r="219" spans="1:43" ht="18.75" x14ac:dyDescent="0.3">
      <c r="A219" s="6"/>
      <c r="B219" s="16">
        <v>197</v>
      </c>
      <c r="C219" s="19" t="str">
        <f t="shared" si="56"/>
        <v>C5</v>
      </c>
      <c r="D219" s="24" t="s">
        <v>77</v>
      </c>
      <c r="E219" s="21">
        <v>1</v>
      </c>
      <c r="F219" s="21">
        <v>1</v>
      </c>
      <c r="G219" s="21">
        <v>0</v>
      </c>
      <c r="H219" s="21">
        <v>0</v>
      </c>
      <c r="I219" s="21">
        <v>1</v>
      </c>
      <c r="J219" s="21">
        <v>1</v>
      </c>
      <c r="K219" s="21">
        <v>0</v>
      </c>
      <c r="L219" s="21">
        <v>0</v>
      </c>
      <c r="M219" s="21">
        <v>0</v>
      </c>
      <c r="N219" s="21">
        <v>1</v>
      </c>
      <c r="O219" s="21">
        <v>1</v>
      </c>
      <c r="P219" s="21">
        <v>0</v>
      </c>
      <c r="Q219" s="21">
        <v>0</v>
      </c>
      <c r="R219" s="21">
        <v>0</v>
      </c>
      <c r="S219" s="21">
        <v>0</v>
      </c>
      <c r="T219" s="21">
        <v>1</v>
      </c>
      <c r="U219" s="22">
        <f t="shared" si="57"/>
        <v>11430</v>
      </c>
      <c r="V219" s="19" t="str">
        <f t="shared" si="58"/>
        <v>2CA6</v>
      </c>
      <c r="W219" s="7"/>
      <c r="X219" s="23">
        <v>11430</v>
      </c>
      <c r="Y219" s="19" t="str">
        <f t="shared" si="55"/>
        <v>2CA6</v>
      </c>
      <c r="Z219" s="18">
        <f t="shared" si="53"/>
        <v>1</v>
      </c>
      <c r="AA219" s="18">
        <f t="shared" si="54"/>
        <v>1</v>
      </c>
      <c r="AB219" s="18">
        <f t="shared" si="54"/>
        <v>0</v>
      </c>
      <c r="AC219" s="18">
        <f t="shared" si="54"/>
        <v>0</v>
      </c>
      <c r="AD219" s="18">
        <f t="shared" si="54"/>
        <v>1</v>
      </c>
      <c r="AE219" s="18">
        <f t="shared" si="54"/>
        <v>1</v>
      </c>
      <c r="AF219" s="18">
        <f t="shared" si="54"/>
        <v>0</v>
      </c>
      <c r="AG219" s="18">
        <f t="shared" si="54"/>
        <v>0</v>
      </c>
      <c r="AH219" s="18">
        <f t="shared" si="54"/>
        <v>0</v>
      </c>
      <c r="AI219" s="18">
        <f t="shared" si="54"/>
        <v>1</v>
      </c>
      <c r="AJ219" s="18">
        <f t="shared" si="54"/>
        <v>1</v>
      </c>
      <c r="AK219" s="18">
        <f t="shared" si="54"/>
        <v>0</v>
      </c>
      <c r="AL219" s="18">
        <f t="shared" si="54"/>
        <v>0</v>
      </c>
      <c r="AM219" s="18">
        <f t="shared" si="54"/>
        <v>0</v>
      </c>
      <c r="AN219" s="18">
        <f t="shared" si="54"/>
        <v>0</v>
      </c>
      <c r="AO219" s="18">
        <f t="shared" si="54"/>
        <v>1</v>
      </c>
      <c r="AQ219" s="28" t="str">
        <f t="shared" si="59"/>
        <v xml:space="preserve">    0x2CA6,  // E</v>
      </c>
    </row>
    <row r="220" spans="1:43" ht="18.75" x14ac:dyDescent="0.3">
      <c r="A220" s="6"/>
      <c r="B220" s="16">
        <v>198</v>
      </c>
      <c r="C220" s="19" t="str">
        <f t="shared" si="56"/>
        <v>C6</v>
      </c>
      <c r="D220" s="24" t="s">
        <v>78</v>
      </c>
      <c r="E220" s="21">
        <v>1</v>
      </c>
      <c r="F220" s="21">
        <v>1</v>
      </c>
      <c r="G220" s="21">
        <v>0</v>
      </c>
      <c r="H220" s="21">
        <v>0</v>
      </c>
      <c r="I220" s="21">
        <v>0</v>
      </c>
      <c r="J220" s="21">
        <v>0</v>
      </c>
      <c r="K220" s="21">
        <v>0</v>
      </c>
      <c r="L220" s="21">
        <v>0</v>
      </c>
      <c r="M220" s="21">
        <v>0</v>
      </c>
      <c r="N220" s="21">
        <v>1</v>
      </c>
      <c r="O220" s="21">
        <v>1</v>
      </c>
      <c r="P220" s="21">
        <v>0</v>
      </c>
      <c r="Q220" s="21">
        <v>0</v>
      </c>
      <c r="R220" s="21">
        <v>0</v>
      </c>
      <c r="S220" s="21">
        <v>0</v>
      </c>
      <c r="T220" s="21">
        <v>1</v>
      </c>
      <c r="U220" s="22">
        <f t="shared" si="57"/>
        <v>2214</v>
      </c>
      <c r="V220" s="19" t="str">
        <f t="shared" si="58"/>
        <v>08A6</v>
      </c>
      <c r="W220" s="7"/>
      <c r="X220" s="23">
        <v>2214</v>
      </c>
      <c r="Y220" s="19" t="str">
        <f t="shared" si="55"/>
        <v>08A6</v>
      </c>
      <c r="Z220" s="18">
        <f t="shared" si="53"/>
        <v>1</v>
      </c>
      <c r="AA220" s="18">
        <f t="shared" si="54"/>
        <v>1</v>
      </c>
      <c r="AB220" s="18">
        <f t="shared" si="54"/>
        <v>0</v>
      </c>
      <c r="AC220" s="18">
        <f t="shared" si="54"/>
        <v>0</v>
      </c>
      <c r="AD220" s="18">
        <f t="shared" si="54"/>
        <v>0</v>
      </c>
      <c r="AE220" s="18">
        <f t="shared" si="54"/>
        <v>0</v>
      </c>
      <c r="AF220" s="18">
        <f t="shared" si="54"/>
        <v>0</v>
      </c>
      <c r="AG220" s="18">
        <f t="shared" si="54"/>
        <v>0</v>
      </c>
      <c r="AH220" s="18">
        <f t="shared" si="54"/>
        <v>0</v>
      </c>
      <c r="AI220" s="18">
        <f t="shared" si="54"/>
        <v>1</v>
      </c>
      <c r="AJ220" s="18">
        <f t="shared" si="54"/>
        <v>1</v>
      </c>
      <c r="AK220" s="18">
        <f t="shared" si="54"/>
        <v>0</v>
      </c>
      <c r="AL220" s="18">
        <f t="shared" si="54"/>
        <v>0</v>
      </c>
      <c r="AM220" s="18">
        <f t="shared" si="54"/>
        <v>0</v>
      </c>
      <c r="AN220" s="18">
        <f t="shared" si="54"/>
        <v>0</v>
      </c>
      <c r="AO220" s="18">
        <f t="shared" si="54"/>
        <v>1</v>
      </c>
      <c r="AQ220" s="28" t="str">
        <f t="shared" si="59"/>
        <v xml:space="preserve">    0x08A6,  // F</v>
      </c>
    </row>
    <row r="221" spans="1:43" ht="18.75" x14ac:dyDescent="0.3">
      <c r="A221" s="6"/>
      <c r="B221" s="16">
        <v>199</v>
      </c>
      <c r="C221" s="19" t="str">
        <f t="shared" si="56"/>
        <v>C7</v>
      </c>
      <c r="D221" s="24" t="s">
        <v>79</v>
      </c>
      <c r="E221" s="21">
        <v>1</v>
      </c>
      <c r="F221" s="21">
        <v>0</v>
      </c>
      <c r="G221" s="21">
        <v>0</v>
      </c>
      <c r="H221" s="21">
        <v>0</v>
      </c>
      <c r="I221" s="21">
        <v>1</v>
      </c>
      <c r="J221" s="21">
        <v>1</v>
      </c>
      <c r="K221" s="21">
        <v>1</v>
      </c>
      <c r="L221" s="21">
        <v>1</v>
      </c>
      <c r="M221" s="21">
        <v>0</v>
      </c>
      <c r="N221" s="21">
        <v>1</v>
      </c>
      <c r="O221" s="21">
        <v>0</v>
      </c>
      <c r="P221" s="21">
        <v>0</v>
      </c>
      <c r="Q221" s="21">
        <v>0</v>
      </c>
      <c r="R221" s="21">
        <v>1</v>
      </c>
      <c r="S221" s="21">
        <v>0</v>
      </c>
      <c r="T221" s="21">
        <v>0</v>
      </c>
      <c r="U221" s="22">
        <f t="shared" si="57"/>
        <v>26245</v>
      </c>
      <c r="V221" s="19" t="str">
        <f t="shared" si="58"/>
        <v>6685</v>
      </c>
      <c r="W221" s="7"/>
      <c r="X221" s="23">
        <v>26245</v>
      </c>
      <c r="Y221" s="19" t="str">
        <f t="shared" si="55"/>
        <v>6685</v>
      </c>
      <c r="Z221" s="18">
        <f t="shared" si="53"/>
        <v>1</v>
      </c>
      <c r="AA221" s="18">
        <f t="shared" si="54"/>
        <v>0</v>
      </c>
      <c r="AB221" s="18">
        <f t="shared" si="54"/>
        <v>0</v>
      </c>
      <c r="AC221" s="18">
        <f t="shared" si="54"/>
        <v>0</v>
      </c>
      <c r="AD221" s="18">
        <f t="shared" si="54"/>
        <v>1</v>
      </c>
      <c r="AE221" s="18">
        <f t="shared" si="54"/>
        <v>1</v>
      </c>
      <c r="AF221" s="18">
        <f t="shared" si="54"/>
        <v>1</v>
      </c>
      <c r="AG221" s="18">
        <f t="shared" si="54"/>
        <v>1</v>
      </c>
      <c r="AH221" s="18">
        <f t="shared" si="54"/>
        <v>0</v>
      </c>
      <c r="AI221" s="18">
        <f t="shared" si="54"/>
        <v>1</v>
      </c>
      <c r="AJ221" s="18">
        <f t="shared" si="54"/>
        <v>0</v>
      </c>
      <c r="AK221" s="18">
        <f t="shared" si="54"/>
        <v>0</v>
      </c>
      <c r="AL221" s="18">
        <f t="shared" si="54"/>
        <v>0</v>
      </c>
      <c r="AM221" s="18">
        <f t="shared" si="54"/>
        <v>1</v>
      </c>
      <c r="AN221" s="18">
        <f t="shared" si="54"/>
        <v>0</v>
      </c>
      <c r="AO221" s="18">
        <f t="shared" ref="AA221:AO238" si="60">IF(_xlfn.BITAND($X221,AO$19)=0,0,1)</f>
        <v>0</v>
      </c>
      <c r="AQ221" s="28" t="str">
        <f t="shared" si="59"/>
        <v xml:space="preserve">    0x6685,  // G</v>
      </c>
    </row>
    <row r="222" spans="1:43" ht="18.75" x14ac:dyDescent="0.3">
      <c r="A222" s="6"/>
      <c r="B222" s="16">
        <v>200</v>
      </c>
      <c r="C222" s="19" t="str">
        <f t="shared" si="56"/>
        <v>C8</v>
      </c>
      <c r="D222" s="24" t="s">
        <v>80</v>
      </c>
      <c r="E222" s="21">
        <v>0</v>
      </c>
      <c r="F222" s="21">
        <v>0</v>
      </c>
      <c r="G222" s="21">
        <v>1</v>
      </c>
      <c r="H222" s="21">
        <v>1</v>
      </c>
      <c r="I222" s="21">
        <v>0</v>
      </c>
      <c r="J222" s="21">
        <v>0</v>
      </c>
      <c r="K222" s="21">
        <v>0</v>
      </c>
      <c r="L222" s="21">
        <v>0</v>
      </c>
      <c r="M222" s="21">
        <v>1</v>
      </c>
      <c r="N222" s="21">
        <v>1</v>
      </c>
      <c r="O222" s="21">
        <v>0</v>
      </c>
      <c r="P222" s="21">
        <v>1</v>
      </c>
      <c r="Q222" s="21">
        <v>0</v>
      </c>
      <c r="R222" s="21">
        <v>0</v>
      </c>
      <c r="S222" s="21">
        <v>0</v>
      </c>
      <c r="T222" s="21">
        <v>1</v>
      </c>
      <c r="U222" s="22">
        <f t="shared" si="57"/>
        <v>35272</v>
      </c>
      <c r="V222" s="19" t="str">
        <f t="shared" si="58"/>
        <v>89C8</v>
      </c>
      <c r="W222" s="7"/>
      <c r="X222" s="23">
        <v>35272</v>
      </c>
      <c r="Y222" s="19" t="str">
        <f t="shared" si="55"/>
        <v>89C8</v>
      </c>
      <c r="Z222" s="18">
        <f t="shared" si="53"/>
        <v>0</v>
      </c>
      <c r="AA222" s="18">
        <f t="shared" si="60"/>
        <v>0</v>
      </c>
      <c r="AB222" s="18">
        <f t="shared" si="60"/>
        <v>1</v>
      </c>
      <c r="AC222" s="18">
        <f t="shared" si="60"/>
        <v>1</v>
      </c>
      <c r="AD222" s="18">
        <f t="shared" si="60"/>
        <v>0</v>
      </c>
      <c r="AE222" s="18">
        <f t="shared" si="60"/>
        <v>0</v>
      </c>
      <c r="AF222" s="18">
        <f t="shared" si="60"/>
        <v>0</v>
      </c>
      <c r="AG222" s="18">
        <f t="shared" si="60"/>
        <v>0</v>
      </c>
      <c r="AH222" s="18">
        <f t="shared" si="60"/>
        <v>1</v>
      </c>
      <c r="AI222" s="18">
        <f t="shared" si="60"/>
        <v>1</v>
      </c>
      <c r="AJ222" s="18">
        <f t="shared" si="60"/>
        <v>0</v>
      </c>
      <c r="AK222" s="18">
        <f t="shared" si="60"/>
        <v>1</v>
      </c>
      <c r="AL222" s="18">
        <f t="shared" si="60"/>
        <v>0</v>
      </c>
      <c r="AM222" s="18">
        <f t="shared" si="60"/>
        <v>0</v>
      </c>
      <c r="AN222" s="18">
        <f t="shared" si="60"/>
        <v>0</v>
      </c>
      <c r="AO222" s="18">
        <f t="shared" si="60"/>
        <v>1</v>
      </c>
      <c r="AQ222" s="28" t="str">
        <f t="shared" si="59"/>
        <v xml:space="preserve">    0x89C8,  // H</v>
      </c>
    </row>
    <row r="223" spans="1:43" ht="18.75" x14ac:dyDescent="0.3">
      <c r="A223" s="6"/>
      <c r="B223" s="16">
        <v>201</v>
      </c>
      <c r="C223" s="19" t="str">
        <f t="shared" si="56"/>
        <v>C9</v>
      </c>
      <c r="D223" s="24" t="s">
        <v>81</v>
      </c>
      <c r="E223" s="21">
        <v>1</v>
      </c>
      <c r="F223" s="21">
        <v>1</v>
      </c>
      <c r="G223" s="21">
        <v>0</v>
      </c>
      <c r="H223" s="21">
        <v>1</v>
      </c>
      <c r="I223" s="21">
        <v>1</v>
      </c>
      <c r="J223" s="21">
        <v>1</v>
      </c>
      <c r="K223" s="21">
        <v>0</v>
      </c>
      <c r="L223" s="21">
        <v>0</v>
      </c>
      <c r="M223" s="21">
        <v>0</v>
      </c>
      <c r="N223" s="21">
        <v>0</v>
      </c>
      <c r="O223" s="21">
        <v>0</v>
      </c>
      <c r="P223" s="21">
        <v>1</v>
      </c>
      <c r="Q223" s="21">
        <v>0</v>
      </c>
      <c r="R223" s="21">
        <v>0</v>
      </c>
      <c r="S223" s="21">
        <v>1</v>
      </c>
      <c r="T223" s="21">
        <v>0</v>
      </c>
      <c r="U223" s="22">
        <f t="shared" si="57"/>
        <v>46124</v>
      </c>
      <c r="V223" s="19" t="str">
        <f t="shared" si="58"/>
        <v>B42C</v>
      </c>
      <c r="W223" s="7"/>
      <c r="X223" s="23">
        <v>46124</v>
      </c>
      <c r="Y223" s="19" t="str">
        <f t="shared" si="55"/>
        <v>B42C</v>
      </c>
      <c r="Z223" s="18">
        <f t="shared" si="53"/>
        <v>1</v>
      </c>
      <c r="AA223" s="18">
        <f t="shared" si="60"/>
        <v>1</v>
      </c>
      <c r="AB223" s="18">
        <f t="shared" si="60"/>
        <v>0</v>
      </c>
      <c r="AC223" s="18">
        <f t="shared" si="60"/>
        <v>1</v>
      </c>
      <c r="AD223" s="18">
        <f t="shared" si="60"/>
        <v>1</v>
      </c>
      <c r="AE223" s="18">
        <f t="shared" si="60"/>
        <v>1</v>
      </c>
      <c r="AF223" s="18">
        <f t="shared" si="60"/>
        <v>0</v>
      </c>
      <c r="AG223" s="18">
        <f t="shared" si="60"/>
        <v>0</v>
      </c>
      <c r="AH223" s="18">
        <f t="shared" si="60"/>
        <v>0</v>
      </c>
      <c r="AI223" s="18">
        <f t="shared" si="60"/>
        <v>0</v>
      </c>
      <c r="AJ223" s="18">
        <f t="shared" si="60"/>
        <v>0</v>
      </c>
      <c r="AK223" s="18">
        <f t="shared" si="60"/>
        <v>1</v>
      </c>
      <c r="AL223" s="18">
        <f t="shared" si="60"/>
        <v>0</v>
      </c>
      <c r="AM223" s="18">
        <f t="shared" si="60"/>
        <v>0</v>
      </c>
      <c r="AN223" s="18">
        <f t="shared" si="60"/>
        <v>1</v>
      </c>
      <c r="AO223" s="18">
        <f t="shared" si="60"/>
        <v>0</v>
      </c>
      <c r="AQ223" s="28" t="str">
        <f t="shared" si="59"/>
        <v xml:space="preserve">    0xB42C,  // I</v>
      </c>
    </row>
    <row r="224" spans="1:43" ht="18.75" x14ac:dyDescent="0.3">
      <c r="A224" s="6"/>
      <c r="B224" s="16">
        <v>202</v>
      </c>
      <c r="C224" s="19" t="str">
        <f t="shared" si="56"/>
        <v>CA</v>
      </c>
      <c r="D224" s="24" t="s">
        <v>82</v>
      </c>
      <c r="E224" s="21">
        <v>0</v>
      </c>
      <c r="F224" s="21">
        <v>1</v>
      </c>
      <c r="G224" s="21">
        <v>1</v>
      </c>
      <c r="H224" s="21">
        <v>1</v>
      </c>
      <c r="I224" s="21">
        <v>1</v>
      </c>
      <c r="J224" s="21">
        <v>1</v>
      </c>
      <c r="K224" s="21">
        <v>0</v>
      </c>
      <c r="L224" s="21">
        <v>0</v>
      </c>
      <c r="M224" s="21">
        <v>0</v>
      </c>
      <c r="N224" s="21">
        <v>0</v>
      </c>
      <c r="O224" s="21">
        <v>0</v>
      </c>
      <c r="P224" s="21">
        <v>0</v>
      </c>
      <c r="Q224" s="21">
        <v>0</v>
      </c>
      <c r="R224" s="21">
        <v>0</v>
      </c>
      <c r="S224" s="21">
        <v>0</v>
      </c>
      <c r="T224" s="21">
        <v>1</v>
      </c>
      <c r="U224" s="22">
        <f t="shared" si="57"/>
        <v>44128</v>
      </c>
      <c r="V224" s="19" t="str">
        <f t="shared" si="58"/>
        <v>AC60</v>
      </c>
      <c r="W224" s="7"/>
      <c r="X224" s="23">
        <v>44128</v>
      </c>
      <c r="Y224" s="19" t="str">
        <f t="shared" si="55"/>
        <v>AC60</v>
      </c>
      <c r="Z224" s="18">
        <f t="shared" si="53"/>
        <v>0</v>
      </c>
      <c r="AA224" s="18">
        <f t="shared" si="60"/>
        <v>1</v>
      </c>
      <c r="AB224" s="18">
        <f t="shared" si="60"/>
        <v>1</v>
      </c>
      <c r="AC224" s="18">
        <f t="shared" si="60"/>
        <v>1</v>
      </c>
      <c r="AD224" s="18">
        <f t="shared" si="60"/>
        <v>1</v>
      </c>
      <c r="AE224" s="18">
        <f t="shared" si="60"/>
        <v>1</v>
      </c>
      <c r="AF224" s="18">
        <f t="shared" si="60"/>
        <v>0</v>
      </c>
      <c r="AG224" s="18">
        <f t="shared" si="60"/>
        <v>0</v>
      </c>
      <c r="AH224" s="18">
        <f t="shared" si="60"/>
        <v>0</v>
      </c>
      <c r="AI224" s="18">
        <f t="shared" si="60"/>
        <v>0</v>
      </c>
      <c r="AJ224" s="18">
        <f t="shared" si="60"/>
        <v>0</v>
      </c>
      <c r="AK224" s="18">
        <f t="shared" si="60"/>
        <v>0</v>
      </c>
      <c r="AL224" s="18">
        <f t="shared" si="60"/>
        <v>0</v>
      </c>
      <c r="AM224" s="18">
        <f t="shared" si="60"/>
        <v>0</v>
      </c>
      <c r="AN224" s="18">
        <f t="shared" si="60"/>
        <v>0</v>
      </c>
      <c r="AO224" s="18">
        <f t="shared" si="60"/>
        <v>1</v>
      </c>
      <c r="AQ224" s="28" t="str">
        <f t="shared" si="59"/>
        <v xml:space="preserve">    0xAC60,  // J</v>
      </c>
    </row>
    <row r="225" spans="1:43" ht="18.75" x14ac:dyDescent="0.3">
      <c r="A225" s="6"/>
      <c r="B225" s="16">
        <v>203</v>
      </c>
      <c r="C225" s="19" t="str">
        <f t="shared" si="56"/>
        <v>CB</v>
      </c>
      <c r="D225" s="24" t="s">
        <v>83</v>
      </c>
      <c r="E225" s="21">
        <v>0</v>
      </c>
      <c r="F225" s="21">
        <v>0</v>
      </c>
      <c r="G225" s="21">
        <v>0</v>
      </c>
      <c r="H225" s="21">
        <v>1</v>
      </c>
      <c r="I225" s="21">
        <v>0</v>
      </c>
      <c r="J225" s="21">
        <v>0</v>
      </c>
      <c r="K225" s="21">
        <v>0</v>
      </c>
      <c r="L225" s="21">
        <v>0</v>
      </c>
      <c r="M225" s="21">
        <v>0</v>
      </c>
      <c r="N225" s="21">
        <v>1</v>
      </c>
      <c r="O225" s="21">
        <v>1</v>
      </c>
      <c r="P225" s="21">
        <v>0</v>
      </c>
      <c r="Q225" s="21">
        <v>1</v>
      </c>
      <c r="R225" s="21">
        <v>0</v>
      </c>
      <c r="S225" s="21">
        <v>0</v>
      </c>
      <c r="T225" s="21">
        <v>1</v>
      </c>
      <c r="U225" s="22">
        <f t="shared" si="57"/>
        <v>34962</v>
      </c>
      <c r="V225" s="19" t="str">
        <f t="shared" si="58"/>
        <v>8892</v>
      </c>
      <c r="W225" s="7"/>
      <c r="X225" s="23">
        <v>34962</v>
      </c>
      <c r="Y225" s="19" t="str">
        <f t="shared" si="55"/>
        <v>8892</v>
      </c>
      <c r="Z225" s="18">
        <f t="shared" si="53"/>
        <v>0</v>
      </c>
      <c r="AA225" s="18">
        <f t="shared" si="60"/>
        <v>0</v>
      </c>
      <c r="AB225" s="18">
        <f t="shared" si="60"/>
        <v>0</v>
      </c>
      <c r="AC225" s="18">
        <f t="shared" si="60"/>
        <v>1</v>
      </c>
      <c r="AD225" s="18">
        <f t="shared" si="60"/>
        <v>0</v>
      </c>
      <c r="AE225" s="18">
        <f t="shared" si="60"/>
        <v>0</v>
      </c>
      <c r="AF225" s="18">
        <f t="shared" si="60"/>
        <v>0</v>
      </c>
      <c r="AG225" s="18">
        <f t="shared" si="60"/>
        <v>0</v>
      </c>
      <c r="AH225" s="18">
        <f t="shared" si="60"/>
        <v>0</v>
      </c>
      <c r="AI225" s="18">
        <f t="shared" si="60"/>
        <v>1</v>
      </c>
      <c r="AJ225" s="18">
        <f t="shared" si="60"/>
        <v>1</v>
      </c>
      <c r="AK225" s="18">
        <f t="shared" si="60"/>
        <v>0</v>
      </c>
      <c r="AL225" s="18">
        <f t="shared" si="60"/>
        <v>1</v>
      </c>
      <c r="AM225" s="18">
        <f t="shared" si="60"/>
        <v>0</v>
      </c>
      <c r="AN225" s="18">
        <f t="shared" si="60"/>
        <v>0</v>
      </c>
      <c r="AO225" s="18">
        <f t="shared" si="60"/>
        <v>1</v>
      </c>
      <c r="AQ225" s="28" t="str">
        <f t="shared" si="59"/>
        <v xml:space="preserve">    0x8892,  // K</v>
      </c>
    </row>
    <row r="226" spans="1:43" ht="18.75" x14ac:dyDescent="0.3">
      <c r="A226" s="6"/>
      <c r="B226" s="16">
        <v>204</v>
      </c>
      <c r="C226" s="19" t="str">
        <f t="shared" si="56"/>
        <v>CC</v>
      </c>
      <c r="D226" s="24" t="s">
        <v>84</v>
      </c>
      <c r="E226" s="21">
        <v>0</v>
      </c>
      <c r="F226" s="21">
        <v>1</v>
      </c>
      <c r="G226" s="21">
        <v>0</v>
      </c>
      <c r="H226" s="21">
        <v>1</v>
      </c>
      <c r="I226" s="21">
        <v>1</v>
      </c>
      <c r="J226" s="21">
        <v>1</v>
      </c>
      <c r="K226" s="21">
        <v>0</v>
      </c>
      <c r="L226" s="21">
        <v>0</v>
      </c>
      <c r="M226" s="21">
        <v>0</v>
      </c>
      <c r="N226" s="21">
        <v>0</v>
      </c>
      <c r="O226" s="21">
        <v>0</v>
      </c>
      <c r="P226" s="21">
        <v>1</v>
      </c>
      <c r="Q226" s="21">
        <v>0</v>
      </c>
      <c r="R226" s="21">
        <v>0</v>
      </c>
      <c r="S226" s="21">
        <v>0</v>
      </c>
      <c r="T226" s="21">
        <v>1</v>
      </c>
      <c r="U226" s="22">
        <f t="shared" si="57"/>
        <v>44072</v>
      </c>
      <c r="V226" s="19" t="str">
        <f t="shared" si="58"/>
        <v>AC28</v>
      </c>
      <c r="W226" s="7"/>
      <c r="X226" s="23">
        <v>44072</v>
      </c>
      <c r="Y226" s="19" t="str">
        <f t="shared" si="55"/>
        <v>AC28</v>
      </c>
      <c r="Z226" s="18">
        <f t="shared" si="53"/>
        <v>0</v>
      </c>
      <c r="AA226" s="18">
        <f t="shared" si="60"/>
        <v>1</v>
      </c>
      <c r="AB226" s="18">
        <f t="shared" si="60"/>
        <v>0</v>
      </c>
      <c r="AC226" s="18">
        <f t="shared" si="60"/>
        <v>1</v>
      </c>
      <c r="AD226" s="18">
        <f t="shared" si="60"/>
        <v>1</v>
      </c>
      <c r="AE226" s="18">
        <f t="shared" si="60"/>
        <v>1</v>
      </c>
      <c r="AF226" s="18">
        <f t="shared" si="60"/>
        <v>0</v>
      </c>
      <c r="AG226" s="18">
        <f t="shared" si="60"/>
        <v>0</v>
      </c>
      <c r="AH226" s="18">
        <f t="shared" si="60"/>
        <v>0</v>
      </c>
      <c r="AI226" s="18">
        <f t="shared" si="60"/>
        <v>0</v>
      </c>
      <c r="AJ226" s="18">
        <f t="shared" si="60"/>
        <v>0</v>
      </c>
      <c r="AK226" s="18">
        <f t="shared" si="60"/>
        <v>1</v>
      </c>
      <c r="AL226" s="18">
        <f t="shared" si="60"/>
        <v>0</v>
      </c>
      <c r="AM226" s="18">
        <f t="shared" si="60"/>
        <v>0</v>
      </c>
      <c r="AN226" s="18">
        <f t="shared" si="60"/>
        <v>0</v>
      </c>
      <c r="AO226" s="18">
        <f t="shared" si="60"/>
        <v>1</v>
      </c>
      <c r="AQ226" s="28" t="str">
        <f t="shared" si="59"/>
        <v xml:space="preserve">    0xAC28,  // L</v>
      </c>
    </row>
    <row r="227" spans="1:43" ht="18.75" x14ac:dyDescent="0.3">
      <c r="A227" s="6"/>
      <c r="B227" s="16">
        <v>205</v>
      </c>
      <c r="C227" s="19" t="str">
        <f t="shared" si="56"/>
        <v>CD</v>
      </c>
      <c r="D227" s="24" t="s">
        <v>85</v>
      </c>
      <c r="E227" s="21">
        <v>1</v>
      </c>
      <c r="F227" s="21">
        <v>1</v>
      </c>
      <c r="G227" s="21">
        <v>1</v>
      </c>
      <c r="H227" s="21">
        <v>1</v>
      </c>
      <c r="I227" s="21">
        <v>0</v>
      </c>
      <c r="J227" s="21">
        <v>0</v>
      </c>
      <c r="K227" s="21">
        <v>1</v>
      </c>
      <c r="L227" s="21">
        <v>1</v>
      </c>
      <c r="M227" s="21">
        <v>0</v>
      </c>
      <c r="N227" s="21">
        <v>0</v>
      </c>
      <c r="O227" s="21">
        <v>0</v>
      </c>
      <c r="P227" s="21">
        <v>1</v>
      </c>
      <c r="Q227" s="21">
        <v>0</v>
      </c>
      <c r="R227" s="21">
        <v>0</v>
      </c>
      <c r="S227" s="21">
        <v>1</v>
      </c>
      <c r="T227" s="21">
        <v>0</v>
      </c>
      <c r="U227" s="22">
        <f t="shared" si="57"/>
        <v>37485</v>
      </c>
      <c r="V227" s="19" t="str">
        <f t="shared" si="58"/>
        <v>926D</v>
      </c>
      <c r="W227" s="7"/>
      <c r="X227" s="23">
        <v>37485</v>
      </c>
      <c r="Y227" s="19" t="str">
        <f t="shared" si="55"/>
        <v>926D</v>
      </c>
      <c r="Z227" s="18">
        <f t="shared" si="53"/>
        <v>1</v>
      </c>
      <c r="AA227" s="18">
        <f t="shared" si="60"/>
        <v>1</v>
      </c>
      <c r="AB227" s="18">
        <f t="shared" si="60"/>
        <v>1</v>
      </c>
      <c r="AC227" s="18">
        <f t="shared" si="60"/>
        <v>1</v>
      </c>
      <c r="AD227" s="18">
        <f t="shared" si="60"/>
        <v>0</v>
      </c>
      <c r="AE227" s="18">
        <f t="shared" si="60"/>
        <v>0</v>
      </c>
      <c r="AF227" s="18">
        <f t="shared" si="60"/>
        <v>1</v>
      </c>
      <c r="AG227" s="18">
        <f t="shared" si="60"/>
        <v>1</v>
      </c>
      <c r="AH227" s="18">
        <f t="shared" si="60"/>
        <v>0</v>
      </c>
      <c r="AI227" s="18">
        <f t="shared" si="60"/>
        <v>0</v>
      </c>
      <c r="AJ227" s="18">
        <f t="shared" si="60"/>
        <v>0</v>
      </c>
      <c r="AK227" s="18">
        <f t="shared" si="60"/>
        <v>1</v>
      </c>
      <c r="AL227" s="18">
        <f t="shared" si="60"/>
        <v>0</v>
      </c>
      <c r="AM227" s="18">
        <f t="shared" si="60"/>
        <v>0</v>
      </c>
      <c r="AN227" s="18">
        <f t="shared" si="60"/>
        <v>1</v>
      </c>
      <c r="AO227" s="18">
        <f t="shared" si="60"/>
        <v>0</v>
      </c>
      <c r="AQ227" s="28" t="str">
        <f t="shared" si="59"/>
        <v xml:space="preserve">    0x926D,  // M</v>
      </c>
    </row>
    <row r="228" spans="1:43" ht="18.75" x14ac:dyDescent="0.3">
      <c r="A228" s="6"/>
      <c r="B228" s="16">
        <v>206</v>
      </c>
      <c r="C228" s="19" t="str">
        <f t="shared" si="56"/>
        <v>CE</v>
      </c>
      <c r="D228" s="24" t="s">
        <v>86</v>
      </c>
      <c r="E228" s="21">
        <v>1</v>
      </c>
      <c r="F228" s="21">
        <v>0</v>
      </c>
      <c r="G228" s="21">
        <v>1</v>
      </c>
      <c r="H228" s="21">
        <v>1</v>
      </c>
      <c r="I228" s="21">
        <v>0</v>
      </c>
      <c r="J228" s="21">
        <v>1</v>
      </c>
      <c r="K228" s="21">
        <v>1</v>
      </c>
      <c r="L228" s="21">
        <v>1</v>
      </c>
      <c r="M228" s="21">
        <v>0</v>
      </c>
      <c r="N228" s="21">
        <v>0</v>
      </c>
      <c r="O228" s="21">
        <v>0</v>
      </c>
      <c r="P228" s="21">
        <v>1</v>
      </c>
      <c r="Q228" s="21">
        <v>0</v>
      </c>
      <c r="R228" s="21">
        <v>0</v>
      </c>
      <c r="S228" s="21">
        <v>1</v>
      </c>
      <c r="T228" s="21">
        <v>0</v>
      </c>
      <c r="U228" s="22">
        <f t="shared" si="57"/>
        <v>45645</v>
      </c>
      <c r="V228" s="19" t="str">
        <f t="shared" si="58"/>
        <v>B24D</v>
      </c>
      <c r="W228" s="7"/>
      <c r="X228" s="23">
        <v>45645</v>
      </c>
      <c r="Y228" s="19" t="str">
        <f t="shared" si="55"/>
        <v>B24D</v>
      </c>
      <c r="Z228" s="18">
        <f t="shared" si="53"/>
        <v>1</v>
      </c>
      <c r="AA228" s="18">
        <f t="shared" si="60"/>
        <v>0</v>
      </c>
      <c r="AB228" s="18">
        <f t="shared" si="60"/>
        <v>1</v>
      </c>
      <c r="AC228" s="18">
        <f t="shared" si="60"/>
        <v>1</v>
      </c>
      <c r="AD228" s="18">
        <f t="shared" si="60"/>
        <v>0</v>
      </c>
      <c r="AE228" s="18">
        <f t="shared" si="60"/>
        <v>1</v>
      </c>
      <c r="AF228" s="18">
        <f t="shared" si="60"/>
        <v>1</v>
      </c>
      <c r="AG228" s="18">
        <f t="shared" si="60"/>
        <v>1</v>
      </c>
      <c r="AH228" s="18">
        <f t="shared" si="60"/>
        <v>0</v>
      </c>
      <c r="AI228" s="18">
        <f t="shared" si="60"/>
        <v>0</v>
      </c>
      <c r="AJ228" s="18">
        <f t="shared" si="60"/>
        <v>0</v>
      </c>
      <c r="AK228" s="18">
        <f t="shared" si="60"/>
        <v>1</v>
      </c>
      <c r="AL228" s="18">
        <f t="shared" si="60"/>
        <v>0</v>
      </c>
      <c r="AM228" s="18">
        <f t="shared" si="60"/>
        <v>0</v>
      </c>
      <c r="AN228" s="18">
        <f t="shared" si="60"/>
        <v>1</v>
      </c>
      <c r="AO228" s="18">
        <f t="shared" si="60"/>
        <v>0</v>
      </c>
      <c r="AQ228" s="28" t="str">
        <f t="shared" si="59"/>
        <v xml:space="preserve">    0xB24D,  // N</v>
      </c>
    </row>
    <row r="229" spans="1:43" ht="18.75" x14ac:dyDescent="0.3">
      <c r="A229" s="6"/>
      <c r="B229" s="16">
        <v>207</v>
      </c>
      <c r="C229" s="19" t="str">
        <f t="shared" si="56"/>
        <v>CF</v>
      </c>
      <c r="D229" s="24" t="s">
        <v>87</v>
      </c>
      <c r="E229" s="21">
        <v>1</v>
      </c>
      <c r="F229" s="21">
        <v>1</v>
      </c>
      <c r="G229" s="21">
        <v>1</v>
      </c>
      <c r="H229" s="21">
        <v>1</v>
      </c>
      <c r="I229" s="21">
        <v>1</v>
      </c>
      <c r="J229" s="21">
        <v>1</v>
      </c>
      <c r="K229" s="21">
        <v>1</v>
      </c>
      <c r="L229" s="21">
        <v>1</v>
      </c>
      <c r="M229" s="21">
        <v>0</v>
      </c>
      <c r="N229" s="21">
        <v>0</v>
      </c>
      <c r="O229" s="21">
        <v>1</v>
      </c>
      <c r="P229" s="21">
        <v>0</v>
      </c>
      <c r="Q229" s="21">
        <v>1</v>
      </c>
      <c r="R229" s="21">
        <v>0</v>
      </c>
      <c r="S229" s="21">
        <v>0</v>
      </c>
      <c r="T229" s="21">
        <v>0</v>
      </c>
      <c r="U229" s="22">
        <f t="shared" si="57"/>
        <v>42615</v>
      </c>
      <c r="V229" s="19" t="str">
        <f t="shared" si="58"/>
        <v>A677</v>
      </c>
      <c r="W229" s="7"/>
      <c r="X229" s="23">
        <v>42615</v>
      </c>
      <c r="Y229" s="19" t="str">
        <f t="shared" si="55"/>
        <v>A677</v>
      </c>
      <c r="Z229" s="18">
        <f t="shared" si="53"/>
        <v>1</v>
      </c>
      <c r="AA229" s="18">
        <f t="shared" si="60"/>
        <v>1</v>
      </c>
      <c r="AB229" s="18">
        <f t="shared" si="60"/>
        <v>1</v>
      </c>
      <c r="AC229" s="18">
        <f t="shared" si="60"/>
        <v>1</v>
      </c>
      <c r="AD229" s="18">
        <f t="shared" si="60"/>
        <v>1</v>
      </c>
      <c r="AE229" s="18">
        <f t="shared" si="60"/>
        <v>1</v>
      </c>
      <c r="AF229" s="18">
        <f t="shared" si="60"/>
        <v>1</v>
      </c>
      <c r="AG229" s="18">
        <f t="shared" si="60"/>
        <v>1</v>
      </c>
      <c r="AH229" s="18">
        <f t="shared" si="60"/>
        <v>0</v>
      </c>
      <c r="AI229" s="18">
        <f t="shared" si="60"/>
        <v>0</v>
      </c>
      <c r="AJ229" s="18">
        <f t="shared" si="60"/>
        <v>1</v>
      </c>
      <c r="AK229" s="18">
        <f t="shared" si="60"/>
        <v>0</v>
      </c>
      <c r="AL229" s="18">
        <f t="shared" si="60"/>
        <v>1</v>
      </c>
      <c r="AM229" s="18">
        <f t="shared" si="60"/>
        <v>0</v>
      </c>
      <c r="AN229" s="18">
        <f t="shared" si="60"/>
        <v>0</v>
      </c>
      <c r="AO229" s="18">
        <f t="shared" si="60"/>
        <v>0</v>
      </c>
      <c r="AQ229" s="28" t="str">
        <f t="shared" si="59"/>
        <v xml:space="preserve">    0xA677,  // O</v>
      </c>
    </row>
    <row r="230" spans="1:43" ht="18.75" x14ac:dyDescent="0.3">
      <c r="A230" s="6"/>
      <c r="B230" s="16">
        <v>208</v>
      </c>
      <c r="C230" s="19" t="str">
        <f t="shared" si="56"/>
        <v>D0</v>
      </c>
      <c r="D230" s="24" t="s">
        <v>88</v>
      </c>
      <c r="E230" s="21">
        <v>1</v>
      </c>
      <c r="F230" s="21">
        <v>1</v>
      </c>
      <c r="G230" s="21">
        <v>0</v>
      </c>
      <c r="H230" s="21">
        <v>0</v>
      </c>
      <c r="I230" s="21">
        <v>0</v>
      </c>
      <c r="J230" s="21">
        <v>0</v>
      </c>
      <c r="K230" s="21">
        <v>1</v>
      </c>
      <c r="L230" s="21">
        <v>1</v>
      </c>
      <c r="M230" s="21">
        <v>1</v>
      </c>
      <c r="N230" s="21">
        <v>0</v>
      </c>
      <c r="O230" s="21">
        <v>0</v>
      </c>
      <c r="P230" s="21">
        <v>0</v>
      </c>
      <c r="Q230" s="21">
        <v>1</v>
      </c>
      <c r="R230" s="21">
        <v>0</v>
      </c>
      <c r="S230" s="21">
        <v>0</v>
      </c>
      <c r="T230" s="21">
        <v>0</v>
      </c>
      <c r="U230" s="22">
        <f t="shared" si="57"/>
        <v>821</v>
      </c>
      <c r="V230" s="19" t="str">
        <f t="shared" si="58"/>
        <v>0335</v>
      </c>
      <c r="W230" s="7"/>
      <c r="X230" s="23">
        <v>2533</v>
      </c>
      <c r="Y230" s="19" t="str">
        <f t="shared" si="55"/>
        <v>09E5</v>
      </c>
      <c r="Z230" s="18">
        <f t="shared" si="53"/>
        <v>1</v>
      </c>
      <c r="AA230" s="18">
        <f t="shared" si="60"/>
        <v>1</v>
      </c>
      <c r="AB230" s="18">
        <f t="shared" si="60"/>
        <v>1</v>
      </c>
      <c r="AC230" s="18">
        <f t="shared" si="60"/>
        <v>0</v>
      </c>
      <c r="AD230" s="18">
        <f t="shared" si="60"/>
        <v>0</v>
      </c>
      <c r="AE230" s="18">
        <f t="shared" si="60"/>
        <v>0</v>
      </c>
      <c r="AF230" s="18">
        <f t="shared" si="60"/>
        <v>0</v>
      </c>
      <c r="AG230" s="18">
        <f t="shared" si="60"/>
        <v>1</v>
      </c>
      <c r="AH230" s="18">
        <f t="shared" si="60"/>
        <v>1</v>
      </c>
      <c r="AI230" s="18">
        <f t="shared" si="60"/>
        <v>1</v>
      </c>
      <c r="AJ230" s="18">
        <f t="shared" si="60"/>
        <v>0</v>
      </c>
      <c r="AK230" s="18">
        <f t="shared" si="60"/>
        <v>0</v>
      </c>
      <c r="AL230" s="18">
        <f t="shared" si="60"/>
        <v>0</v>
      </c>
      <c r="AM230" s="18">
        <f t="shared" si="60"/>
        <v>0</v>
      </c>
      <c r="AN230" s="18">
        <f t="shared" si="60"/>
        <v>0</v>
      </c>
      <c r="AO230" s="18">
        <f t="shared" si="60"/>
        <v>1</v>
      </c>
      <c r="AQ230" s="28" t="str">
        <f t="shared" si="59"/>
        <v xml:space="preserve">    0x0335,  // P</v>
      </c>
    </row>
    <row r="231" spans="1:43" ht="18.75" x14ac:dyDescent="0.3">
      <c r="A231" s="6"/>
      <c r="B231" s="16">
        <v>209</v>
      </c>
      <c r="C231" s="19" t="str">
        <f t="shared" si="56"/>
        <v>D1</v>
      </c>
      <c r="D231" s="24" t="s">
        <v>89</v>
      </c>
      <c r="E231" s="21">
        <v>1</v>
      </c>
      <c r="F231" s="21">
        <v>1</v>
      </c>
      <c r="G231" s="21">
        <v>1</v>
      </c>
      <c r="H231" s="21">
        <v>1</v>
      </c>
      <c r="I231" s="21">
        <v>1</v>
      </c>
      <c r="J231" s="21">
        <v>1</v>
      </c>
      <c r="K231" s="21">
        <v>1</v>
      </c>
      <c r="L231" s="21">
        <v>1</v>
      </c>
      <c r="M231" s="21">
        <v>0</v>
      </c>
      <c r="N231" s="21">
        <v>0</v>
      </c>
      <c r="O231" s="21">
        <v>0</v>
      </c>
      <c r="P231" s="21">
        <v>0</v>
      </c>
      <c r="Q231" s="21">
        <v>0</v>
      </c>
      <c r="R231" s="21">
        <v>1</v>
      </c>
      <c r="S231" s="21">
        <v>0</v>
      </c>
      <c r="T231" s="21">
        <v>1</v>
      </c>
      <c r="U231" s="22">
        <f t="shared" si="57"/>
        <v>61029</v>
      </c>
      <c r="V231" s="19" t="str">
        <f t="shared" si="58"/>
        <v>EE65</v>
      </c>
      <c r="W231" s="7"/>
      <c r="X231" s="23">
        <v>16869</v>
      </c>
      <c r="Y231" s="19" t="str">
        <f t="shared" si="55"/>
        <v>41E5</v>
      </c>
      <c r="Z231" s="18">
        <f t="shared" si="53"/>
        <v>1</v>
      </c>
      <c r="AA231" s="18">
        <f t="shared" si="60"/>
        <v>1</v>
      </c>
      <c r="AB231" s="18">
        <f t="shared" si="60"/>
        <v>1</v>
      </c>
      <c r="AC231" s="18">
        <f t="shared" si="60"/>
        <v>0</v>
      </c>
      <c r="AD231" s="18">
        <f t="shared" si="60"/>
        <v>0</v>
      </c>
      <c r="AE231" s="18">
        <f t="shared" si="60"/>
        <v>0</v>
      </c>
      <c r="AF231" s="18">
        <f t="shared" si="60"/>
        <v>0</v>
      </c>
      <c r="AG231" s="18">
        <f t="shared" si="60"/>
        <v>1</v>
      </c>
      <c r="AH231" s="18">
        <f t="shared" si="60"/>
        <v>1</v>
      </c>
      <c r="AI231" s="18">
        <f t="shared" si="60"/>
        <v>1</v>
      </c>
      <c r="AJ231" s="18">
        <f t="shared" si="60"/>
        <v>0</v>
      </c>
      <c r="AK231" s="18">
        <f t="shared" si="60"/>
        <v>0</v>
      </c>
      <c r="AL231" s="18">
        <f t="shared" si="60"/>
        <v>0</v>
      </c>
      <c r="AM231" s="18">
        <f t="shared" si="60"/>
        <v>1</v>
      </c>
      <c r="AN231" s="18">
        <f t="shared" si="60"/>
        <v>0</v>
      </c>
      <c r="AO231" s="18">
        <f t="shared" si="60"/>
        <v>0</v>
      </c>
      <c r="AQ231" s="28" t="str">
        <f t="shared" si="59"/>
        <v xml:space="preserve">    0xEE65,  // Q</v>
      </c>
    </row>
    <row r="232" spans="1:43" ht="18.75" x14ac:dyDescent="0.3">
      <c r="A232" s="6"/>
      <c r="B232" s="16">
        <v>210</v>
      </c>
      <c r="C232" s="19" t="str">
        <f t="shared" si="56"/>
        <v>D2</v>
      </c>
      <c r="D232" s="24" t="s">
        <v>90</v>
      </c>
      <c r="E232" s="21">
        <v>1</v>
      </c>
      <c r="F232" s="21">
        <v>1</v>
      </c>
      <c r="G232" s="21">
        <v>0</v>
      </c>
      <c r="H232" s="21">
        <v>0</v>
      </c>
      <c r="I232" s="21">
        <v>0</v>
      </c>
      <c r="J232" s="21">
        <v>0</v>
      </c>
      <c r="K232" s="21">
        <v>1</v>
      </c>
      <c r="L232" s="21">
        <v>1</v>
      </c>
      <c r="M232" s="21">
        <v>1</v>
      </c>
      <c r="N232" s="21">
        <v>0</v>
      </c>
      <c r="O232" s="21">
        <v>0</v>
      </c>
      <c r="P232" s="21">
        <v>0</v>
      </c>
      <c r="Q232" s="21">
        <v>1</v>
      </c>
      <c r="R232" s="21">
        <v>1</v>
      </c>
      <c r="S232" s="21">
        <v>0</v>
      </c>
      <c r="T232" s="21">
        <v>0</v>
      </c>
      <c r="U232" s="22">
        <f t="shared" si="57"/>
        <v>17205</v>
      </c>
      <c r="V232" s="19" t="str">
        <f t="shared" si="58"/>
        <v>4335</v>
      </c>
      <c r="W232" s="7"/>
      <c r="X232" s="23">
        <v>18917</v>
      </c>
      <c r="Y232" s="19" t="str">
        <f t="shared" si="55"/>
        <v>49E5</v>
      </c>
      <c r="Z232" s="18">
        <f t="shared" si="53"/>
        <v>1</v>
      </c>
      <c r="AA232" s="18">
        <f t="shared" si="60"/>
        <v>1</v>
      </c>
      <c r="AB232" s="18">
        <f t="shared" si="60"/>
        <v>1</v>
      </c>
      <c r="AC232" s="18">
        <f t="shared" si="60"/>
        <v>0</v>
      </c>
      <c r="AD232" s="18">
        <f t="shared" si="60"/>
        <v>0</v>
      </c>
      <c r="AE232" s="18">
        <f t="shared" si="60"/>
        <v>0</v>
      </c>
      <c r="AF232" s="18">
        <f t="shared" si="60"/>
        <v>0</v>
      </c>
      <c r="AG232" s="18">
        <f t="shared" si="60"/>
        <v>1</v>
      </c>
      <c r="AH232" s="18">
        <f t="shared" si="60"/>
        <v>1</v>
      </c>
      <c r="AI232" s="18">
        <f t="shared" si="60"/>
        <v>1</v>
      </c>
      <c r="AJ232" s="18">
        <f t="shared" si="60"/>
        <v>0</v>
      </c>
      <c r="AK232" s="18">
        <f t="shared" si="60"/>
        <v>0</v>
      </c>
      <c r="AL232" s="18">
        <f t="shared" si="60"/>
        <v>0</v>
      </c>
      <c r="AM232" s="18">
        <f t="shared" si="60"/>
        <v>1</v>
      </c>
      <c r="AN232" s="18">
        <f t="shared" si="60"/>
        <v>0</v>
      </c>
      <c r="AO232" s="18">
        <f t="shared" si="60"/>
        <v>1</v>
      </c>
      <c r="AQ232" s="28" t="str">
        <f t="shared" si="59"/>
        <v xml:space="preserve">    0x4335,  // R</v>
      </c>
    </row>
    <row r="233" spans="1:43" ht="18.75" x14ac:dyDescent="0.3">
      <c r="A233" s="6"/>
      <c r="B233" s="16">
        <v>211</v>
      </c>
      <c r="C233" s="19" t="str">
        <f t="shared" si="56"/>
        <v>D3</v>
      </c>
      <c r="D233" s="24" t="s">
        <v>91</v>
      </c>
      <c r="E233" s="21">
        <v>1</v>
      </c>
      <c r="F233" s="21">
        <v>1</v>
      </c>
      <c r="G233" s="21">
        <v>0</v>
      </c>
      <c r="H233" s="21">
        <v>1</v>
      </c>
      <c r="I233" s="21">
        <v>1</v>
      </c>
      <c r="J233" s="21">
        <v>1</v>
      </c>
      <c r="K233" s="21">
        <v>1</v>
      </c>
      <c r="L233" s="21">
        <v>0</v>
      </c>
      <c r="M233" s="21">
        <v>0</v>
      </c>
      <c r="N233" s="21">
        <v>1</v>
      </c>
      <c r="O233" s="21">
        <v>1</v>
      </c>
      <c r="P233" s="21">
        <v>0</v>
      </c>
      <c r="Q233" s="21">
        <v>0</v>
      </c>
      <c r="R233" s="21">
        <v>0</v>
      </c>
      <c r="S233" s="21">
        <v>0</v>
      </c>
      <c r="T233" s="21">
        <v>0</v>
      </c>
      <c r="U233" s="22">
        <f t="shared" si="57"/>
        <v>42662</v>
      </c>
      <c r="V233" s="19" t="str">
        <f t="shared" si="58"/>
        <v>A6A6</v>
      </c>
      <c r="W233" s="7"/>
      <c r="X233" s="23">
        <v>42662</v>
      </c>
      <c r="Y233" s="19" t="str">
        <f t="shared" si="55"/>
        <v>A6A6</v>
      </c>
      <c r="Z233" s="18">
        <f t="shared" si="53"/>
        <v>1</v>
      </c>
      <c r="AA233" s="18">
        <f t="shared" si="60"/>
        <v>1</v>
      </c>
      <c r="AB233" s="18">
        <f t="shared" si="60"/>
        <v>0</v>
      </c>
      <c r="AC233" s="18">
        <f t="shared" si="60"/>
        <v>1</v>
      </c>
      <c r="AD233" s="18">
        <f t="shared" si="60"/>
        <v>1</v>
      </c>
      <c r="AE233" s="18">
        <f t="shared" si="60"/>
        <v>1</v>
      </c>
      <c r="AF233" s="18">
        <f t="shared" si="60"/>
        <v>1</v>
      </c>
      <c r="AG233" s="18">
        <f t="shared" si="60"/>
        <v>0</v>
      </c>
      <c r="AH233" s="18">
        <f t="shared" si="60"/>
        <v>0</v>
      </c>
      <c r="AI233" s="18">
        <f t="shared" si="60"/>
        <v>1</v>
      </c>
      <c r="AJ233" s="18">
        <f t="shared" si="60"/>
        <v>1</v>
      </c>
      <c r="AK233" s="18">
        <f t="shared" si="60"/>
        <v>0</v>
      </c>
      <c r="AL233" s="18">
        <f t="shared" si="60"/>
        <v>0</v>
      </c>
      <c r="AM233" s="18">
        <f t="shared" si="60"/>
        <v>0</v>
      </c>
      <c r="AN233" s="18">
        <f t="shared" si="60"/>
        <v>0</v>
      </c>
      <c r="AO233" s="18">
        <f t="shared" si="60"/>
        <v>0</v>
      </c>
      <c r="AQ233" s="28" t="str">
        <f t="shared" si="59"/>
        <v xml:space="preserve">    0xA6A6,  // S</v>
      </c>
    </row>
    <row r="234" spans="1:43" ht="18.75" x14ac:dyDescent="0.3">
      <c r="A234" s="6"/>
      <c r="B234" s="16">
        <v>212</v>
      </c>
      <c r="C234" s="19" t="str">
        <f t="shared" si="56"/>
        <v>D4</v>
      </c>
      <c r="D234" s="24" t="s">
        <v>92</v>
      </c>
      <c r="E234" s="21">
        <v>1</v>
      </c>
      <c r="F234" s="21">
        <v>1</v>
      </c>
      <c r="G234" s="21">
        <v>1</v>
      </c>
      <c r="H234" s="21">
        <v>0</v>
      </c>
      <c r="I234" s="21">
        <v>0</v>
      </c>
      <c r="J234" s="21">
        <v>0</v>
      </c>
      <c r="K234" s="21">
        <v>0</v>
      </c>
      <c r="L234" s="21">
        <v>1</v>
      </c>
      <c r="M234" s="21">
        <v>0</v>
      </c>
      <c r="N234" s="21">
        <v>0</v>
      </c>
      <c r="O234" s="21">
        <v>0</v>
      </c>
      <c r="P234" s="21">
        <v>1</v>
      </c>
      <c r="Q234" s="21">
        <v>0</v>
      </c>
      <c r="R234" s="21">
        <v>0</v>
      </c>
      <c r="S234" s="21">
        <v>1</v>
      </c>
      <c r="T234" s="21">
        <v>0</v>
      </c>
      <c r="U234" s="22">
        <f t="shared" si="57"/>
        <v>4205</v>
      </c>
      <c r="V234" s="19" t="str">
        <f t="shared" si="58"/>
        <v>106D</v>
      </c>
      <c r="W234" s="7"/>
      <c r="X234" s="23">
        <v>4205</v>
      </c>
      <c r="Y234" s="19" t="str">
        <f t="shared" si="55"/>
        <v>106D</v>
      </c>
      <c r="Z234" s="18">
        <f t="shared" si="53"/>
        <v>1</v>
      </c>
      <c r="AA234" s="18">
        <f t="shared" si="60"/>
        <v>1</v>
      </c>
      <c r="AB234" s="18">
        <f t="shared" si="60"/>
        <v>1</v>
      </c>
      <c r="AC234" s="18">
        <f t="shared" si="60"/>
        <v>0</v>
      </c>
      <c r="AD234" s="18">
        <f t="shared" si="60"/>
        <v>0</v>
      </c>
      <c r="AE234" s="18">
        <f t="shared" si="60"/>
        <v>0</v>
      </c>
      <c r="AF234" s="18">
        <f t="shared" si="60"/>
        <v>0</v>
      </c>
      <c r="AG234" s="18">
        <f t="shared" si="60"/>
        <v>1</v>
      </c>
      <c r="AH234" s="18">
        <f t="shared" si="60"/>
        <v>0</v>
      </c>
      <c r="AI234" s="18">
        <f t="shared" si="60"/>
        <v>0</v>
      </c>
      <c r="AJ234" s="18">
        <f t="shared" si="60"/>
        <v>0</v>
      </c>
      <c r="AK234" s="18">
        <f t="shared" si="60"/>
        <v>1</v>
      </c>
      <c r="AL234" s="18">
        <f t="shared" si="60"/>
        <v>0</v>
      </c>
      <c r="AM234" s="18">
        <f t="shared" si="60"/>
        <v>0</v>
      </c>
      <c r="AN234" s="18">
        <f t="shared" si="60"/>
        <v>1</v>
      </c>
      <c r="AO234" s="18">
        <f t="shared" si="60"/>
        <v>0</v>
      </c>
      <c r="AQ234" s="28" t="str">
        <f t="shared" si="59"/>
        <v xml:space="preserve">    0x106D,  // T</v>
      </c>
    </row>
    <row r="235" spans="1:43" ht="18.75" x14ac:dyDescent="0.3">
      <c r="A235" s="6"/>
      <c r="B235" s="16">
        <v>213</v>
      </c>
      <c r="C235" s="19" t="str">
        <f t="shared" si="56"/>
        <v>D5</v>
      </c>
      <c r="D235" s="24" t="s">
        <v>93</v>
      </c>
      <c r="E235" s="21">
        <v>0</v>
      </c>
      <c r="F235" s="21">
        <v>0</v>
      </c>
      <c r="G235" s="21">
        <v>1</v>
      </c>
      <c r="H235" s="21">
        <v>1</v>
      </c>
      <c r="I235" s="21">
        <v>1</v>
      </c>
      <c r="J235" s="21">
        <v>1</v>
      </c>
      <c r="K235" s="21">
        <v>0</v>
      </c>
      <c r="L235" s="21">
        <v>0</v>
      </c>
      <c r="M235" s="21">
        <v>0</v>
      </c>
      <c r="N235" s="21">
        <v>0</v>
      </c>
      <c r="O235" s="21">
        <v>1</v>
      </c>
      <c r="P235" s="21">
        <v>0</v>
      </c>
      <c r="Q235" s="21">
        <v>0</v>
      </c>
      <c r="R235" s="21">
        <v>0</v>
      </c>
      <c r="S235" s="21">
        <v>0</v>
      </c>
      <c r="T235" s="21">
        <v>1</v>
      </c>
      <c r="U235" s="22">
        <f t="shared" si="57"/>
        <v>44098</v>
      </c>
      <c r="V235" s="19" t="str">
        <f t="shared" si="58"/>
        <v>AC42</v>
      </c>
      <c r="W235" s="7"/>
      <c r="X235" s="23">
        <v>44098</v>
      </c>
      <c r="Y235" s="19" t="str">
        <f t="shared" si="55"/>
        <v>AC42</v>
      </c>
      <c r="Z235" s="18">
        <f t="shared" si="53"/>
        <v>0</v>
      </c>
      <c r="AA235" s="18">
        <f t="shared" si="60"/>
        <v>0</v>
      </c>
      <c r="AB235" s="18">
        <f t="shared" si="60"/>
        <v>1</v>
      </c>
      <c r="AC235" s="18">
        <f t="shared" si="60"/>
        <v>1</v>
      </c>
      <c r="AD235" s="18">
        <f t="shared" si="60"/>
        <v>1</v>
      </c>
      <c r="AE235" s="18">
        <f t="shared" si="60"/>
        <v>1</v>
      </c>
      <c r="AF235" s="18">
        <f t="shared" si="60"/>
        <v>0</v>
      </c>
      <c r="AG235" s="18">
        <f t="shared" si="60"/>
        <v>0</v>
      </c>
      <c r="AH235" s="18">
        <f t="shared" si="60"/>
        <v>0</v>
      </c>
      <c r="AI235" s="18">
        <f t="shared" si="60"/>
        <v>0</v>
      </c>
      <c r="AJ235" s="18">
        <f t="shared" si="60"/>
        <v>1</v>
      </c>
      <c r="AK235" s="18">
        <f t="shared" si="60"/>
        <v>0</v>
      </c>
      <c r="AL235" s="18">
        <f t="shared" si="60"/>
        <v>0</v>
      </c>
      <c r="AM235" s="18">
        <f t="shared" si="60"/>
        <v>0</v>
      </c>
      <c r="AN235" s="18">
        <f t="shared" si="60"/>
        <v>0</v>
      </c>
      <c r="AO235" s="18">
        <f t="shared" si="60"/>
        <v>1</v>
      </c>
      <c r="AQ235" s="28" t="str">
        <f t="shared" si="59"/>
        <v xml:space="preserve">    0xAC42,  // U</v>
      </c>
    </row>
    <row r="236" spans="1:43" ht="18.75" x14ac:dyDescent="0.3">
      <c r="A236" s="6"/>
      <c r="B236" s="16">
        <v>214</v>
      </c>
      <c r="C236" s="19" t="str">
        <f t="shared" si="56"/>
        <v>D6</v>
      </c>
      <c r="D236" s="24" t="s">
        <v>94</v>
      </c>
      <c r="E236" s="21">
        <v>0</v>
      </c>
      <c r="F236" s="21">
        <v>0</v>
      </c>
      <c r="G236" s="21">
        <v>1</v>
      </c>
      <c r="H236" s="21">
        <v>1</v>
      </c>
      <c r="I236" s="21">
        <v>0</v>
      </c>
      <c r="J236" s="21">
        <v>0</v>
      </c>
      <c r="K236" s="21">
        <v>0</v>
      </c>
      <c r="L236" s="21">
        <v>0</v>
      </c>
      <c r="M236" s="21">
        <v>0</v>
      </c>
      <c r="N236" s="21">
        <v>0</v>
      </c>
      <c r="O236" s="21">
        <v>1</v>
      </c>
      <c r="P236" s="21">
        <v>0</v>
      </c>
      <c r="Q236" s="21">
        <v>0</v>
      </c>
      <c r="R236" s="21">
        <v>1</v>
      </c>
      <c r="S236" s="21">
        <v>0</v>
      </c>
      <c r="T236" s="21">
        <v>0</v>
      </c>
      <c r="U236" s="22">
        <f t="shared" si="57"/>
        <v>49218</v>
      </c>
      <c r="V236" s="19" t="str">
        <f t="shared" si="58"/>
        <v>C042</v>
      </c>
      <c r="W236" s="7"/>
      <c r="X236" s="23">
        <v>49218</v>
      </c>
      <c r="Y236" s="19" t="str">
        <f t="shared" si="55"/>
        <v>C042</v>
      </c>
      <c r="Z236" s="18">
        <f t="shared" si="53"/>
        <v>0</v>
      </c>
      <c r="AA236" s="18">
        <f t="shared" si="60"/>
        <v>0</v>
      </c>
      <c r="AB236" s="18">
        <f t="shared" si="60"/>
        <v>1</v>
      </c>
      <c r="AC236" s="18">
        <f t="shared" si="60"/>
        <v>1</v>
      </c>
      <c r="AD236" s="18">
        <f t="shared" si="60"/>
        <v>0</v>
      </c>
      <c r="AE236" s="18">
        <f t="shared" si="60"/>
        <v>0</v>
      </c>
      <c r="AF236" s="18">
        <f t="shared" si="60"/>
        <v>0</v>
      </c>
      <c r="AG236" s="18">
        <f t="shared" si="60"/>
        <v>0</v>
      </c>
      <c r="AH236" s="18">
        <f t="shared" si="60"/>
        <v>0</v>
      </c>
      <c r="AI236" s="18">
        <f t="shared" si="60"/>
        <v>0</v>
      </c>
      <c r="AJ236" s="18">
        <f t="shared" si="60"/>
        <v>1</v>
      </c>
      <c r="AK236" s="18">
        <f t="shared" si="60"/>
        <v>0</v>
      </c>
      <c r="AL236" s="18">
        <f t="shared" si="60"/>
        <v>0</v>
      </c>
      <c r="AM236" s="18">
        <f t="shared" si="60"/>
        <v>1</v>
      </c>
      <c r="AN236" s="18">
        <f t="shared" si="60"/>
        <v>0</v>
      </c>
      <c r="AO236" s="18">
        <f t="shared" si="60"/>
        <v>0</v>
      </c>
      <c r="AQ236" s="28" t="str">
        <f t="shared" si="59"/>
        <v xml:space="preserve">    0xC042,  // V</v>
      </c>
    </row>
    <row r="237" spans="1:43" ht="18.75" x14ac:dyDescent="0.3">
      <c r="A237" s="6"/>
      <c r="B237" s="16">
        <v>215</v>
      </c>
      <c r="C237" s="19" t="str">
        <f t="shared" si="56"/>
        <v>D7</v>
      </c>
      <c r="D237" s="24" t="s">
        <v>95</v>
      </c>
      <c r="E237" s="21">
        <v>0</v>
      </c>
      <c r="F237" s="21">
        <v>0</v>
      </c>
      <c r="G237" s="21">
        <v>1</v>
      </c>
      <c r="H237" s="21">
        <v>1</v>
      </c>
      <c r="I237" s="21">
        <v>1</v>
      </c>
      <c r="J237" s="21">
        <v>1</v>
      </c>
      <c r="K237" s="21">
        <v>1</v>
      </c>
      <c r="L237" s="21">
        <v>1</v>
      </c>
      <c r="M237" s="21">
        <v>0</v>
      </c>
      <c r="N237" s="21">
        <v>0</v>
      </c>
      <c r="O237" s="21">
        <v>0</v>
      </c>
      <c r="P237" s="21">
        <v>1</v>
      </c>
      <c r="Q237" s="21">
        <v>0</v>
      </c>
      <c r="R237" s="21">
        <v>0</v>
      </c>
      <c r="S237" s="21">
        <v>1</v>
      </c>
      <c r="T237" s="21">
        <v>0</v>
      </c>
      <c r="U237" s="22">
        <f t="shared" si="57"/>
        <v>46665</v>
      </c>
      <c r="V237" s="19" t="str">
        <f t="shared" si="58"/>
        <v>B649</v>
      </c>
      <c r="W237" s="7"/>
      <c r="X237" s="23">
        <v>46665</v>
      </c>
      <c r="Y237" s="19" t="str">
        <f t="shared" si="55"/>
        <v>B649</v>
      </c>
      <c r="Z237" s="18">
        <f t="shared" si="53"/>
        <v>0</v>
      </c>
      <c r="AA237" s="18">
        <f t="shared" si="60"/>
        <v>0</v>
      </c>
      <c r="AB237" s="18">
        <f t="shared" si="60"/>
        <v>1</v>
      </c>
      <c r="AC237" s="18">
        <f t="shared" si="60"/>
        <v>1</v>
      </c>
      <c r="AD237" s="18">
        <f t="shared" si="60"/>
        <v>1</v>
      </c>
      <c r="AE237" s="18">
        <f t="shared" si="60"/>
        <v>1</v>
      </c>
      <c r="AF237" s="18">
        <f t="shared" si="60"/>
        <v>1</v>
      </c>
      <c r="AG237" s="18">
        <f t="shared" si="60"/>
        <v>1</v>
      </c>
      <c r="AH237" s="18">
        <f t="shared" si="60"/>
        <v>0</v>
      </c>
      <c r="AI237" s="18">
        <f t="shared" si="60"/>
        <v>0</v>
      </c>
      <c r="AJ237" s="18">
        <f t="shared" si="60"/>
        <v>0</v>
      </c>
      <c r="AK237" s="18">
        <f t="shared" si="60"/>
        <v>1</v>
      </c>
      <c r="AL237" s="18">
        <f t="shared" si="60"/>
        <v>0</v>
      </c>
      <c r="AM237" s="18">
        <f t="shared" si="60"/>
        <v>0</v>
      </c>
      <c r="AN237" s="18">
        <f t="shared" si="60"/>
        <v>1</v>
      </c>
      <c r="AO237" s="18">
        <f t="shared" si="60"/>
        <v>0</v>
      </c>
      <c r="AQ237" s="28" t="str">
        <f t="shared" si="59"/>
        <v xml:space="preserve">    0xB649,  // W</v>
      </c>
    </row>
    <row r="238" spans="1:43" ht="18.75" x14ac:dyDescent="0.3">
      <c r="A238" s="6"/>
      <c r="B238" s="16">
        <v>216</v>
      </c>
      <c r="C238" s="19" t="str">
        <f t="shared" si="56"/>
        <v>D8</v>
      </c>
      <c r="D238" s="24" t="s">
        <v>96</v>
      </c>
      <c r="E238" s="21">
        <v>0</v>
      </c>
      <c r="F238" s="21">
        <v>0</v>
      </c>
      <c r="G238" s="21">
        <v>0</v>
      </c>
      <c r="H238" s="21">
        <v>1</v>
      </c>
      <c r="I238" s="21">
        <v>0</v>
      </c>
      <c r="J238" s="21">
        <v>0</v>
      </c>
      <c r="K238" s="21">
        <v>0</v>
      </c>
      <c r="L238" s="21">
        <v>1</v>
      </c>
      <c r="M238" s="21">
        <v>0</v>
      </c>
      <c r="N238" s="21">
        <v>0</v>
      </c>
      <c r="O238" s="21">
        <v>1</v>
      </c>
      <c r="P238" s="21">
        <v>0</v>
      </c>
      <c r="Q238" s="21">
        <v>1</v>
      </c>
      <c r="R238" s="21">
        <v>1</v>
      </c>
      <c r="S238" s="21">
        <v>0</v>
      </c>
      <c r="T238" s="21">
        <v>1</v>
      </c>
      <c r="U238" s="22">
        <f t="shared" si="57"/>
        <v>51219</v>
      </c>
      <c r="V238" s="19" t="str">
        <f t="shared" si="58"/>
        <v>C813</v>
      </c>
      <c r="W238" s="7"/>
      <c r="X238" s="23">
        <v>51219</v>
      </c>
      <c r="Y238" s="19" t="str">
        <f t="shared" si="55"/>
        <v>C813</v>
      </c>
      <c r="Z238" s="18">
        <f t="shared" si="53"/>
        <v>0</v>
      </c>
      <c r="AA238" s="18">
        <f t="shared" si="60"/>
        <v>0</v>
      </c>
      <c r="AB238" s="18">
        <f t="shared" si="60"/>
        <v>0</v>
      </c>
      <c r="AC238" s="18">
        <f t="shared" si="60"/>
        <v>1</v>
      </c>
      <c r="AD238" s="18">
        <f t="shared" si="60"/>
        <v>0</v>
      </c>
      <c r="AE238" s="18">
        <f t="shared" si="60"/>
        <v>0</v>
      </c>
      <c r="AF238" s="18">
        <f t="shared" si="60"/>
        <v>0</v>
      </c>
      <c r="AG238" s="18">
        <f t="shared" si="60"/>
        <v>1</v>
      </c>
      <c r="AH238" s="18">
        <f t="shared" si="60"/>
        <v>0</v>
      </c>
      <c r="AI238" s="18">
        <f t="shared" si="60"/>
        <v>0</v>
      </c>
      <c r="AJ238" s="18">
        <f t="shared" si="60"/>
        <v>1</v>
      </c>
      <c r="AK238" s="18">
        <f t="shared" si="60"/>
        <v>0</v>
      </c>
      <c r="AL238" s="18">
        <f t="shared" si="60"/>
        <v>1</v>
      </c>
      <c r="AM238" s="18">
        <f t="shared" si="60"/>
        <v>1</v>
      </c>
      <c r="AN238" s="18">
        <f t="shared" si="60"/>
        <v>0</v>
      </c>
      <c r="AO238" s="18">
        <f t="shared" ref="AA238:AO255" si="61">IF(_xlfn.BITAND($X238,AO$19)=0,0,1)</f>
        <v>1</v>
      </c>
      <c r="AQ238" s="28" t="str">
        <f t="shared" si="59"/>
        <v xml:space="preserve">    0xC813,  // X</v>
      </c>
    </row>
    <row r="239" spans="1:43" ht="18.75" x14ac:dyDescent="0.3">
      <c r="A239" s="6"/>
      <c r="B239" s="16">
        <v>217</v>
      </c>
      <c r="C239" s="19" t="str">
        <f t="shared" si="56"/>
        <v>D9</v>
      </c>
      <c r="D239" s="24" t="s">
        <v>97</v>
      </c>
      <c r="E239" s="21">
        <v>0</v>
      </c>
      <c r="F239" s="21">
        <v>0</v>
      </c>
      <c r="G239" s="21">
        <v>1</v>
      </c>
      <c r="H239" s="21">
        <v>0</v>
      </c>
      <c r="I239" s="21">
        <v>0</v>
      </c>
      <c r="J239" s="21">
        <v>0</v>
      </c>
      <c r="K239" s="21">
        <v>0</v>
      </c>
      <c r="L239" s="21">
        <v>1</v>
      </c>
      <c r="M239" s="21">
        <v>0</v>
      </c>
      <c r="N239" s="21">
        <v>0</v>
      </c>
      <c r="O239" s="21">
        <v>1</v>
      </c>
      <c r="P239" s="21">
        <v>0</v>
      </c>
      <c r="Q239" s="21">
        <v>1</v>
      </c>
      <c r="R239" s="21">
        <v>0</v>
      </c>
      <c r="S239" s="21">
        <v>1</v>
      </c>
      <c r="T239" s="21">
        <v>0</v>
      </c>
      <c r="U239" s="22">
        <f t="shared" si="57"/>
        <v>4179</v>
      </c>
      <c r="V239" s="19" t="str">
        <f t="shared" si="58"/>
        <v>1053</v>
      </c>
      <c r="W239" s="7"/>
      <c r="X239" s="23">
        <v>4179</v>
      </c>
      <c r="Y239" s="19" t="str">
        <f t="shared" si="55"/>
        <v>1053</v>
      </c>
      <c r="Z239" s="18">
        <f t="shared" si="53"/>
        <v>0</v>
      </c>
      <c r="AA239" s="18">
        <f t="shared" si="61"/>
        <v>0</v>
      </c>
      <c r="AB239" s="18">
        <f t="shared" si="61"/>
        <v>1</v>
      </c>
      <c r="AC239" s="18">
        <f t="shared" si="61"/>
        <v>0</v>
      </c>
      <c r="AD239" s="18">
        <f t="shared" si="61"/>
        <v>0</v>
      </c>
      <c r="AE239" s="18">
        <f t="shared" si="61"/>
        <v>0</v>
      </c>
      <c r="AF239" s="18">
        <f t="shared" si="61"/>
        <v>0</v>
      </c>
      <c r="AG239" s="18">
        <f t="shared" si="61"/>
        <v>1</v>
      </c>
      <c r="AH239" s="18">
        <f t="shared" si="61"/>
        <v>0</v>
      </c>
      <c r="AI239" s="18">
        <f t="shared" si="61"/>
        <v>0</v>
      </c>
      <c r="AJ239" s="18">
        <f t="shared" si="61"/>
        <v>1</v>
      </c>
      <c r="AK239" s="18">
        <f t="shared" si="61"/>
        <v>0</v>
      </c>
      <c r="AL239" s="18">
        <f t="shared" si="61"/>
        <v>1</v>
      </c>
      <c r="AM239" s="18">
        <f t="shared" si="61"/>
        <v>0</v>
      </c>
      <c r="AN239" s="18">
        <f t="shared" si="61"/>
        <v>1</v>
      </c>
      <c r="AO239" s="18">
        <f t="shared" si="61"/>
        <v>0</v>
      </c>
      <c r="AQ239" s="28" t="str">
        <f t="shared" si="59"/>
        <v xml:space="preserve">    0x1053,  // Y</v>
      </c>
    </row>
    <row r="240" spans="1:43" ht="18.75" x14ac:dyDescent="0.3">
      <c r="A240" s="6"/>
      <c r="B240" s="16">
        <v>218</v>
      </c>
      <c r="C240" s="19" t="str">
        <f t="shared" si="56"/>
        <v>DA</v>
      </c>
      <c r="D240" s="24" t="s">
        <v>98</v>
      </c>
      <c r="E240" s="21">
        <v>1</v>
      </c>
      <c r="F240" s="21">
        <v>1</v>
      </c>
      <c r="G240" s="21">
        <v>0</v>
      </c>
      <c r="H240" s="21">
        <v>1</v>
      </c>
      <c r="I240" s="21">
        <v>1</v>
      </c>
      <c r="J240" s="21">
        <v>1</v>
      </c>
      <c r="K240" s="21">
        <v>0</v>
      </c>
      <c r="L240" s="21">
        <v>1</v>
      </c>
      <c r="M240" s="21">
        <v>0</v>
      </c>
      <c r="N240" s="21">
        <v>0</v>
      </c>
      <c r="O240" s="21">
        <v>0</v>
      </c>
      <c r="P240" s="21">
        <v>0</v>
      </c>
      <c r="Q240" s="21">
        <v>1</v>
      </c>
      <c r="R240" s="21">
        <v>0</v>
      </c>
      <c r="S240" s="21">
        <v>0</v>
      </c>
      <c r="T240" s="21">
        <v>1</v>
      </c>
      <c r="U240" s="22">
        <f t="shared" si="57"/>
        <v>44085</v>
      </c>
      <c r="V240" s="19" t="str">
        <f t="shared" si="58"/>
        <v>AC35</v>
      </c>
      <c r="W240" s="7"/>
      <c r="X240" s="23">
        <v>44085</v>
      </c>
      <c r="Y240" s="19" t="str">
        <f t="shared" si="55"/>
        <v>AC35</v>
      </c>
      <c r="Z240" s="18">
        <f t="shared" si="53"/>
        <v>1</v>
      </c>
      <c r="AA240" s="18">
        <f t="shared" si="61"/>
        <v>1</v>
      </c>
      <c r="AB240" s="18">
        <f t="shared" si="61"/>
        <v>0</v>
      </c>
      <c r="AC240" s="18">
        <f t="shared" si="61"/>
        <v>1</v>
      </c>
      <c r="AD240" s="18">
        <f t="shared" si="61"/>
        <v>1</v>
      </c>
      <c r="AE240" s="18">
        <f t="shared" si="61"/>
        <v>1</v>
      </c>
      <c r="AF240" s="18">
        <f t="shared" si="61"/>
        <v>0</v>
      </c>
      <c r="AG240" s="18">
        <f t="shared" si="61"/>
        <v>1</v>
      </c>
      <c r="AH240" s="18">
        <f t="shared" si="61"/>
        <v>0</v>
      </c>
      <c r="AI240" s="18">
        <f t="shared" si="61"/>
        <v>0</v>
      </c>
      <c r="AJ240" s="18">
        <f t="shared" si="61"/>
        <v>0</v>
      </c>
      <c r="AK240" s="18">
        <f t="shared" si="61"/>
        <v>0</v>
      </c>
      <c r="AL240" s="18">
        <f t="shared" si="61"/>
        <v>1</v>
      </c>
      <c r="AM240" s="18">
        <f t="shared" si="61"/>
        <v>0</v>
      </c>
      <c r="AN240" s="18">
        <f t="shared" si="61"/>
        <v>0</v>
      </c>
      <c r="AO240" s="18">
        <f t="shared" si="61"/>
        <v>1</v>
      </c>
      <c r="AQ240" s="28" t="str">
        <f t="shared" si="59"/>
        <v xml:space="preserve">    0xAC35,  // Z</v>
      </c>
    </row>
    <row r="241" spans="1:43" ht="18.75" x14ac:dyDescent="0.3">
      <c r="A241" s="6"/>
      <c r="B241" s="16">
        <v>219</v>
      </c>
      <c r="C241" s="19" t="str">
        <f t="shared" si="56"/>
        <v>DB</v>
      </c>
      <c r="D241" s="24" t="s">
        <v>99</v>
      </c>
      <c r="E241" s="21">
        <v>1</v>
      </c>
      <c r="F241" s="21">
        <v>0</v>
      </c>
      <c r="G241" s="21">
        <v>0</v>
      </c>
      <c r="H241" s="21">
        <v>0</v>
      </c>
      <c r="I241" s="21">
        <v>1</v>
      </c>
      <c r="J241" s="21">
        <v>0</v>
      </c>
      <c r="K241" s="21">
        <v>0</v>
      </c>
      <c r="L241" s="21">
        <v>0</v>
      </c>
      <c r="M241" s="21">
        <v>0</v>
      </c>
      <c r="N241" s="21">
        <v>0</v>
      </c>
      <c r="O241" s="21">
        <v>1</v>
      </c>
      <c r="P241" s="21">
        <v>0</v>
      </c>
      <c r="Q241" s="21">
        <v>0</v>
      </c>
      <c r="R241" s="21">
        <v>0</v>
      </c>
      <c r="S241" s="21">
        <v>0</v>
      </c>
      <c r="T241" s="21">
        <v>1</v>
      </c>
      <c r="U241" s="22">
        <f t="shared" si="57"/>
        <v>3078</v>
      </c>
      <c r="V241" s="19" t="str">
        <f t="shared" si="58"/>
        <v>0C06</v>
      </c>
      <c r="W241" s="7"/>
      <c r="X241" s="23">
        <v>3078</v>
      </c>
      <c r="Y241" s="19" t="str">
        <f t="shared" si="55"/>
        <v>0C06</v>
      </c>
      <c r="Z241" s="18">
        <f t="shared" si="53"/>
        <v>1</v>
      </c>
      <c r="AA241" s="18">
        <f t="shared" si="61"/>
        <v>0</v>
      </c>
      <c r="AB241" s="18">
        <f t="shared" si="61"/>
        <v>0</v>
      </c>
      <c r="AC241" s="18">
        <f t="shared" si="61"/>
        <v>0</v>
      </c>
      <c r="AD241" s="18">
        <f t="shared" si="61"/>
        <v>1</v>
      </c>
      <c r="AE241" s="18">
        <f t="shared" si="61"/>
        <v>0</v>
      </c>
      <c r="AF241" s="18">
        <f t="shared" si="61"/>
        <v>0</v>
      </c>
      <c r="AG241" s="18">
        <f t="shared" si="61"/>
        <v>0</v>
      </c>
      <c r="AH241" s="18">
        <f t="shared" si="61"/>
        <v>0</v>
      </c>
      <c r="AI241" s="18">
        <f t="shared" si="61"/>
        <v>0</v>
      </c>
      <c r="AJ241" s="18">
        <f t="shared" si="61"/>
        <v>1</v>
      </c>
      <c r="AK241" s="18">
        <f t="shared" si="61"/>
        <v>0</v>
      </c>
      <c r="AL241" s="18">
        <f t="shared" si="61"/>
        <v>0</v>
      </c>
      <c r="AM241" s="18">
        <f t="shared" si="61"/>
        <v>0</v>
      </c>
      <c r="AN241" s="18">
        <f t="shared" si="61"/>
        <v>0</v>
      </c>
      <c r="AO241" s="18">
        <f t="shared" si="61"/>
        <v>1</v>
      </c>
      <c r="AQ241" s="28" t="str">
        <f t="shared" si="59"/>
        <v xml:space="preserve">    0x0C06,  // [</v>
      </c>
    </row>
    <row r="242" spans="1:43" ht="18.75" x14ac:dyDescent="0.3">
      <c r="A242" s="6"/>
      <c r="B242" s="16">
        <v>220</v>
      </c>
      <c r="C242" s="19" t="str">
        <f t="shared" si="56"/>
        <v>DC</v>
      </c>
      <c r="D242" s="24" t="s">
        <v>172</v>
      </c>
      <c r="E242" s="21">
        <v>1</v>
      </c>
      <c r="F242" s="21">
        <v>0</v>
      </c>
      <c r="G242" s="21">
        <v>0</v>
      </c>
      <c r="H242" s="21">
        <v>0</v>
      </c>
      <c r="I242" s="21">
        <v>0</v>
      </c>
      <c r="J242" s="21">
        <v>1</v>
      </c>
      <c r="K242" s="21">
        <v>0</v>
      </c>
      <c r="L242" s="21">
        <v>0</v>
      </c>
      <c r="M242" s="21">
        <v>0</v>
      </c>
      <c r="N242" s="21">
        <v>0</v>
      </c>
      <c r="O242" s="21">
        <v>1</v>
      </c>
      <c r="P242" s="21">
        <v>0</v>
      </c>
      <c r="Q242" s="21">
        <v>0</v>
      </c>
      <c r="R242" s="21">
        <v>1</v>
      </c>
      <c r="S242" s="21">
        <v>0</v>
      </c>
      <c r="T242" s="21">
        <v>0</v>
      </c>
      <c r="U242" s="22">
        <f t="shared" si="57"/>
        <v>24582</v>
      </c>
      <c r="V242" s="19" t="str">
        <f t="shared" si="58"/>
        <v>6006</v>
      </c>
      <c r="W242" s="7"/>
      <c r="X242" s="23">
        <v>24582</v>
      </c>
      <c r="Y242" s="19" t="str">
        <f t="shared" si="55"/>
        <v>6006</v>
      </c>
      <c r="Z242" s="18">
        <f t="shared" si="53"/>
        <v>1</v>
      </c>
      <c r="AA242" s="18">
        <f t="shared" si="61"/>
        <v>0</v>
      </c>
      <c r="AB242" s="18">
        <f t="shared" si="61"/>
        <v>0</v>
      </c>
      <c r="AC242" s="18">
        <f t="shared" si="61"/>
        <v>0</v>
      </c>
      <c r="AD242" s="18">
        <f t="shared" si="61"/>
        <v>0</v>
      </c>
      <c r="AE242" s="18">
        <f t="shared" si="61"/>
        <v>1</v>
      </c>
      <c r="AF242" s="18">
        <f t="shared" si="61"/>
        <v>0</v>
      </c>
      <c r="AG242" s="18">
        <f t="shared" si="61"/>
        <v>0</v>
      </c>
      <c r="AH242" s="18">
        <f t="shared" si="61"/>
        <v>0</v>
      </c>
      <c r="AI242" s="18">
        <f t="shared" si="61"/>
        <v>0</v>
      </c>
      <c r="AJ242" s="18">
        <f t="shared" si="61"/>
        <v>1</v>
      </c>
      <c r="AK242" s="18">
        <f t="shared" si="61"/>
        <v>0</v>
      </c>
      <c r="AL242" s="18">
        <f t="shared" si="61"/>
        <v>0</v>
      </c>
      <c r="AM242" s="18">
        <f t="shared" si="61"/>
        <v>1</v>
      </c>
      <c r="AN242" s="18">
        <f t="shared" si="61"/>
        <v>0</v>
      </c>
      <c r="AO242" s="18">
        <f t="shared" si="61"/>
        <v>0</v>
      </c>
      <c r="AQ242" s="28" t="str">
        <f t="shared" si="59"/>
        <v xml:space="preserve">    0x6006,  // &lt;yen&gt;</v>
      </c>
    </row>
    <row r="243" spans="1:43" ht="18.75" x14ac:dyDescent="0.3">
      <c r="A243" s="6"/>
      <c r="B243" s="16">
        <v>221</v>
      </c>
      <c r="C243" s="19" t="str">
        <f t="shared" si="56"/>
        <v>DD</v>
      </c>
      <c r="D243" s="24" t="s">
        <v>100</v>
      </c>
      <c r="E243" s="21">
        <v>0</v>
      </c>
      <c r="F243" s="21">
        <v>1</v>
      </c>
      <c r="G243" s="21">
        <v>0</v>
      </c>
      <c r="H243" s="21">
        <v>0</v>
      </c>
      <c r="I243" s="21">
        <v>0</v>
      </c>
      <c r="J243" s="21">
        <v>1</v>
      </c>
      <c r="K243" s="21">
        <v>0</v>
      </c>
      <c r="L243" s="21">
        <v>0</v>
      </c>
      <c r="M243" s="21">
        <v>0</v>
      </c>
      <c r="N243" s="21">
        <v>0</v>
      </c>
      <c r="O243" s="21">
        <v>0</v>
      </c>
      <c r="P243" s="21">
        <v>0</v>
      </c>
      <c r="Q243" s="21">
        <v>1</v>
      </c>
      <c r="R243" s="21">
        <v>1</v>
      </c>
      <c r="S243" s="21">
        <v>0</v>
      </c>
      <c r="T243" s="21">
        <v>0</v>
      </c>
      <c r="U243" s="22">
        <f t="shared" si="57"/>
        <v>24624</v>
      </c>
      <c r="V243" s="19" t="str">
        <f t="shared" si="58"/>
        <v>6030</v>
      </c>
      <c r="W243" s="7"/>
      <c r="X243" s="23">
        <v>24624</v>
      </c>
      <c r="Y243" s="19" t="str">
        <f t="shared" si="55"/>
        <v>6030</v>
      </c>
      <c r="Z243" s="18">
        <f t="shared" si="53"/>
        <v>0</v>
      </c>
      <c r="AA243" s="18">
        <f t="shared" si="61"/>
        <v>1</v>
      </c>
      <c r="AB243" s="18">
        <f t="shared" si="61"/>
        <v>0</v>
      </c>
      <c r="AC243" s="18">
        <f t="shared" si="61"/>
        <v>0</v>
      </c>
      <c r="AD243" s="18">
        <f t="shared" si="61"/>
        <v>0</v>
      </c>
      <c r="AE243" s="18">
        <f t="shared" si="61"/>
        <v>1</v>
      </c>
      <c r="AF243" s="18">
        <f t="shared" si="61"/>
        <v>0</v>
      </c>
      <c r="AG243" s="18">
        <f t="shared" si="61"/>
        <v>0</v>
      </c>
      <c r="AH243" s="18">
        <f t="shared" si="61"/>
        <v>0</v>
      </c>
      <c r="AI243" s="18">
        <f t="shared" si="61"/>
        <v>0</v>
      </c>
      <c r="AJ243" s="18">
        <f t="shared" si="61"/>
        <v>0</v>
      </c>
      <c r="AK243" s="18">
        <f t="shared" si="61"/>
        <v>0</v>
      </c>
      <c r="AL243" s="18">
        <f t="shared" si="61"/>
        <v>1</v>
      </c>
      <c r="AM243" s="18">
        <f t="shared" si="61"/>
        <v>1</v>
      </c>
      <c r="AN243" s="18">
        <f t="shared" si="61"/>
        <v>0</v>
      </c>
      <c r="AO243" s="18">
        <f t="shared" si="61"/>
        <v>0</v>
      </c>
      <c r="AQ243" s="28" t="str">
        <f t="shared" si="59"/>
        <v xml:space="preserve">    0x6030,  // ]</v>
      </c>
    </row>
    <row r="244" spans="1:43" ht="18.75" x14ac:dyDescent="0.3">
      <c r="A244" s="6"/>
      <c r="B244" s="16">
        <v>222</v>
      </c>
      <c r="C244" s="19" t="str">
        <f t="shared" si="56"/>
        <v>DE</v>
      </c>
      <c r="D244" s="24" t="s">
        <v>101</v>
      </c>
      <c r="E244" s="21">
        <v>1</v>
      </c>
      <c r="F244" s="21">
        <v>1</v>
      </c>
      <c r="G244" s="21">
        <v>1</v>
      </c>
      <c r="H244" s="21">
        <v>0</v>
      </c>
      <c r="I244" s="21">
        <v>0</v>
      </c>
      <c r="J244" s="21">
        <v>0</v>
      </c>
      <c r="K244" s="21">
        <v>0</v>
      </c>
      <c r="L244" s="21">
        <v>0</v>
      </c>
      <c r="M244" s="21">
        <v>0</v>
      </c>
      <c r="N244" s="21">
        <v>0</v>
      </c>
      <c r="O244" s="21">
        <v>0</v>
      </c>
      <c r="P244" s="21">
        <v>0</v>
      </c>
      <c r="Q244" s="21">
        <v>0</v>
      </c>
      <c r="R244" s="21">
        <v>0</v>
      </c>
      <c r="S244" s="21">
        <v>0</v>
      </c>
      <c r="T244" s="21">
        <v>0</v>
      </c>
      <c r="U244" s="22">
        <f t="shared" si="57"/>
        <v>100</v>
      </c>
      <c r="V244" s="19" t="str">
        <f t="shared" si="58"/>
        <v>0064</v>
      </c>
      <c r="W244" s="7"/>
      <c r="X244" s="23">
        <v>100</v>
      </c>
      <c r="Y244" s="19" t="str">
        <f t="shared" si="55"/>
        <v>0064</v>
      </c>
      <c r="Z244" s="18">
        <f t="shared" si="53"/>
        <v>1</v>
      </c>
      <c r="AA244" s="18">
        <f t="shared" si="61"/>
        <v>1</v>
      </c>
      <c r="AB244" s="18">
        <f t="shared" si="61"/>
        <v>1</v>
      </c>
      <c r="AC244" s="18">
        <f t="shared" si="61"/>
        <v>0</v>
      </c>
      <c r="AD244" s="18">
        <f t="shared" si="61"/>
        <v>0</v>
      </c>
      <c r="AE244" s="18">
        <f t="shared" si="61"/>
        <v>0</v>
      </c>
      <c r="AF244" s="18">
        <f t="shared" si="61"/>
        <v>0</v>
      </c>
      <c r="AG244" s="18">
        <f t="shared" si="61"/>
        <v>0</v>
      </c>
      <c r="AH244" s="18">
        <f t="shared" si="61"/>
        <v>0</v>
      </c>
      <c r="AI244" s="18">
        <f t="shared" si="61"/>
        <v>0</v>
      </c>
      <c r="AJ244" s="18">
        <f t="shared" si="61"/>
        <v>0</v>
      </c>
      <c r="AK244" s="18">
        <f t="shared" si="61"/>
        <v>0</v>
      </c>
      <c r="AL244" s="18">
        <f t="shared" si="61"/>
        <v>0</v>
      </c>
      <c r="AM244" s="18">
        <f t="shared" si="61"/>
        <v>0</v>
      </c>
      <c r="AN244" s="18">
        <f t="shared" si="61"/>
        <v>0</v>
      </c>
      <c r="AO244" s="18">
        <f t="shared" si="61"/>
        <v>0</v>
      </c>
      <c r="AQ244" s="28" t="str">
        <f t="shared" si="59"/>
        <v xml:space="preserve">    0x0064,  // ^</v>
      </c>
    </row>
    <row r="245" spans="1:43" ht="18.75" x14ac:dyDescent="0.3">
      <c r="A245" s="6"/>
      <c r="B245" s="16">
        <v>223</v>
      </c>
      <c r="C245" s="19" t="str">
        <f t="shared" si="56"/>
        <v>DF</v>
      </c>
      <c r="D245" s="24" t="s">
        <v>102</v>
      </c>
      <c r="E245" s="21">
        <v>0</v>
      </c>
      <c r="F245" s="21">
        <v>0</v>
      </c>
      <c r="G245" s="21">
        <v>0</v>
      </c>
      <c r="H245" s="21">
        <v>0</v>
      </c>
      <c r="I245" s="21">
        <v>1</v>
      </c>
      <c r="J245" s="21">
        <v>1</v>
      </c>
      <c r="K245" s="21">
        <v>1</v>
      </c>
      <c r="L245" s="21">
        <v>0</v>
      </c>
      <c r="M245" s="21">
        <v>0</v>
      </c>
      <c r="N245" s="21">
        <v>0</v>
      </c>
      <c r="O245" s="21">
        <v>0</v>
      </c>
      <c r="P245" s="21">
        <v>0</v>
      </c>
      <c r="Q245" s="21">
        <v>0</v>
      </c>
      <c r="R245" s="21">
        <v>0</v>
      </c>
      <c r="S245" s="21">
        <v>0</v>
      </c>
      <c r="T245" s="21">
        <v>0</v>
      </c>
      <c r="U245" s="22">
        <f t="shared" si="57"/>
        <v>9728</v>
      </c>
      <c r="V245" s="19" t="str">
        <f t="shared" si="58"/>
        <v>2600</v>
      </c>
      <c r="W245" s="7"/>
      <c r="X245" s="23">
        <v>9728</v>
      </c>
      <c r="Y245" s="19" t="str">
        <f t="shared" si="55"/>
        <v>2600</v>
      </c>
      <c r="Z245" s="18">
        <f t="shared" si="53"/>
        <v>0</v>
      </c>
      <c r="AA245" s="18">
        <f t="shared" si="61"/>
        <v>0</v>
      </c>
      <c r="AB245" s="18">
        <f t="shared" si="61"/>
        <v>0</v>
      </c>
      <c r="AC245" s="18">
        <f t="shared" si="61"/>
        <v>0</v>
      </c>
      <c r="AD245" s="18">
        <f t="shared" si="61"/>
        <v>1</v>
      </c>
      <c r="AE245" s="18">
        <f t="shared" si="61"/>
        <v>1</v>
      </c>
      <c r="AF245" s="18">
        <f t="shared" si="61"/>
        <v>1</v>
      </c>
      <c r="AG245" s="18">
        <f t="shared" si="61"/>
        <v>0</v>
      </c>
      <c r="AH245" s="18">
        <f t="shared" si="61"/>
        <v>0</v>
      </c>
      <c r="AI245" s="18">
        <f t="shared" si="61"/>
        <v>0</v>
      </c>
      <c r="AJ245" s="18">
        <f t="shared" si="61"/>
        <v>0</v>
      </c>
      <c r="AK245" s="18">
        <f t="shared" si="61"/>
        <v>0</v>
      </c>
      <c r="AL245" s="18">
        <f t="shared" si="61"/>
        <v>0</v>
      </c>
      <c r="AM245" s="18">
        <f t="shared" si="61"/>
        <v>0</v>
      </c>
      <c r="AN245" s="18">
        <f t="shared" si="61"/>
        <v>0</v>
      </c>
      <c r="AO245" s="18">
        <f t="shared" si="61"/>
        <v>0</v>
      </c>
      <c r="AQ245" s="28" t="str">
        <f t="shared" si="59"/>
        <v xml:space="preserve">    0x2600,  // _</v>
      </c>
    </row>
    <row r="246" spans="1:43" ht="18.75" x14ac:dyDescent="0.3">
      <c r="A246" s="6"/>
      <c r="B246" s="16">
        <v>224</v>
      </c>
      <c r="C246" s="19" t="str">
        <f t="shared" si="56"/>
        <v>E0</v>
      </c>
      <c r="D246" s="24" t="s">
        <v>103</v>
      </c>
      <c r="E246" s="21">
        <v>1</v>
      </c>
      <c r="F246" s="21">
        <v>1</v>
      </c>
      <c r="G246" s="21">
        <v>0</v>
      </c>
      <c r="H246" s="21">
        <v>0</v>
      </c>
      <c r="I246" s="21">
        <v>0</v>
      </c>
      <c r="J246" s="21">
        <v>0</v>
      </c>
      <c r="K246" s="21">
        <v>0</v>
      </c>
      <c r="L246" s="21">
        <v>0</v>
      </c>
      <c r="M246" s="21">
        <v>0</v>
      </c>
      <c r="N246" s="21">
        <v>0</v>
      </c>
      <c r="O246" s="21">
        <v>0</v>
      </c>
      <c r="P246" s="21">
        <v>1</v>
      </c>
      <c r="Q246" s="21">
        <v>0</v>
      </c>
      <c r="R246" s="21">
        <v>0</v>
      </c>
      <c r="S246" s="21">
        <v>0</v>
      </c>
      <c r="T246" s="21">
        <v>0</v>
      </c>
      <c r="U246" s="22">
        <f t="shared" si="57"/>
        <v>44</v>
      </c>
      <c r="V246" s="19" t="str">
        <f t="shared" si="58"/>
        <v>002C</v>
      </c>
      <c r="W246" s="7"/>
      <c r="X246" s="23">
        <v>44</v>
      </c>
      <c r="Y246" s="19" t="str">
        <f t="shared" si="55"/>
        <v>002C</v>
      </c>
      <c r="Z246" s="18">
        <f t="shared" si="53"/>
        <v>1</v>
      </c>
      <c r="AA246" s="18">
        <f t="shared" si="61"/>
        <v>1</v>
      </c>
      <c r="AB246" s="18">
        <f t="shared" si="61"/>
        <v>0</v>
      </c>
      <c r="AC246" s="18">
        <f t="shared" si="61"/>
        <v>0</v>
      </c>
      <c r="AD246" s="18">
        <f t="shared" si="61"/>
        <v>0</v>
      </c>
      <c r="AE246" s="18">
        <f t="shared" si="61"/>
        <v>0</v>
      </c>
      <c r="AF246" s="18">
        <f t="shared" si="61"/>
        <v>0</v>
      </c>
      <c r="AG246" s="18">
        <f t="shared" si="61"/>
        <v>0</v>
      </c>
      <c r="AH246" s="18">
        <f t="shared" si="61"/>
        <v>0</v>
      </c>
      <c r="AI246" s="18">
        <f t="shared" si="61"/>
        <v>0</v>
      </c>
      <c r="AJ246" s="18">
        <f t="shared" si="61"/>
        <v>0</v>
      </c>
      <c r="AK246" s="18">
        <f t="shared" si="61"/>
        <v>1</v>
      </c>
      <c r="AL246" s="18">
        <f t="shared" si="61"/>
        <v>0</v>
      </c>
      <c r="AM246" s="18">
        <f t="shared" si="61"/>
        <v>0</v>
      </c>
      <c r="AN246" s="18">
        <f t="shared" si="61"/>
        <v>0</v>
      </c>
      <c r="AO246" s="18">
        <f t="shared" si="61"/>
        <v>0</v>
      </c>
      <c r="AQ246" s="28" t="str">
        <f t="shared" si="59"/>
        <v xml:space="preserve">    0x002C,  // `</v>
      </c>
    </row>
    <row r="247" spans="1:43" ht="18.75" x14ac:dyDescent="0.3">
      <c r="A247" s="6"/>
      <c r="B247" s="16">
        <v>225</v>
      </c>
      <c r="C247" s="19" t="str">
        <f t="shared" si="56"/>
        <v>E1</v>
      </c>
      <c r="D247" s="24" t="s">
        <v>104</v>
      </c>
      <c r="E247" s="21">
        <v>0</v>
      </c>
      <c r="F247" s="21">
        <v>0</v>
      </c>
      <c r="G247" s="21">
        <v>0</v>
      </c>
      <c r="H247" s="21">
        <v>0</v>
      </c>
      <c r="I247" s="21">
        <v>1</v>
      </c>
      <c r="J247" s="21">
        <v>0</v>
      </c>
      <c r="K247" s="21">
        <v>1</v>
      </c>
      <c r="L247" s="21">
        <v>0</v>
      </c>
      <c r="M247" s="21">
        <v>1</v>
      </c>
      <c r="N247" s="21">
        <v>0</v>
      </c>
      <c r="O247" s="21">
        <v>0</v>
      </c>
      <c r="P247" s="21">
        <v>0</v>
      </c>
      <c r="Q247" s="21">
        <v>0</v>
      </c>
      <c r="R247" s="21">
        <v>1</v>
      </c>
      <c r="S247" s="21">
        <v>1</v>
      </c>
      <c r="T247" s="21">
        <v>0</v>
      </c>
      <c r="U247" s="22">
        <f t="shared" si="57"/>
        <v>22272</v>
      </c>
      <c r="V247" s="19" t="str">
        <f t="shared" si="58"/>
        <v>5700</v>
      </c>
      <c r="W247" s="7"/>
      <c r="X247" s="23">
        <v>59136</v>
      </c>
      <c r="Y247" s="19" t="str">
        <f t="shared" si="55"/>
        <v>E700</v>
      </c>
      <c r="Z247" s="18">
        <f t="shared" si="53"/>
        <v>0</v>
      </c>
      <c r="AA247" s="18">
        <f t="shared" si="61"/>
        <v>0</v>
      </c>
      <c r="AB247" s="18">
        <f t="shared" si="61"/>
        <v>0</v>
      </c>
      <c r="AC247" s="18">
        <f t="shared" si="61"/>
        <v>1</v>
      </c>
      <c r="AD247" s="18">
        <f t="shared" si="61"/>
        <v>1</v>
      </c>
      <c r="AE247" s="18">
        <f t="shared" si="61"/>
        <v>1</v>
      </c>
      <c r="AF247" s="18">
        <f t="shared" si="61"/>
        <v>1</v>
      </c>
      <c r="AG247" s="18">
        <f t="shared" si="61"/>
        <v>0</v>
      </c>
      <c r="AH247" s="18">
        <f t="shared" si="61"/>
        <v>1</v>
      </c>
      <c r="AI247" s="18">
        <f t="shared" si="61"/>
        <v>0</v>
      </c>
      <c r="AJ247" s="18">
        <f t="shared" si="61"/>
        <v>0</v>
      </c>
      <c r="AK247" s="18">
        <f t="shared" si="61"/>
        <v>0</v>
      </c>
      <c r="AL247" s="18">
        <f t="shared" si="61"/>
        <v>0</v>
      </c>
      <c r="AM247" s="18">
        <f t="shared" si="61"/>
        <v>1</v>
      </c>
      <c r="AN247" s="18">
        <f t="shared" si="61"/>
        <v>0</v>
      </c>
      <c r="AO247" s="18">
        <f t="shared" si="61"/>
        <v>0</v>
      </c>
      <c r="AQ247" s="28" t="str">
        <f t="shared" si="59"/>
        <v xml:space="preserve">    0x5700,  // a</v>
      </c>
    </row>
    <row r="248" spans="1:43" ht="18.75" x14ac:dyDescent="0.3">
      <c r="A248" s="6"/>
      <c r="B248" s="16">
        <v>226</v>
      </c>
      <c r="C248" s="19" t="str">
        <f t="shared" si="56"/>
        <v>E2</v>
      </c>
      <c r="D248" s="24" t="s">
        <v>105</v>
      </c>
      <c r="E248" s="21">
        <v>0</v>
      </c>
      <c r="F248" s="21">
        <v>0</v>
      </c>
      <c r="G248" s="21">
        <v>0</v>
      </c>
      <c r="H248" s="21">
        <v>1</v>
      </c>
      <c r="I248" s="21">
        <v>1</v>
      </c>
      <c r="J248" s="21">
        <v>1</v>
      </c>
      <c r="K248" s="21">
        <v>0</v>
      </c>
      <c r="L248" s="21">
        <v>0</v>
      </c>
      <c r="M248" s="21">
        <v>0</v>
      </c>
      <c r="N248" s="21">
        <v>1</v>
      </c>
      <c r="O248" s="21">
        <v>0</v>
      </c>
      <c r="P248" s="21">
        <v>1</v>
      </c>
      <c r="Q248" s="21">
        <v>0</v>
      </c>
      <c r="R248" s="21">
        <v>0</v>
      </c>
      <c r="S248" s="21">
        <v>1</v>
      </c>
      <c r="T248" s="21">
        <v>0</v>
      </c>
      <c r="U248" s="22">
        <f t="shared" si="57"/>
        <v>46216</v>
      </c>
      <c r="V248" s="19" t="str">
        <f t="shared" si="58"/>
        <v>B488</v>
      </c>
      <c r="W248" s="7"/>
      <c r="X248" s="23">
        <v>46216</v>
      </c>
      <c r="Y248" s="19" t="str">
        <f t="shared" si="55"/>
        <v>B488</v>
      </c>
      <c r="Z248" s="18">
        <f t="shared" si="53"/>
        <v>0</v>
      </c>
      <c r="AA248" s="18">
        <f t="shared" si="61"/>
        <v>0</v>
      </c>
      <c r="AB248" s="18">
        <f t="shared" si="61"/>
        <v>0</v>
      </c>
      <c r="AC248" s="18">
        <f t="shared" si="61"/>
        <v>1</v>
      </c>
      <c r="AD248" s="18">
        <f t="shared" si="61"/>
        <v>1</v>
      </c>
      <c r="AE248" s="18">
        <f t="shared" si="61"/>
        <v>1</v>
      </c>
      <c r="AF248" s="18">
        <f t="shared" si="61"/>
        <v>0</v>
      </c>
      <c r="AG248" s="18">
        <f t="shared" si="61"/>
        <v>0</v>
      </c>
      <c r="AH248" s="18">
        <f t="shared" si="61"/>
        <v>0</v>
      </c>
      <c r="AI248" s="18">
        <f t="shared" si="61"/>
        <v>1</v>
      </c>
      <c r="AJ248" s="18">
        <f t="shared" si="61"/>
        <v>0</v>
      </c>
      <c r="AK248" s="18">
        <f t="shared" si="61"/>
        <v>1</v>
      </c>
      <c r="AL248" s="18">
        <f t="shared" si="61"/>
        <v>0</v>
      </c>
      <c r="AM248" s="18">
        <f t="shared" si="61"/>
        <v>0</v>
      </c>
      <c r="AN248" s="18">
        <f t="shared" si="61"/>
        <v>1</v>
      </c>
      <c r="AO248" s="18">
        <f t="shared" si="61"/>
        <v>0</v>
      </c>
      <c r="AQ248" s="28" t="str">
        <f t="shared" si="59"/>
        <v xml:space="preserve">    0xB488,  // b</v>
      </c>
    </row>
    <row r="249" spans="1:43" ht="18.75" x14ac:dyDescent="0.3">
      <c r="A249" s="6"/>
      <c r="B249" s="16">
        <v>227</v>
      </c>
      <c r="C249" s="19" t="str">
        <f t="shared" si="56"/>
        <v>E3</v>
      </c>
      <c r="D249" s="24" t="s">
        <v>106</v>
      </c>
      <c r="E249" s="21">
        <v>0</v>
      </c>
      <c r="F249" s="21">
        <v>0</v>
      </c>
      <c r="G249" s="21">
        <v>0</v>
      </c>
      <c r="H249" s="21">
        <v>0</v>
      </c>
      <c r="I249" s="21">
        <v>1</v>
      </c>
      <c r="J249" s="21">
        <v>1</v>
      </c>
      <c r="K249" s="21">
        <v>1</v>
      </c>
      <c r="L249" s="21">
        <v>0</v>
      </c>
      <c r="M249" s="21">
        <v>1</v>
      </c>
      <c r="N249" s="21">
        <v>0</v>
      </c>
      <c r="O249" s="21">
        <v>0</v>
      </c>
      <c r="P249" s="21">
        <v>0</v>
      </c>
      <c r="Q249" s="21">
        <v>0</v>
      </c>
      <c r="R249" s="21">
        <v>0</v>
      </c>
      <c r="S249" s="21">
        <v>0</v>
      </c>
      <c r="T249" s="21">
        <v>0</v>
      </c>
      <c r="U249" s="22">
        <f t="shared" si="57"/>
        <v>9984</v>
      </c>
      <c r="V249" s="19" t="str">
        <f t="shared" si="58"/>
        <v>2700</v>
      </c>
      <c r="W249" s="7"/>
      <c r="X249" s="23">
        <v>9984</v>
      </c>
      <c r="Y249" s="19" t="str">
        <f t="shared" si="55"/>
        <v>2700</v>
      </c>
      <c r="Z249" s="18">
        <f t="shared" si="53"/>
        <v>0</v>
      </c>
      <c r="AA249" s="18">
        <f t="shared" si="61"/>
        <v>0</v>
      </c>
      <c r="AB249" s="18">
        <f t="shared" si="61"/>
        <v>0</v>
      </c>
      <c r="AC249" s="18">
        <f t="shared" si="61"/>
        <v>0</v>
      </c>
      <c r="AD249" s="18">
        <f t="shared" si="61"/>
        <v>1</v>
      </c>
      <c r="AE249" s="18">
        <f t="shared" si="61"/>
        <v>1</v>
      </c>
      <c r="AF249" s="18">
        <f t="shared" si="61"/>
        <v>1</v>
      </c>
      <c r="AG249" s="18">
        <f t="shared" si="61"/>
        <v>0</v>
      </c>
      <c r="AH249" s="18">
        <f t="shared" si="61"/>
        <v>1</v>
      </c>
      <c r="AI249" s="18">
        <f t="shared" si="61"/>
        <v>0</v>
      </c>
      <c r="AJ249" s="18">
        <f t="shared" si="61"/>
        <v>0</v>
      </c>
      <c r="AK249" s="18">
        <f t="shared" si="61"/>
        <v>0</v>
      </c>
      <c r="AL249" s="18">
        <f t="shared" si="61"/>
        <v>0</v>
      </c>
      <c r="AM249" s="18">
        <f t="shared" si="61"/>
        <v>0</v>
      </c>
      <c r="AN249" s="18">
        <f t="shared" si="61"/>
        <v>0</v>
      </c>
      <c r="AO249" s="18">
        <f t="shared" si="61"/>
        <v>0</v>
      </c>
      <c r="AQ249" s="28" t="str">
        <f t="shared" si="59"/>
        <v xml:space="preserve">    0x2700,  // c</v>
      </c>
    </row>
    <row r="250" spans="1:43" ht="18.75" x14ac:dyDescent="0.3">
      <c r="A250" s="6"/>
      <c r="B250" s="16">
        <v>228</v>
      </c>
      <c r="C250" s="19" t="str">
        <f t="shared" si="56"/>
        <v>E4</v>
      </c>
      <c r="D250" s="24" t="s">
        <v>107</v>
      </c>
      <c r="E250" s="21">
        <v>0</v>
      </c>
      <c r="F250" s="21">
        <v>0</v>
      </c>
      <c r="G250" s="21">
        <v>0</v>
      </c>
      <c r="H250" s="21">
        <v>0</v>
      </c>
      <c r="I250" s="21">
        <v>1</v>
      </c>
      <c r="J250" s="21">
        <v>1</v>
      </c>
      <c r="K250" s="21">
        <v>1</v>
      </c>
      <c r="L250" s="21">
        <v>0</v>
      </c>
      <c r="M250" s="21">
        <v>1</v>
      </c>
      <c r="N250" s="21">
        <v>0</v>
      </c>
      <c r="O250" s="21">
        <v>0</v>
      </c>
      <c r="P250" s="21">
        <v>1</v>
      </c>
      <c r="Q250" s="21">
        <v>0</v>
      </c>
      <c r="R250" s="21">
        <v>0</v>
      </c>
      <c r="S250" s="21">
        <v>1</v>
      </c>
      <c r="T250" s="21">
        <v>0</v>
      </c>
      <c r="U250" s="22">
        <f t="shared" si="57"/>
        <v>14088</v>
      </c>
      <c r="V250" s="19" t="str">
        <f t="shared" si="58"/>
        <v>3708</v>
      </c>
      <c r="W250" s="7"/>
      <c r="X250" s="23">
        <v>14088</v>
      </c>
      <c r="Y250" s="19" t="str">
        <f t="shared" si="55"/>
        <v>3708</v>
      </c>
      <c r="Z250" s="18">
        <f t="shared" si="53"/>
        <v>0</v>
      </c>
      <c r="AA250" s="18">
        <f t="shared" si="61"/>
        <v>0</v>
      </c>
      <c r="AB250" s="18">
        <f t="shared" si="61"/>
        <v>0</v>
      </c>
      <c r="AC250" s="18">
        <f t="shared" si="61"/>
        <v>0</v>
      </c>
      <c r="AD250" s="18">
        <f t="shared" si="61"/>
        <v>1</v>
      </c>
      <c r="AE250" s="18">
        <f t="shared" si="61"/>
        <v>1</v>
      </c>
      <c r="AF250" s="18">
        <f t="shared" si="61"/>
        <v>1</v>
      </c>
      <c r="AG250" s="18">
        <f t="shared" si="61"/>
        <v>0</v>
      </c>
      <c r="AH250" s="18">
        <f t="shared" si="61"/>
        <v>1</v>
      </c>
      <c r="AI250" s="18">
        <f t="shared" si="61"/>
        <v>0</v>
      </c>
      <c r="AJ250" s="18">
        <f t="shared" si="61"/>
        <v>0</v>
      </c>
      <c r="AK250" s="18">
        <f t="shared" si="61"/>
        <v>1</v>
      </c>
      <c r="AL250" s="18">
        <f t="shared" si="61"/>
        <v>0</v>
      </c>
      <c r="AM250" s="18">
        <f t="shared" si="61"/>
        <v>0</v>
      </c>
      <c r="AN250" s="18">
        <f t="shared" si="61"/>
        <v>1</v>
      </c>
      <c r="AO250" s="18">
        <f t="shared" si="61"/>
        <v>0</v>
      </c>
      <c r="AQ250" s="28" t="str">
        <f t="shared" si="59"/>
        <v xml:space="preserve">    0x3708,  // d</v>
      </c>
    </row>
    <row r="251" spans="1:43" ht="18.75" x14ac:dyDescent="0.3">
      <c r="A251" s="6"/>
      <c r="B251" s="16">
        <v>229</v>
      </c>
      <c r="C251" s="19" t="str">
        <f t="shared" si="56"/>
        <v>E5</v>
      </c>
      <c r="D251" s="24" t="s">
        <v>108</v>
      </c>
      <c r="E251" s="21">
        <v>0</v>
      </c>
      <c r="F251" s="21">
        <v>0</v>
      </c>
      <c r="G251" s="21">
        <v>0</v>
      </c>
      <c r="H251" s="21">
        <v>1</v>
      </c>
      <c r="I251" s="21">
        <v>1</v>
      </c>
      <c r="J251" s="21">
        <v>1</v>
      </c>
      <c r="K251" s="21">
        <v>1</v>
      </c>
      <c r="L251" s="21">
        <v>0</v>
      </c>
      <c r="M251" s="21">
        <v>1</v>
      </c>
      <c r="N251" s="21">
        <v>0</v>
      </c>
      <c r="O251" s="21">
        <v>0</v>
      </c>
      <c r="P251" s="21">
        <v>0</v>
      </c>
      <c r="Q251" s="21">
        <v>0</v>
      </c>
      <c r="R251" s="21">
        <v>0</v>
      </c>
      <c r="S251" s="21">
        <v>1</v>
      </c>
      <c r="T251" s="21">
        <v>0</v>
      </c>
      <c r="U251" s="22">
        <f t="shared" si="57"/>
        <v>46848</v>
      </c>
      <c r="V251" s="19" t="str">
        <f t="shared" si="58"/>
        <v>B700</v>
      </c>
      <c r="W251" s="7"/>
      <c r="X251" s="23">
        <v>46848</v>
      </c>
      <c r="Y251" s="19" t="str">
        <f t="shared" si="55"/>
        <v>B700</v>
      </c>
      <c r="Z251" s="18">
        <f t="shared" si="53"/>
        <v>0</v>
      </c>
      <c r="AA251" s="18">
        <f t="shared" si="61"/>
        <v>0</v>
      </c>
      <c r="AB251" s="18">
        <f t="shared" si="61"/>
        <v>0</v>
      </c>
      <c r="AC251" s="18">
        <f t="shared" si="61"/>
        <v>1</v>
      </c>
      <c r="AD251" s="18">
        <f t="shared" si="61"/>
        <v>1</v>
      </c>
      <c r="AE251" s="18">
        <f t="shared" si="61"/>
        <v>1</v>
      </c>
      <c r="AF251" s="18">
        <f t="shared" si="61"/>
        <v>1</v>
      </c>
      <c r="AG251" s="18">
        <f t="shared" si="61"/>
        <v>0</v>
      </c>
      <c r="AH251" s="18">
        <f t="shared" si="61"/>
        <v>1</v>
      </c>
      <c r="AI251" s="18">
        <f t="shared" si="61"/>
        <v>0</v>
      </c>
      <c r="AJ251" s="18">
        <f t="shared" si="61"/>
        <v>0</v>
      </c>
      <c r="AK251" s="18">
        <f t="shared" si="61"/>
        <v>0</v>
      </c>
      <c r="AL251" s="18">
        <f t="shared" si="61"/>
        <v>0</v>
      </c>
      <c r="AM251" s="18">
        <f t="shared" si="61"/>
        <v>0</v>
      </c>
      <c r="AN251" s="18">
        <f t="shared" si="61"/>
        <v>1</v>
      </c>
      <c r="AO251" s="18">
        <f t="shared" si="61"/>
        <v>0</v>
      </c>
      <c r="AQ251" s="28" t="str">
        <f t="shared" si="59"/>
        <v xml:space="preserve">    0xB700,  // e</v>
      </c>
    </row>
    <row r="252" spans="1:43" ht="18.75" x14ac:dyDescent="0.3">
      <c r="A252" s="6"/>
      <c r="B252" s="16">
        <v>230</v>
      </c>
      <c r="C252" s="19" t="str">
        <f t="shared" si="56"/>
        <v>E6</v>
      </c>
      <c r="D252" s="24" t="s">
        <v>109</v>
      </c>
      <c r="E252" s="21">
        <v>0</v>
      </c>
      <c r="F252" s="21">
        <v>1</v>
      </c>
      <c r="G252" s="21">
        <v>0</v>
      </c>
      <c r="H252" s="21">
        <v>0</v>
      </c>
      <c r="I252" s="21">
        <v>1</v>
      </c>
      <c r="J252" s="21">
        <v>1</v>
      </c>
      <c r="K252" s="21">
        <v>0</v>
      </c>
      <c r="L252" s="21">
        <v>0</v>
      </c>
      <c r="M252" s="21">
        <v>1</v>
      </c>
      <c r="N252" s="21">
        <v>1</v>
      </c>
      <c r="O252" s="21">
        <v>0</v>
      </c>
      <c r="P252" s="21">
        <v>1</v>
      </c>
      <c r="Q252" s="21">
        <v>0</v>
      </c>
      <c r="R252" s="21">
        <v>0</v>
      </c>
      <c r="S252" s="21">
        <v>1</v>
      </c>
      <c r="T252" s="21">
        <v>0</v>
      </c>
      <c r="U252" s="22">
        <f t="shared" si="57"/>
        <v>13736</v>
      </c>
      <c r="V252" s="19" t="str">
        <f t="shared" si="58"/>
        <v>35A8</v>
      </c>
      <c r="W252" s="7"/>
      <c r="X252" s="23">
        <v>13736</v>
      </c>
      <c r="Y252" s="19" t="str">
        <f t="shared" si="55"/>
        <v>35A8</v>
      </c>
      <c r="Z252" s="18">
        <f t="shared" si="53"/>
        <v>0</v>
      </c>
      <c r="AA252" s="18">
        <f t="shared" si="61"/>
        <v>1</v>
      </c>
      <c r="AB252" s="18">
        <f t="shared" si="61"/>
        <v>0</v>
      </c>
      <c r="AC252" s="18">
        <f t="shared" si="61"/>
        <v>0</v>
      </c>
      <c r="AD252" s="18">
        <f t="shared" si="61"/>
        <v>1</v>
      </c>
      <c r="AE252" s="18">
        <f t="shared" si="61"/>
        <v>1</v>
      </c>
      <c r="AF252" s="18">
        <f t="shared" si="61"/>
        <v>0</v>
      </c>
      <c r="AG252" s="18">
        <f t="shared" si="61"/>
        <v>0</v>
      </c>
      <c r="AH252" s="18">
        <f t="shared" si="61"/>
        <v>1</v>
      </c>
      <c r="AI252" s="18">
        <f t="shared" si="61"/>
        <v>1</v>
      </c>
      <c r="AJ252" s="18">
        <f t="shared" si="61"/>
        <v>0</v>
      </c>
      <c r="AK252" s="18">
        <f t="shared" si="61"/>
        <v>1</v>
      </c>
      <c r="AL252" s="18">
        <f t="shared" si="61"/>
        <v>0</v>
      </c>
      <c r="AM252" s="18">
        <f t="shared" si="61"/>
        <v>0</v>
      </c>
      <c r="AN252" s="18">
        <f t="shared" si="61"/>
        <v>1</v>
      </c>
      <c r="AO252" s="18">
        <f t="shared" si="61"/>
        <v>0</v>
      </c>
      <c r="AQ252" s="28" t="str">
        <f t="shared" si="59"/>
        <v xml:space="preserve">    0x35A8,  // f</v>
      </c>
    </row>
    <row r="253" spans="1:43" ht="18.75" x14ac:dyDescent="0.3">
      <c r="A253" s="6"/>
      <c r="B253" s="16">
        <v>231</v>
      </c>
      <c r="C253" s="19" t="str">
        <f t="shared" si="56"/>
        <v>E7</v>
      </c>
      <c r="D253" s="24" t="s">
        <v>110</v>
      </c>
      <c r="E253" s="21">
        <v>0</v>
      </c>
      <c r="F253" s="21">
        <v>1</v>
      </c>
      <c r="G253" s="21">
        <v>1</v>
      </c>
      <c r="H253" s="21">
        <v>1</v>
      </c>
      <c r="I253" s="21">
        <v>1</v>
      </c>
      <c r="J253" s="21">
        <v>1</v>
      </c>
      <c r="K253" s="21">
        <v>0</v>
      </c>
      <c r="L253" s="21">
        <v>0</v>
      </c>
      <c r="M253" s="21">
        <v>0</v>
      </c>
      <c r="N253" s="21">
        <v>1</v>
      </c>
      <c r="O253" s="21">
        <v>0</v>
      </c>
      <c r="P253" s="21">
        <v>1</v>
      </c>
      <c r="Q253" s="21">
        <v>0</v>
      </c>
      <c r="R253" s="21">
        <v>0</v>
      </c>
      <c r="S253" s="21">
        <v>0</v>
      </c>
      <c r="T253" s="21">
        <v>0</v>
      </c>
      <c r="U253" s="22">
        <f t="shared" si="57"/>
        <v>42216</v>
      </c>
      <c r="V253" s="19" t="str">
        <f t="shared" si="58"/>
        <v>A4E8</v>
      </c>
      <c r="W253" s="7"/>
      <c r="X253" s="23">
        <v>42216</v>
      </c>
      <c r="Y253" s="19" t="str">
        <f t="shared" si="55"/>
        <v>A4E8</v>
      </c>
      <c r="Z253" s="18">
        <f t="shared" si="53"/>
        <v>0</v>
      </c>
      <c r="AA253" s="18">
        <f t="shared" si="61"/>
        <v>1</v>
      </c>
      <c r="AB253" s="18">
        <f t="shared" si="61"/>
        <v>1</v>
      </c>
      <c r="AC253" s="18">
        <f t="shared" si="61"/>
        <v>1</v>
      </c>
      <c r="AD253" s="18">
        <f t="shared" si="61"/>
        <v>1</v>
      </c>
      <c r="AE253" s="18">
        <f t="shared" si="61"/>
        <v>1</v>
      </c>
      <c r="AF253" s="18">
        <f t="shared" si="61"/>
        <v>0</v>
      </c>
      <c r="AG253" s="18">
        <f t="shared" si="61"/>
        <v>0</v>
      </c>
      <c r="AH253" s="18">
        <f t="shared" si="61"/>
        <v>0</v>
      </c>
      <c r="AI253" s="18">
        <f t="shared" si="61"/>
        <v>1</v>
      </c>
      <c r="AJ253" s="18">
        <f t="shared" si="61"/>
        <v>0</v>
      </c>
      <c r="AK253" s="18">
        <f t="shared" si="61"/>
        <v>1</v>
      </c>
      <c r="AL253" s="18">
        <f t="shared" si="61"/>
        <v>0</v>
      </c>
      <c r="AM253" s="18">
        <f t="shared" si="61"/>
        <v>0</v>
      </c>
      <c r="AN253" s="18">
        <f t="shared" si="61"/>
        <v>0</v>
      </c>
      <c r="AO253" s="18">
        <f t="shared" si="61"/>
        <v>0</v>
      </c>
      <c r="AQ253" s="28" t="str">
        <f t="shared" si="59"/>
        <v xml:space="preserve">    0xA4E8,  // g</v>
      </c>
    </row>
    <row r="254" spans="1:43" ht="18.75" x14ac:dyDescent="0.3">
      <c r="A254" s="6"/>
      <c r="B254" s="16">
        <v>232</v>
      </c>
      <c r="C254" s="19" t="str">
        <f t="shared" si="56"/>
        <v>E8</v>
      </c>
      <c r="D254" s="24" t="s">
        <v>111</v>
      </c>
      <c r="E254" s="21">
        <v>0</v>
      </c>
      <c r="F254" s="21">
        <v>0</v>
      </c>
      <c r="G254" s="21">
        <v>0</v>
      </c>
      <c r="H254" s="21">
        <v>0</v>
      </c>
      <c r="I254" s="21">
        <v>0</v>
      </c>
      <c r="J254" s="21">
        <v>1</v>
      </c>
      <c r="K254" s="21">
        <v>1</v>
      </c>
      <c r="L254" s="21">
        <v>1</v>
      </c>
      <c r="M254" s="21">
        <v>1</v>
      </c>
      <c r="N254" s="21">
        <v>0</v>
      </c>
      <c r="O254" s="21">
        <v>0</v>
      </c>
      <c r="P254" s="21">
        <v>0</v>
      </c>
      <c r="Q254" s="21">
        <v>0</v>
      </c>
      <c r="R254" s="21">
        <v>0</v>
      </c>
      <c r="S254" s="21">
        <v>1</v>
      </c>
      <c r="T254" s="21">
        <v>0</v>
      </c>
      <c r="U254" s="22">
        <f t="shared" si="57"/>
        <v>13057</v>
      </c>
      <c r="V254" s="19" t="str">
        <f t="shared" si="58"/>
        <v>3301</v>
      </c>
      <c r="W254" s="7"/>
      <c r="X254" s="23">
        <v>13057</v>
      </c>
      <c r="Y254" s="19" t="str">
        <f t="shared" si="55"/>
        <v>3301</v>
      </c>
      <c r="Z254" s="18">
        <f t="shared" si="53"/>
        <v>0</v>
      </c>
      <c r="AA254" s="18">
        <f t="shared" si="61"/>
        <v>0</v>
      </c>
      <c r="AB254" s="18">
        <f t="shared" si="61"/>
        <v>0</v>
      </c>
      <c r="AC254" s="18">
        <f t="shared" si="61"/>
        <v>0</v>
      </c>
      <c r="AD254" s="18">
        <f t="shared" si="61"/>
        <v>0</v>
      </c>
      <c r="AE254" s="18">
        <f t="shared" si="61"/>
        <v>1</v>
      </c>
      <c r="AF254" s="18">
        <f t="shared" si="61"/>
        <v>1</v>
      </c>
      <c r="AG254" s="18">
        <f t="shared" si="61"/>
        <v>1</v>
      </c>
      <c r="AH254" s="18">
        <f t="shared" si="61"/>
        <v>1</v>
      </c>
      <c r="AI254" s="18">
        <f t="shared" si="61"/>
        <v>0</v>
      </c>
      <c r="AJ254" s="18">
        <f t="shared" si="61"/>
        <v>0</v>
      </c>
      <c r="AK254" s="18">
        <f t="shared" si="61"/>
        <v>0</v>
      </c>
      <c r="AL254" s="18">
        <f t="shared" si="61"/>
        <v>0</v>
      </c>
      <c r="AM254" s="18">
        <f t="shared" si="61"/>
        <v>0</v>
      </c>
      <c r="AN254" s="18">
        <f t="shared" si="61"/>
        <v>1</v>
      </c>
      <c r="AO254" s="18">
        <f t="shared" si="61"/>
        <v>0</v>
      </c>
      <c r="AQ254" s="28" t="str">
        <f t="shared" si="59"/>
        <v xml:space="preserve">    0x3301,  // h</v>
      </c>
    </row>
    <row r="255" spans="1:43" ht="18.75" x14ac:dyDescent="0.3">
      <c r="A255" s="6"/>
      <c r="B255" s="16">
        <v>233</v>
      </c>
      <c r="C255" s="19" t="str">
        <f t="shared" si="56"/>
        <v>E9</v>
      </c>
      <c r="D255" s="24" t="s">
        <v>112</v>
      </c>
      <c r="E255" s="21">
        <v>1</v>
      </c>
      <c r="F255" s="21">
        <v>0</v>
      </c>
      <c r="G255" s="21">
        <v>0</v>
      </c>
      <c r="H255" s="21">
        <v>0</v>
      </c>
      <c r="I255" s="21">
        <v>0</v>
      </c>
      <c r="J255" s="21">
        <v>1</v>
      </c>
      <c r="K255" s="21">
        <v>0</v>
      </c>
      <c r="L255" s="21">
        <v>0</v>
      </c>
      <c r="M255" s="21">
        <v>1</v>
      </c>
      <c r="N255" s="21">
        <v>0</v>
      </c>
      <c r="O255" s="21">
        <v>0</v>
      </c>
      <c r="P255" s="21">
        <v>0</v>
      </c>
      <c r="Q255" s="21">
        <v>0</v>
      </c>
      <c r="R255" s="21">
        <v>0</v>
      </c>
      <c r="S255" s="21">
        <v>1</v>
      </c>
      <c r="T255" s="21">
        <v>0</v>
      </c>
      <c r="U255" s="22">
        <f t="shared" si="57"/>
        <v>12548</v>
      </c>
      <c r="V255" s="19" t="str">
        <f t="shared" si="58"/>
        <v>3104</v>
      </c>
      <c r="W255" s="7"/>
      <c r="X255" s="23">
        <v>12548</v>
      </c>
      <c r="Y255" s="19" t="str">
        <f t="shared" si="55"/>
        <v>3104</v>
      </c>
      <c r="Z255" s="18">
        <f t="shared" si="53"/>
        <v>1</v>
      </c>
      <c r="AA255" s="18">
        <f t="shared" si="61"/>
        <v>0</v>
      </c>
      <c r="AB255" s="18">
        <f t="shared" si="61"/>
        <v>0</v>
      </c>
      <c r="AC255" s="18">
        <f t="shared" si="61"/>
        <v>0</v>
      </c>
      <c r="AD255" s="18">
        <f t="shared" si="61"/>
        <v>0</v>
      </c>
      <c r="AE255" s="18">
        <f t="shared" si="61"/>
        <v>1</v>
      </c>
      <c r="AF255" s="18">
        <f t="shared" si="61"/>
        <v>0</v>
      </c>
      <c r="AG255" s="18">
        <f t="shared" si="61"/>
        <v>0</v>
      </c>
      <c r="AH255" s="18">
        <f t="shared" si="61"/>
        <v>1</v>
      </c>
      <c r="AI255" s="18">
        <f t="shared" si="61"/>
        <v>0</v>
      </c>
      <c r="AJ255" s="18">
        <f t="shared" si="61"/>
        <v>0</v>
      </c>
      <c r="AK255" s="18">
        <f t="shared" si="61"/>
        <v>0</v>
      </c>
      <c r="AL255" s="18">
        <f t="shared" si="61"/>
        <v>0</v>
      </c>
      <c r="AM255" s="18">
        <f t="shared" si="61"/>
        <v>0</v>
      </c>
      <c r="AN255" s="18">
        <f t="shared" si="61"/>
        <v>1</v>
      </c>
      <c r="AO255" s="18">
        <f t="shared" ref="AA255:AO272" si="62">IF(_xlfn.BITAND($X255,AO$19)=0,0,1)</f>
        <v>0</v>
      </c>
      <c r="AQ255" s="28" t="str">
        <f t="shared" si="59"/>
        <v xml:space="preserve">    0x3104,  // i</v>
      </c>
    </row>
    <row r="256" spans="1:43" ht="18.75" x14ac:dyDescent="0.3">
      <c r="A256" s="6"/>
      <c r="B256" s="16">
        <v>234</v>
      </c>
      <c r="C256" s="19" t="str">
        <f t="shared" si="56"/>
        <v>EA</v>
      </c>
      <c r="D256" s="24" t="s">
        <v>113</v>
      </c>
      <c r="E256" s="21">
        <v>1</v>
      </c>
      <c r="F256" s="21">
        <v>0</v>
      </c>
      <c r="G256" s="21">
        <v>0</v>
      </c>
      <c r="H256" s="21">
        <v>0</v>
      </c>
      <c r="I256" s="21">
        <v>1</v>
      </c>
      <c r="J256" s="21">
        <v>0</v>
      </c>
      <c r="K256" s="21">
        <v>0</v>
      </c>
      <c r="L256" s="21">
        <v>0</v>
      </c>
      <c r="M256" s="21">
        <v>1</v>
      </c>
      <c r="N256" s="21">
        <v>0</v>
      </c>
      <c r="O256" s="21">
        <v>0</v>
      </c>
      <c r="P256" s="21">
        <v>0</v>
      </c>
      <c r="Q256" s="21">
        <v>0</v>
      </c>
      <c r="R256" s="21">
        <v>0</v>
      </c>
      <c r="S256" s="21">
        <v>1</v>
      </c>
      <c r="T256" s="21">
        <v>0</v>
      </c>
      <c r="U256" s="22">
        <f t="shared" si="57"/>
        <v>5380</v>
      </c>
      <c r="V256" s="19" t="str">
        <f t="shared" si="58"/>
        <v>1504</v>
      </c>
      <c r="W256" s="7"/>
      <c r="X256" s="23">
        <v>5380</v>
      </c>
      <c r="Y256" s="19" t="str">
        <f t="shared" si="55"/>
        <v>1504</v>
      </c>
      <c r="Z256" s="18">
        <f t="shared" si="53"/>
        <v>1</v>
      </c>
      <c r="AA256" s="18">
        <f t="shared" si="62"/>
        <v>0</v>
      </c>
      <c r="AB256" s="18">
        <f t="shared" si="62"/>
        <v>0</v>
      </c>
      <c r="AC256" s="18">
        <f t="shared" si="62"/>
        <v>0</v>
      </c>
      <c r="AD256" s="18">
        <f t="shared" si="62"/>
        <v>1</v>
      </c>
      <c r="AE256" s="18">
        <f t="shared" si="62"/>
        <v>0</v>
      </c>
      <c r="AF256" s="18">
        <f t="shared" si="62"/>
        <v>0</v>
      </c>
      <c r="AG256" s="18">
        <f t="shared" si="62"/>
        <v>0</v>
      </c>
      <c r="AH256" s="18">
        <f t="shared" si="62"/>
        <v>1</v>
      </c>
      <c r="AI256" s="18">
        <f t="shared" si="62"/>
        <v>0</v>
      </c>
      <c r="AJ256" s="18">
        <f t="shared" si="62"/>
        <v>0</v>
      </c>
      <c r="AK256" s="18">
        <f t="shared" si="62"/>
        <v>0</v>
      </c>
      <c r="AL256" s="18">
        <f t="shared" si="62"/>
        <v>0</v>
      </c>
      <c r="AM256" s="18">
        <f t="shared" si="62"/>
        <v>0</v>
      </c>
      <c r="AN256" s="18">
        <f t="shared" si="62"/>
        <v>1</v>
      </c>
      <c r="AO256" s="18">
        <f t="shared" si="62"/>
        <v>0</v>
      </c>
      <c r="AQ256" s="28" t="str">
        <f t="shared" si="59"/>
        <v xml:space="preserve">    0x1504,  // j</v>
      </c>
    </row>
    <row r="257" spans="1:43" ht="18.75" x14ac:dyDescent="0.3">
      <c r="A257" s="6"/>
      <c r="B257" s="16">
        <v>235</v>
      </c>
      <c r="C257" s="19" t="str">
        <f t="shared" si="56"/>
        <v>EB</v>
      </c>
      <c r="D257" s="24" t="s">
        <v>114</v>
      </c>
      <c r="E257" s="21">
        <v>1</v>
      </c>
      <c r="F257" s="21">
        <v>0</v>
      </c>
      <c r="G257" s="21">
        <v>0</v>
      </c>
      <c r="H257" s="21">
        <v>0</v>
      </c>
      <c r="I257" s="21">
        <v>0</v>
      </c>
      <c r="J257" s="21">
        <v>0</v>
      </c>
      <c r="K257" s="21">
        <v>0</v>
      </c>
      <c r="L257" s="21">
        <v>0</v>
      </c>
      <c r="M257" s="21">
        <v>0</v>
      </c>
      <c r="N257" s="21">
        <v>1</v>
      </c>
      <c r="O257" s="21">
        <v>0</v>
      </c>
      <c r="P257" s="21">
        <v>1</v>
      </c>
      <c r="Q257" s="21">
        <v>0</v>
      </c>
      <c r="R257" s="21">
        <v>1</v>
      </c>
      <c r="S257" s="21">
        <v>1</v>
      </c>
      <c r="T257" s="21">
        <v>0</v>
      </c>
      <c r="U257" s="22">
        <f t="shared" si="57"/>
        <v>20620</v>
      </c>
      <c r="V257" s="19" t="str">
        <f t="shared" si="58"/>
        <v>508C</v>
      </c>
      <c r="W257" s="7"/>
      <c r="X257" s="23">
        <v>20620</v>
      </c>
      <c r="Y257" s="19" t="str">
        <f t="shared" si="55"/>
        <v>508C</v>
      </c>
      <c r="Z257" s="18">
        <f t="shared" si="53"/>
        <v>1</v>
      </c>
      <c r="AA257" s="18">
        <f t="shared" si="62"/>
        <v>0</v>
      </c>
      <c r="AB257" s="18">
        <f t="shared" si="62"/>
        <v>0</v>
      </c>
      <c r="AC257" s="18">
        <f t="shared" si="62"/>
        <v>0</v>
      </c>
      <c r="AD257" s="18">
        <f t="shared" si="62"/>
        <v>0</v>
      </c>
      <c r="AE257" s="18">
        <f t="shared" si="62"/>
        <v>0</v>
      </c>
      <c r="AF257" s="18">
        <f t="shared" si="62"/>
        <v>0</v>
      </c>
      <c r="AG257" s="18">
        <f t="shared" si="62"/>
        <v>0</v>
      </c>
      <c r="AH257" s="18">
        <f t="shared" si="62"/>
        <v>0</v>
      </c>
      <c r="AI257" s="18">
        <f t="shared" si="62"/>
        <v>1</v>
      </c>
      <c r="AJ257" s="18">
        <f t="shared" si="62"/>
        <v>0</v>
      </c>
      <c r="AK257" s="18">
        <f t="shared" si="62"/>
        <v>1</v>
      </c>
      <c r="AL257" s="18">
        <f t="shared" si="62"/>
        <v>0</v>
      </c>
      <c r="AM257" s="18">
        <f t="shared" si="62"/>
        <v>1</v>
      </c>
      <c r="AN257" s="18">
        <f t="shared" si="62"/>
        <v>1</v>
      </c>
      <c r="AO257" s="18">
        <f t="shared" si="62"/>
        <v>0</v>
      </c>
      <c r="AQ257" s="28" t="str">
        <f t="shared" si="59"/>
        <v xml:space="preserve">    0x508C,  // k</v>
      </c>
    </row>
    <row r="258" spans="1:43" ht="18.75" x14ac:dyDescent="0.3">
      <c r="A258" s="6"/>
      <c r="B258" s="16">
        <v>236</v>
      </c>
      <c r="C258" s="19" t="str">
        <f t="shared" si="56"/>
        <v>EC</v>
      </c>
      <c r="D258" s="24" t="s">
        <v>115</v>
      </c>
      <c r="E258" s="21">
        <v>1</v>
      </c>
      <c r="F258" s="21">
        <v>0</v>
      </c>
      <c r="G258" s="21">
        <v>0</v>
      </c>
      <c r="H258" s="21">
        <v>0</v>
      </c>
      <c r="I258" s="21">
        <v>0</v>
      </c>
      <c r="J258" s="21">
        <v>0</v>
      </c>
      <c r="K258" s="21">
        <v>0</v>
      </c>
      <c r="L258" s="21">
        <v>0</v>
      </c>
      <c r="M258" s="21">
        <v>0</v>
      </c>
      <c r="N258" s="21">
        <v>0</v>
      </c>
      <c r="O258" s="21">
        <v>0</v>
      </c>
      <c r="P258" s="21">
        <v>1</v>
      </c>
      <c r="Q258" s="21">
        <v>0</v>
      </c>
      <c r="R258" s="21">
        <v>0</v>
      </c>
      <c r="S258" s="21">
        <v>1</v>
      </c>
      <c r="T258" s="21">
        <v>0</v>
      </c>
      <c r="U258" s="22">
        <f t="shared" si="57"/>
        <v>4108</v>
      </c>
      <c r="V258" s="19" t="str">
        <f t="shared" si="58"/>
        <v>100C</v>
      </c>
      <c r="W258" s="7"/>
      <c r="X258" s="23">
        <v>4108</v>
      </c>
      <c r="Y258" s="19" t="str">
        <f t="shared" si="55"/>
        <v>100C</v>
      </c>
      <c r="Z258" s="18">
        <f t="shared" si="53"/>
        <v>1</v>
      </c>
      <c r="AA258" s="18">
        <f t="shared" si="62"/>
        <v>0</v>
      </c>
      <c r="AB258" s="18">
        <f t="shared" si="62"/>
        <v>0</v>
      </c>
      <c r="AC258" s="18">
        <f t="shared" si="62"/>
        <v>0</v>
      </c>
      <c r="AD258" s="18">
        <f t="shared" si="62"/>
        <v>0</v>
      </c>
      <c r="AE258" s="18">
        <f t="shared" si="62"/>
        <v>0</v>
      </c>
      <c r="AF258" s="18">
        <f t="shared" si="62"/>
        <v>0</v>
      </c>
      <c r="AG258" s="18">
        <f t="shared" si="62"/>
        <v>0</v>
      </c>
      <c r="AH258" s="18">
        <f t="shared" si="62"/>
        <v>0</v>
      </c>
      <c r="AI258" s="18">
        <f t="shared" si="62"/>
        <v>0</v>
      </c>
      <c r="AJ258" s="18">
        <f t="shared" si="62"/>
        <v>0</v>
      </c>
      <c r="AK258" s="18">
        <f t="shared" si="62"/>
        <v>1</v>
      </c>
      <c r="AL258" s="18">
        <f t="shared" si="62"/>
        <v>0</v>
      </c>
      <c r="AM258" s="18">
        <f t="shared" si="62"/>
        <v>0</v>
      </c>
      <c r="AN258" s="18">
        <f t="shared" si="62"/>
        <v>1</v>
      </c>
      <c r="AO258" s="18">
        <f t="shared" si="62"/>
        <v>0</v>
      </c>
      <c r="AQ258" s="28" t="str">
        <f t="shared" si="59"/>
        <v xml:space="preserve">    0x100C,  // l</v>
      </c>
    </row>
    <row r="259" spans="1:43" ht="18.75" x14ac:dyDescent="0.3">
      <c r="A259" s="6"/>
      <c r="B259" s="16">
        <v>237</v>
      </c>
      <c r="C259" s="19" t="str">
        <f t="shared" si="56"/>
        <v>ED</v>
      </c>
      <c r="D259" s="24" t="s">
        <v>116</v>
      </c>
      <c r="E259" s="21">
        <v>0</v>
      </c>
      <c r="F259" s="21">
        <v>0</v>
      </c>
      <c r="G259" s="21">
        <v>0</v>
      </c>
      <c r="H259" s="21">
        <v>1</v>
      </c>
      <c r="I259" s="21">
        <v>0</v>
      </c>
      <c r="J259" s="21">
        <v>0</v>
      </c>
      <c r="K259" s="21">
        <v>1</v>
      </c>
      <c r="L259" s="21">
        <v>0</v>
      </c>
      <c r="M259" s="21">
        <v>0</v>
      </c>
      <c r="N259" s="21">
        <v>1</v>
      </c>
      <c r="O259" s="21">
        <v>0</v>
      </c>
      <c r="P259" s="21">
        <v>0</v>
      </c>
      <c r="Q259" s="21">
        <v>0</v>
      </c>
      <c r="R259" s="21">
        <v>0</v>
      </c>
      <c r="S259" s="21">
        <v>1</v>
      </c>
      <c r="T259" s="21">
        <v>1</v>
      </c>
      <c r="U259" s="22">
        <f t="shared" si="57"/>
        <v>39552</v>
      </c>
      <c r="V259" s="19" t="str">
        <f t="shared" si="58"/>
        <v>9A80</v>
      </c>
      <c r="W259" s="7"/>
      <c r="X259" s="23">
        <v>39552</v>
      </c>
      <c r="Y259" s="19" t="str">
        <f t="shared" si="55"/>
        <v>9A80</v>
      </c>
      <c r="Z259" s="18">
        <f t="shared" si="53"/>
        <v>0</v>
      </c>
      <c r="AA259" s="18">
        <f t="shared" si="62"/>
        <v>0</v>
      </c>
      <c r="AB259" s="18">
        <f t="shared" si="62"/>
        <v>0</v>
      </c>
      <c r="AC259" s="18">
        <f t="shared" si="62"/>
        <v>1</v>
      </c>
      <c r="AD259" s="18">
        <f t="shared" si="62"/>
        <v>0</v>
      </c>
      <c r="AE259" s="18">
        <f t="shared" si="62"/>
        <v>0</v>
      </c>
      <c r="AF259" s="18">
        <f t="shared" si="62"/>
        <v>1</v>
      </c>
      <c r="AG259" s="18">
        <f t="shared" si="62"/>
        <v>0</v>
      </c>
      <c r="AH259" s="18">
        <f t="shared" si="62"/>
        <v>0</v>
      </c>
      <c r="AI259" s="18">
        <f t="shared" si="62"/>
        <v>1</v>
      </c>
      <c r="AJ259" s="18">
        <f t="shared" si="62"/>
        <v>0</v>
      </c>
      <c r="AK259" s="18">
        <f t="shared" si="62"/>
        <v>0</v>
      </c>
      <c r="AL259" s="18">
        <f t="shared" si="62"/>
        <v>0</v>
      </c>
      <c r="AM259" s="18">
        <f t="shared" si="62"/>
        <v>0</v>
      </c>
      <c r="AN259" s="18">
        <f t="shared" si="62"/>
        <v>1</v>
      </c>
      <c r="AO259" s="18">
        <f t="shared" si="62"/>
        <v>1</v>
      </c>
      <c r="AQ259" s="28" t="str">
        <f t="shared" si="59"/>
        <v xml:space="preserve">    0x9A80,  // m</v>
      </c>
    </row>
    <row r="260" spans="1:43" ht="18.75" x14ac:dyDescent="0.3">
      <c r="A260" s="6"/>
      <c r="B260" s="16">
        <v>238</v>
      </c>
      <c r="C260" s="19" t="str">
        <f t="shared" si="56"/>
        <v>EE</v>
      </c>
      <c r="D260" s="24" t="s">
        <v>117</v>
      </c>
      <c r="E260" s="21">
        <v>0</v>
      </c>
      <c r="F260" s="21">
        <v>0</v>
      </c>
      <c r="G260" s="21">
        <v>0</v>
      </c>
      <c r="H260" s="21">
        <v>1</v>
      </c>
      <c r="I260" s="21">
        <v>0</v>
      </c>
      <c r="J260" s="21">
        <v>0</v>
      </c>
      <c r="K260" s="21">
        <v>1</v>
      </c>
      <c r="L260" s="21">
        <v>0</v>
      </c>
      <c r="M260" s="21">
        <v>0</v>
      </c>
      <c r="N260" s="21">
        <v>1</v>
      </c>
      <c r="O260" s="21">
        <v>0</v>
      </c>
      <c r="P260" s="21">
        <v>0</v>
      </c>
      <c r="Q260" s="21">
        <v>0</v>
      </c>
      <c r="R260" s="21">
        <v>0</v>
      </c>
      <c r="S260" s="21">
        <v>0</v>
      </c>
      <c r="T260" s="21">
        <v>1</v>
      </c>
      <c r="U260" s="22">
        <f t="shared" si="57"/>
        <v>35456</v>
      </c>
      <c r="V260" s="19" t="str">
        <f t="shared" si="58"/>
        <v>8A80</v>
      </c>
      <c r="W260" s="7"/>
      <c r="X260" s="23">
        <v>35456</v>
      </c>
      <c r="Y260" s="19" t="str">
        <f t="shared" si="55"/>
        <v>8A80</v>
      </c>
      <c r="Z260" s="18">
        <f t="shared" si="53"/>
        <v>0</v>
      </c>
      <c r="AA260" s="18">
        <f t="shared" si="62"/>
        <v>0</v>
      </c>
      <c r="AB260" s="18">
        <f t="shared" si="62"/>
        <v>0</v>
      </c>
      <c r="AC260" s="18">
        <f t="shared" si="62"/>
        <v>1</v>
      </c>
      <c r="AD260" s="18">
        <f t="shared" si="62"/>
        <v>0</v>
      </c>
      <c r="AE260" s="18">
        <f t="shared" si="62"/>
        <v>0</v>
      </c>
      <c r="AF260" s="18">
        <f t="shared" si="62"/>
        <v>1</v>
      </c>
      <c r="AG260" s="18">
        <f t="shared" si="62"/>
        <v>0</v>
      </c>
      <c r="AH260" s="18">
        <f t="shared" si="62"/>
        <v>0</v>
      </c>
      <c r="AI260" s="18">
        <f t="shared" si="62"/>
        <v>1</v>
      </c>
      <c r="AJ260" s="18">
        <f t="shared" si="62"/>
        <v>0</v>
      </c>
      <c r="AK260" s="18">
        <f t="shared" si="62"/>
        <v>0</v>
      </c>
      <c r="AL260" s="18">
        <f t="shared" si="62"/>
        <v>0</v>
      </c>
      <c r="AM260" s="18">
        <f t="shared" si="62"/>
        <v>0</v>
      </c>
      <c r="AN260" s="18">
        <f t="shared" si="62"/>
        <v>0</v>
      </c>
      <c r="AO260" s="18">
        <f t="shared" si="62"/>
        <v>1</v>
      </c>
      <c r="AQ260" s="28" t="str">
        <f t="shared" si="59"/>
        <v xml:space="preserve">    0x8A80,  // n</v>
      </c>
    </row>
    <row r="261" spans="1:43" ht="18.75" x14ac:dyDescent="0.3">
      <c r="A261" s="6"/>
      <c r="B261" s="16">
        <v>239</v>
      </c>
      <c r="C261" s="19" t="str">
        <f t="shared" si="56"/>
        <v>EF</v>
      </c>
      <c r="D261" s="24" t="s">
        <v>118</v>
      </c>
      <c r="E261" s="21">
        <v>0</v>
      </c>
      <c r="F261" s="21">
        <v>0</v>
      </c>
      <c r="G261" s="21">
        <v>0</v>
      </c>
      <c r="H261" s="21">
        <v>1</v>
      </c>
      <c r="I261" s="21">
        <v>1</v>
      </c>
      <c r="J261" s="21">
        <v>1</v>
      </c>
      <c r="K261" s="21">
        <v>0</v>
      </c>
      <c r="L261" s="21">
        <v>0</v>
      </c>
      <c r="M261" s="21">
        <v>0</v>
      </c>
      <c r="N261" s="21">
        <v>1</v>
      </c>
      <c r="O261" s="21">
        <v>0</v>
      </c>
      <c r="P261" s="21">
        <v>0</v>
      </c>
      <c r="Q261" s="21">
        <v>0</v>
      </c>
      <c r="R261" s="21">
        <v>0</v>
      </c>
      <c r="S261" s="21">
        <v>0</v>
      </c>
      <c r="T261" s="21">
        <v>1</v>
      </c>
      <c r="U261" s="22">
        <f t="shared" si="57"/>
        <v>44160</v>
      </c>
      <c r="V261" s="19" t="str">
        <f t="shared" si="58"/>
        <v>AC80</v>
      </c>
      <c r="W261" s="7"/>
      <c r="X261" s="23">
        <v>44160</v>
      </c>
      <c r="Y261" s="19" t="str">
        <f t="shared" si="55"/>
        <v>AC80</v>
      </c>
      <c r="Z261" s="18">
        <f t="shared" ref="Z261:Z277" si="63">IF(_xlfn.BITAND($X261,Z$19)=0,0,1)</f>
        <v>0</v>
      </c>
      <c r="AA261" s="18">
        <f t="shared" si="62"/>
        <v>0</v>
      </c>
      <c r="AB261" s="18">
        <f t="shared" si="62"/>
        <v>0</v>
      </c>
      <c r="AC261" s="18">
        <f t="shared" si="62"/>
        <v>1</v>
      </c>
      <c r="AD261" s="18">
        <f t="shared" si="62"/>
        <v>1</v>
      </c>
      <c r="AE261" s="18">
        <f t="shared" si="62"/>
        <v>1</v>
      </c>
      <c r="AF261" s="18">
        <f t="shared" si="62"/>
        <v>0</v>
      </c>
      <c r="AG261" s="18">
        <f t="shared" si="62"/>
        <v>0</v>
      </c>
      <c r="AH261" s="18">
        <f t="shared" si="62"/>
        <v>0</v>
      </c>
      <c r="AI261" s="18">
        <f t="shared" si="62"/>
        <v>1</v>
      </c>
      <c r="AJ261" s="18">
        <f t="shared" si="62"/>
        <v>0</v>
      </c>
      <c r="AK261" s="18">
        <f t="shared" si="62"/>
        <v>0</v>
      </c>
      <c r="AL261" s="18">
        <f t="shared" si="62"/>
        <v>0</v>
      </c>
      <c r="AM261" s="18">
        <f t="shared" si="62"/>
        <v>0</v>
      </c>
      <c r="AN261" s="18">
        <f t="shared" si="62"/>
        <v>0</v>
      </c>
      <c r="AO261" s="18">
        <f t="shared" si="62"/>
        <v>1</v>
      </c>
      <c r="AQ261" s="28" t="str">
        <f t="shared" si="59"/>
        <v xml:space="preserve">    0xAC80,  // o</v>
      </c>
    </row>
    <row r="262" spans="1:43" ht="18.75" x14ac:dyDescent="0.3">
      <c r="A262" s="6"/>
      <c r="B262" s="16">
        <v>240</v>
      </c>
      <c r="C262" s="19" t="str">
        <f t="shared" si="56"/>
        <v>F0</v>
      </c>
      <c r="D262" s="24" t="s">
        <v>119</v>
      </c>
      <c r="E262" s="21">
        <v>0</v>
      </c>
      <c r="F262" s="21">
        <v>1</v>
      </c>
      <c r="G262" s="21">
        <v>1</v>
      </c>
      <c r="H262" s="21">
        <v>0</v>
      </c>
      <c r="I262" s="21">
        <v>0</v>
      </c>
      <c r="J262" s="21">
        <v>0</v>
      </c>
      <c r="K262" s="21">
        <v>0</v>
      </c>
      <c r="L262" s="21">
        <v>0</v>
      </c>
      <c r="M262" s="21">
        <v>0</v>
      </c>
      <c r="N262" s="21">
        <v>1</v>
      </c>
      <c r="O262" s="21">
        <v>0</v>
      </c>
      <c r="P262" s="21">
        <v>1</v>
      </c>
      <c r="Q262" s="21">
        <v>0</v>
      </c>
      <c r="R262" s="21">
        <v>0</v>
      </c>
      <c r="S262" s="21">
        <v>0</v>
      </c>
      <c r="T262" s="21">
        <v>1</v>
      </c>
      <c r="U262" s="22">
        <f t="shared" si="57"/>
        <v>2280</v>
      </c>
      <c r="V262" s="19" t="str">
        <f t="shared" si="58"/>
        <v>08E8</v>
      </c>
      <c r="W262" s="7"/>
      <c r="X262" s="23">
        <v>2280</v>
      </c>
      <c r="Y262" s="19" t="str">
        <f t="shared" si="55"/>
        <v>08E8</v>
      </c>
      <c r="Z262" s="18">
        <f t="shared" si="63"/>
        <v>0</v>
      </c>
      <c r="AA262" s="18">
        <f t="shared" si="62"/>
        <v>1</v>
      </c>
      <c r="AB262" s="18">
        <f t="shared" si="62"/>
        <v>1</v>
      </c>
      <c r="AC262" s="18">
        <f t="shared" si="62"/>
        <v>0</v>
      </c>
      <c r="AD262" s="18">
        <f t="shared" si="62"/>
        <v>0</v>
      </c>
      <c r="AE262" s="18">
        <f t="shared" si="62"/>
        <v>0</v>
      </c>
      <c r="AF262" s="18">
        <f t="shared" si="62"/>
        <v>0</v>
      </c>
      <c r="AG262" s="18">
        <f t="shared" si="62"/>
        <v>0</v>
      </c>
      <c r="AH262" s="18">
        <f t="shared" si="62"/>
        <v>0</v>
      </c>
      <c r="AI262" s="18">
        <f t="shared" si="62"/>
        <v>1</v>
      </c>
      <c r="AJ262" s="18">
        <f t="shared" si="62"/>
        <v>0</v>
      </c>
      <c r="AK262" s="18">
        <f t="shared" si="62"/>
        <v>1</v>
      </c>
      <c r="AL262" s="18">
        <f t="shared" si="62"/>
        <v>0</v>
      </c>
      <c r="AM262" s="18">
        <f t="shared" si="62"/>
        <v>0</v>
      </c>
      <c r="AN262" s="18">
        <f t="shared" si="62"/>
        <v>0</v>
      </c>
      <c r="AO262" s="18">
        <f t="shared" si="62"/>
        <v>1</v>
      </c>
      <c r="AQ262" s="28" t="str">
        <f t="shared" si="59"/>
        <v xml:space="preserve">    0x08E8,  // p</v>
      </c>
    </row>
    <row r="263" spans="1:43" ht="18.75" x14ac:dyDescent="0.3">
      <c r="A263" s="6"/>
      <c r="B263" s="16">
        <v>241</v>
      </c>
      <c r="C263" s="19" t="str">
        <f t="shared" si="56"/>
        <v>F1</v>
      </c>
      <c r="D263" s="24" t="s">
        <v>120</v>
      </c>
      <c r="E263" s="21">
        <v>1</v>
      </c>
      <c r="F263" s="21">
        <v>0</v>
      </c>
      <c r="G263" s="21">
        <v>0</v>
      </c>
      <c r="H263" s="21">
        <v>0</v>
      </c>
      <c r="I263" s="21">
        <v>0</v>
      </c>
      <c r="J263" s="21">
        <v>0</v>
      </c>
      <c r="K263" s="21">
        <v>0</v>
      </c>
      <c r="L263" s="21">
        <v>1</v>
      </c>
      <c r="M263" s="21">
        <v>1</v>
      </c>
      <c r="N263" s="21">
        <v>0</v>
      </c>
      <c r="O263" s="21">
        <v>0</v>
      </c>
      <c r="P263" s="21">
        <v>1</v>
      </c>
      <c r="Q263" s="21">
        <v>0</v>
      </c>
      <c r="R263" s="21">
        <v>1</v>
      </c>
      <c r="S263" s="21">
        <v>0</v>
      </c>
      <c r="T263" s="21">
        <v>0</v>
      </c>
      <c r="U263" s="22">
        <f t="shared" si="57"/>
        <v>16653</v>
      </c>
      <c r="V263" s="19" t="str">
        <f t="shared" si="58"/>
        <v>410D</v>
      </c>
      <c r="W263" s="7"/>
      <c r="X263" s="23">
        <v>16653</v>
      </c>
      <c r="Y263" s="19" t="str">
        <f t="shared" si="55"/>
        <v>410D</v>
      </c>
      <c r="Z263" s="18">
        <f t="shared" si="63"/>
        <v>1</v>
      </c>
      <c r="AA263" s="18">
        <f t="shared" si="62"/>
        <v>0</v>
      </c>
      <c r="AB263" s="18">
        <f t="shared" si="62"/>
        <v>0</v>
      </c>
      <c r="AC263" s="18">
        <f t="shared" si="62"/>
        <v>0</v>
      </c>
      <c r="AD263" s="18">
        <f t="shared" si="62"/>
        <v>0</v>
      </c>
      <c r="AE263" s="18">
        <f t="shared" si="62"/>
        <v>0</v>
      </c>
      <c r="AF263" s="18">
        <f t="shared" si="62"/>
        <v>0</v>
      </c>
      <c r="AG263" s="18">
        <f t="shared" si="62"/>
        <v>1</v>
      </c>
      <c r="AH263" s="18">
        <f t="shared" si="62"/>
        <v>1</v>
      </c>
      <c r="AI263" s="18">
        <f t="shared" si="62"/>
        <v>0</v>
      </c>
      <c r="AJ263" s="18">
        <f t="shared" si="62"/>
        <v>0</v>
      </c>
      <c r="AK263" s="18">
        <f t="shared" si="62"/>
        <v>1</v>
      </c>
      <c r="AL263" s="18">
        <f t="shared" si="62"/>
        <v>0</v>
      </c>
      <c r="AM263" s="18">
        <f t="shared" si="62"/>
        <v>1</v>
      </c>
      <c r="AN263" s="18">
        <f t="shared" si="62"/>
        <v>0</v>
      </c>
      <c r="AO263" s="18">
        <f t="shared" si="62"/>
        <v>0</v>
      </c>
      <c r="AQ263" s="28" t="str">
        <f t="shared" si="59"/>
        <v xml:space="preserve">    0x410D,  // q</v>
      </c>
    </row>
    <row r="264" spans="1:43" ht="18.75" x14ac:dyDescent="0.3">
      <c r="A264" s="6"/>
      <c r="B264" s="16">
        <v>242</v>
      </c>
      <c r="C264" s="19" t="str">
        <f t="shared" si="56"/>
        <v>F2</v>
      </c>
      <c r="D264" s="24" t="s">
        <v>121</v>
      </c>
      <c r="E264" s="21">
        <v>0</v>
      </c>
      <c r="F264" s="21">
        <v>0</v>
      </c>
      <c r="G264" s="21">
        <v>0</v>
      </c>
      <c r="H264" s="21">
        <v>0</v>
      </c>
      <c r="I264" s="21">
        <v>0</v>
      </c>
      <c r="J264" s="21">
        <v>0</v>
      </c>
      <c r="K264" s="21">
        <v>0</v>
      </c>
      <c r="L264" s="21">
        <v>0</v>
      </c>
      <c r="M264" s="21">
        <v>0</v>
      </c>
      <c r="N264" s="21">
        <v>1</v>
      </c>
      <c r="O264" s="21">
        <v>0</v>
      </c>
      <c r="P264" s="21">
        <v>0</v>
      </c>
      <c r="Q264" s="21">
        <v>0</v>
      </c>
      <c r="R264" s="21">
        <v>0</v>
      </c>
      <c r="S264" s="21">
        <v>0</v>
      </c>
      <c r="T264" s="21">
        <v>1</v>
      </c>
      <c r="U264" s="22">
        <f t="shared" si="57"/>
        <v>2176</v>
      </c>
      <c r="V264" s="19" t="str">
        <f t="shared" si="58"/>
        <v>0880</v>
      </c>
      <c r="W264" s="7"/>
      <c r="X264" s="23">
        <v>18664</v>
      </c>
      <c r="Y264" s="19" t="str">
        <f t="shared" si="55"/>
        <v>48E8</v>
      </c>
      <c r="Z264" s="18">
        <f t="shared" si="63"/>
        <v>0</v>
      </c>
      <c r="AA264" s="18">
        <f t="shared" si="62"/>
        <v>1</v>
      </c>
      <c r="AB264" s="18">
        <f t="shared" si="62"/>
        <v>1</v>
      </c>
      <c r="AC264" s="18">
        <f t="shared" si="62"/>
        <v>0</v>
      </c>
      <c r="AD264" s="18">
        <f t="shared" si="62"/>
        <v>0</v>
      </c>
      <c r="AE264" s="18">
        <f t="shared" si="62"/>
        <v>0</v>
      </c>
      <c r="AF264" s="18">
        <f t="shared" si="62"/>
        <v>0</v>
      </c>
      <c r="AG264" s="18">
        <f t="shared" si="62"/>
        <v>0</v>
      </c>
      <c r="AH264" s="18">
        <f t="shared" si="62"/>
        <v>0</v>
      </c>
      <c r="AI264" s="18">
        <f t="shared" si="62"/>
        <v>1</v>
      </c>
      <c r="AJ264" s="18">
        <f t="shared" si="62"/>
        <v>0</v>
      </c>
      <c r="AK264" s="18">
        <f t="shared" si="62"/>
        <v>1</v>
      </c>
      <c r="AL264" s="18">
        <f t="shared" si="62"/>
        <v>0</v>
      </c>
      <c r="AM264" s="18">
        <f t="shared" si="62"/>
        <v>1</v>
      </c>
      <c r="AN264" s="18">
        <f t="shared" si="62"/>
        <v>0</v>
      </c>
      <c r="AO264" s="18">
        <f t="shared" si="62"/>
        <v>1</v>
      </c>
      <c r="AQ264" s="28" t="str">
        <f t="shared" si="59"/>
        <v xml:space="preserve">    0x0880,  // r</v>
      </c>
    </row>
    <row r="265" spans="1:43" ht="18.75" x14ac:dyDescent="0.3">
      <c r="A265" s="6"/>
      <c r="B265" s="16">
        <v>243</v>
      </c>
      <c r="C265" s="19" t="str">
        <f t="shared" si="56"/>
        <v>F3</v>
      </c>
      <c r="D265" s="24" t="s">
        <v>122</v>
      </c>
      <c r="E265" s="21">
        <v>0</v>
      </c>
      <c r="F265" s="21">
        <v>0</v>
      </c>
      <c r="G265" s="21">
        <v>1</v>
      </c>
      <c r="H265" s="21">
        <v>0</v>
      </c>
      <c r="I265" s="21">
        <v>1</v>
      </c>
      <c r="J265" s="21">
        <v>1</v>
      </c>
      <c r="K265" s="21">
        <v>0</v>
      </c>
      <c r="L265" s="21">
        <v>0</v>
      </c>
      <c r="M265" s="21">
        <v>0</v>
      </c>
      <c r="N265" s="21">
        <v>0</v>
      </c>
      <c r="O265" s="21">
        <v>0</v>
      </c>
      <c r="P265" s="21">
        <v>0</v>
      </c>
      <c r="Q265" s="21">
        <v>1</v>
      </c>
      <c r="R265" s="21">
        <v>1</v>
      </c>
      <c r="S265" s="21">
        <v>0</v>
      </c>
      <c r="T265" s="21">
        <v>0</v>
      </c>
      <c r="U265" s="22">
        <f t="shared" si="57"/>
        <v>25680</v>
      </c>
      <c r="V265" s="19" t="str">
        <f t="shared" si="58"/>
        <v>6450</v>
      </c>
      <c r="W265" s="7"/>
      <c r="X265" s="23">
        <v>25680</v>
      </c>
      <c r="Y265" s="19" t="str">
        <f t="shared" si="55"/>
        <v>6450</v>
      </c>
      <c r="Z265" s="18">
        <f t="shared" si="63"/>
        <v>0</v>
      </c>
      <c r="AA265" s="18">
        <f t="shared" si="62"/>
        <v>0</v>
      </c>
      <c r="AB265" s="18">
        <f t="shared" si="62"/>
        <v>1</v>
      </c>
      <c r="AC265" s="18">
        <f t="shared" si="62"/>
        <v>0</v>
      </c>
      <c r="AD265" s="18">
        <f t="shared" si="62"/>
        <v>1</v>
      </c>
      <c r="AE265" s="18">
        <f t="shared" si="62"/>
        <v>1</v>
      </c>
      <c r="AF265" s="18">
        <f t="shared" si="62"/>
        <v>0</v>
      </c>
      <c r="AG265" s="18">
        <f t="shared" si="62"/>
        <v>0</v>
      </c>
      <c r="AH265" s="18">
        <f t="shared" si="62"/>
        <v>0</v>
      </c>
      <c r="AI265" s="18">
        <f t="shared" si="62"/>
        <v>0</v>
      </c>
      <c r="AJ265" s="18">
        <f t="shared" si="62"/>
        <v>0</v>
      </c>
      <c r="AK265" s="18">
        <f t="shared" si="62"/>
        <v>0</v>
      </c>
      <c r="AL265" s="18">
        <f t="shared" si="62"/>
        <v>1</v>
      </c>
      <c r="AM265" s="18">
        <f t="shared" si="62"/>
        <v>1</v>
      </c>
      <c r="AN265" s="18">
        <f t="shared" si="62"/>
        <v>0</v>
      </c>
      <c r="AO265" s="18">
        <f t="shared" si="62"/>
        <v>0</v>
      </c>
      <c r="AQ265" s="28" t="str">
        <f t="shared" si="59"/>
        <v xml:space="preserve">    0x6450,  // s</v>
      </c>
    </row>
    <row r="266" spans="1:43" ht="18.75" x14ac:dyDescent="0.3">
      <c r="A266" s="6"/>
      <c r="B266" s="16">
        <v>244</v>
      </c>
      <c r="C266" s="19" t="str">
        <f t="shared" si="56"/>
        <v>F4</v>
      </c>
      <c r="D266" s="24" t="s">
        <v>123</v>
      </c>
      <c r="E266" s="21">
        <v>0</v>
      </c>
      <c r="F266" s="21">
        <v>0</v>
      </c>
      <c r="G266" s="21">
        <v>0</v>
      </c>
      <c r="H266" s="21">
        <v>0</v>
      </c>
      <c r="I266" s="21">
        <v>0</v>
      </c>
      <c r="J266" s="21">
        <v>0</v>
      </c>
      <c r="K266" s="21">
        <v>0</v>
      </c>
      <c r="L266" s="21">
        <v>0</v>
      </c>
      <c r="M266" s="21">
        <v>1</v>
      </c>
      <c r="N266" s="21">
        <v>1</v>
      </c>
      <c r="O266" s="21">
        <v>0</v>
      </c>
      <c r="P266" s="21">
        <v>1</v>
      </c>
      <c r="Q266" s="21">
        <v>0</v>
      </c>
      <c r="R266" s="21">
        <v>1</v>
      </c>
      <c r="S266" s="21">
        <v>0</v>
      </c>
      <c r="T266" s="21">
        <v>1</v>
      </c>
      <c r="U266" s="22">
        <f t="shared" si="57"/>
        <v>18824</v>
      </c>
      <c r="V266" s="19" t="str">
        <f t="shared" si="58"/>
        <v>4988</v>
      </c>
      <c r="W266" s="7"/>
      <c r="X266" s="23">
        <v>18824</v>
      </c>
      <c r="Y266" s="19" t="str">
        <f t="shared" si="55"/>
        <v>4988</v>
      </c>
      <c r="Z266" s="18">
        <f t="shared" si="63"/>
        <v>0</v>
      </c>
      <c r="AA266" s="18">
        <f t="shared" si="62"/>
        <v>0</v>
      </c>
      <c r="AB266" s="18">
        <f t="shared" si="62"/>
        <v>0</v>
      </c>
      <c r="AC266" s="18">
        <f t="shared" si="62"/>
        <v>0</v>
      </c>
      <c r="AD266" s="18">
        <f t="shared" si="62"/>
        <v>0</v>
      </c>
      <c r="AE266" s="18">
        <f t="shared" si="62"/>
        <v>0</v>
      </c>
      <c r="AF266" s="18">
        <f t="shared" si="62"/>
        <v>0</v>
      </c>
      <c r="AG266" s="18">
        <f t="shared" si="62"/>
        <v>0</v>
      </c>
      <c r="AH266" s="18">
        <f t="shared" si="62"/>
        <v>1</v>
      </c>
      <c r="AI266" s="18">
        <f t="shared" si="62"/>
        <v>1</v>
      </c>
      <c r="AJ266" s="18">
        <f t="shared" si="62"/>
        <v>0</v>
      </c>
      <c r="AK266" s="18">
        <f t="shared" si="62"/>
        <v>1</v>
      </c>
      <c r="AL266" s="18">
        <f t="shared" si="62"/>
        <v>0</v>
      </c>
      <c r="AM266" s="18">
        <f t="shared" si="62"/>
        <v>1</v>
      </c>
      <c r="AN266" s="18">
        <f t="shared" si="62"/>
        <v>0</v>
      </c>
      <c r="AO266" s="18">
        <f t="shared" si="62"/>
        <v>1</v>
      </c>
      <c r="AQ266" s="28" t="str">
        <f t="shared" si="59"/>
        <v xml:space="preserve">    0x4988,  // t</v>
      </c>
    </row>
    <row r="267" spans="1:43" ht="18.75" x14ac:dyDescent="0.3">
      <c r="A267" s="6"/>
      <c r="B267" s="16">
        <v>245</v>
      </c>
      <c r="C267" s="19" t="str">
        <f t="shared" si="56"/>
        <v>F5</v>
      </c>
      <c r="D267" s="24" t="s">
        <v>124</v>
      </c>
      <c r="E267" s="21">
        <v>0</v>
      </c>
      <c r="F267" s="21">
        <v>0</v>
      </c>
      <c r="G267" s="21">
        <v>0</v>
      </c>
      <c r="H267" s="21">
        <v>1</v>
      </c>
      <c r="I267" s="21">
        <v>0</v>
      </c>
      <c r="J267" s="21">
        <v>1</v>
      </c>
      <c r="K267" s="21">
        <v>0</v>
      </c>
      <c r="L267" s="21">
        <v>0</v>
      </c>
      <c r="M267" s="21">
        <v>1</v>
      </c>
      <c r="N267" s="21">
        <v>0</v>
      </c>
      <c r="O267" s="21">
        <v>0</v>
      </c>
      <c r="P267" s="21">
        <v>0</v>
      </c>
      <c r="Q267" s="21">
        <v>0</v>
      </c>
      <c r="R267" s="21">
        <v>0</v>
      </c>
      <c r="S267" s="21">
        <v>1</v>
      </c>
      <c r="T267" s="21">
        <v>0</v>
      </c>
      <c r="U267" s="22">
        <f t="shared" si="57"/>
        <v>45312</v>
      </c>
      <c r="V267" s="19" t="str">
        <f t="shared" si="58"/>
        <v>B100</v>
      </c>
      <c r="W267" s="7"/>
      <c r="X267" s="23">
        <v>45312</v>
      </c>
      <c r="Y267" s="19" t="str">
        <f t="shared" si="55"/>
        <v>B100</v>
      </c>
      <c r="Z267" s="18">
        <v>0</v>
      </c>
      <c r="AA267" s="18">
        <f t="shared" si="62"/>
        <v>0</v>
      </c>
      <c r="AB267" s="18">
        <f t="shared" si="62"/>
        <v>0</v>
      </c>
      <c r="AC267" s="18">
        <f t="shared" si="62"/>
        <v>1</v>
      </c>
      <c r="AD267" s="18">
        <f t="shared" si="62"/>
        <v>0</v>
      </c>
      <c r="AE267" s="18">
        <f t="shared" si="62"/>
        <v>1</v>
      </c>
      <c r="AF267" s="18">
        <f t="shared" si="62"/>
        <v>0</v>
      </c>
      <c r="AG267" s="18">
        <f t="shared" si="62"/>
        <v>0</v>
      </c>
      <c r="AH267" s="18">
        <f t="shared" si="62"/>
        <v>1</v>
      </c>
      <c r="AI267" s="18">
        <f t="shared" si="62"/>
        <v>0</v>
      </c>
      <c r="AJ267" s="18">
        <f t="shared" si="62"/>
        <v>0</v>
      </c>
      <c r="AK267" s="18">
        <f t="shared" si="62"/>
        <v>0</v>
      </c>
      <c r="AL267" s="18">
        <f t="shared" si="62"/>
        <v>0</v>
      </c>
      <c r="AM267" s="18">
        <f t="shared" si="62"/>
        <v>0</v>
      </c>
      <c r="AN267" s="18">
        <f t="shared" si="62"/>
        <v>1</v>
      </c>
      <c r="AO267" s="18">
        <f t="shared" si="62"/>
        <v>0</v>
      </c>
      <c r="AQ267" s="28" t="str">
        <f t="shared" si="59"/>
        <v xml:space="preserve">    0xB100,  // u</v>
      </c>
    </row>
    <row r="268" spans="1:43" ht="18.75" x14ac:dyDescent="0.3">
      <c r="A268" s="6"/>
      <c r="B268" s="16">
        <v>246</v>
      </c>
      <c r="C268" s="19" t="str">
        <f t="shared" si="56"/>
        <v>F6</v>
      </c>
      <c r="D268" s="24" t="s">
        <v>125</v>
      </c>
      <c r="E268" s="21">
        <v>0</v>
      </c>
      <c r="F268" s="21">
        <v>0</v>
      </c>
      <c r="G268" s="21">
        <v>0</v>
      </c>
      <c r="H268" s="21">
        <v>1</v>
      </c>
      <c r="I268" s="21">
        <v>1</v>
      </c>
      <c r="J268" s="21">
        <v>1</v>
      </c>
      <c r="K268" s="21">
        <v>0</v>
      </c>
      <c r="L268" s="21">
        <v>0</v>
      </c>
      <c r="M268" s="21">
        <v>1</v>
      </c>
      <c r="N268" s="21">
        <v>0</v>
      </c>
      <c r="O268" s="21">
        <v>0</v>
      </c>
      <c r="P268" s="21">
        <v>0</v>
      </c>
      <c r="Q268" s="21">
        <v>0</v>
      </c>
      <c r="R268" s="21">
        <v>0</v>
      </c>
      <c r="S268" s="21">
        <v>0</v>
      </c>
      <c r="T268" s="21">
        <v>1</v>
      </c>
      <c r="U268" s="22">
        <f t="shared" si="57"/>
        <v>44288</v>
      </c>
      <c r="V268" s="19" t="str">
        <f t="shared" si="58"/>
        <v>AD00</v>
      </c>
      <c r="W268" s="7"/>
      <c r="X268" s="23">
        <v>44288</v>
      </c>
      <c r="Y268" s="19" t="str">
        <f t="shared" si="55"/>
        <v>AD00</v>
      </c>
      <c r="Z268" s="18">
        <f t="shared" si="63"/>
        <v>0</v>
      </c>
      <c r="AA268" s="18">
        <f t="shared" si="62"/>
        <v>0</v>
      </c>
      <c r="AB268" s="18">
        <f t="shared" si="62"/>
        <v>0</v>
      </c>
      <c r="AC268" s="18">
        <f t="shared" si="62"/>
        <v>1</v>
      </c>
      <c r="AD268" s="18">
        <f t="shared" si="62"/>
        <v>1</v>
      </c>
      <c r="AE268" s="18">
        <f t="shared" si="62"/>
        <v>1</v>
      </c>
      <c r="AF268" s="18">
        <f t="shared" si="62"/>
        <v>0</v>
      </c>
      <c r="AG268" s="18">
        <f t="shared" si="62"/>
        <v>0</v>
      </c>
      <c r="AH268" s="18">
        <f t="shared" si="62"/>
        <v>1</v>
      </c>
      <c r="AI268" s="18">
        <f t="shared" si="62"/>
        <v>0</v>
      </c>
      <c r="AJ268" s="18">
        <f t="shared" si="62"/>
        <v>0</v>
      </c>
      <c r="AK268" s="18">
        <f t="shared" si="62"/>
        <v>0</v>
      </c>
      <c r="AL268" s="18">
        <f t="shared" si="62"/>
        <v>0</v>
      </c>
      <c r="AM268" s="18">
        <f t="shared" si="62"/>
        <v>0</v>
      </c>
      <c r="AN268" s="18">
        <f t="shared" si="62"/>
        <v>0</v>
      </c>
      <c r="AO268" s="18">
        <f t="shared" si="62"/>
        <v>1</v>
      </c>
      <c r="AQ268" s="28" t="str">
        <f t="shared" si="59"/>
        <v xml:space="preserve">    0xAD00,  // v</v>
      </c>
    </row>
    <row r="269" spans="1:43" ht="18.75" x14ac:dyDescent="0.3">
      <c r="A269" s="6"/>
      <c r="B269" s="16">
        <v>247</v>
      </c>
      <c r="C269" s="19" t="str">
        <f t="shared" si="56"/>
        <v>F7</v>
      </c>
      <c r="D269" s="24" t="s">
        <v>126</v>
      </c>
      <c r="E269" s="21">
        <v>0</v>
      </c>
      <c r="F269" s="21">
        <v>0</v>
      </c>
      <c r="G269" s="21">
        <v>0</v>
      </c>
      <c r="H269" s="21">
        <v>1</v>
      </c>
      <c r="I269" s="21">
        <v>1</v>
      </c>
      <c r="J269" s="21">
        <v>1</v>
      </c>
      <c r="K269" s="21">
        <v>1</v>
      </c>
      <c r="L269" s="21">
        <v>0</v>
      </c>
      <c r="M269" s="21">
        <v>0</v>
      </c>
      <c r="N269" s="21">
        <v>0</v>
      </c>
      <c r="O269" s="21">
        <v>0</v>
      </c>
      <c r="P269" s="21">
        <v>0</v>
      </c>
      <c r="Q269" s="21">
        <v>0</v>
      </c>
      <c r="R269" s="21">
        <v>0</v>
      </c>
      <c r="S269" s="21">
        <v>1</v>
      </c>
      <c r="T269" s="21">
        <v>0</v>
      </c>
      <c r="U269" s="22">
        <f t="shared" si="57"/>
        <v>46592</v>
      </c>
      <c r="V269" s="19" t="str">
        <f t="shared" si="58"/>
        <v>B600</v>
      </c>
      <c r="W269" s="7"/>
      <c r="X269" s="23">
        <v>46592</v>
      </c>
      <c r="Y269" s="19" t="str">
        <f t="shared" si="55"/>
        <v>B600</v>
      </c>
      <c r="Z269" s="18">
        <f t="shared" si="63"/>
        <v>0</v>
      </c>
      <c r="AA269" s="18">
        <f t="shared" si="62"/>
        <v>0</v>
      </c>
      <c r="AB269" s="18">
        <f t="shared" si="62"/>
        <v>0</v>
      </c>
      <c r="AC269" s="18">
        <f t="shared" si="62"/>
        <v>1</v>
      </c>
      <c r="AD269" s="18">
        <f t="shared" si="62"/>
        <v>1</v>
      </c>
      <c r="AE269" s="18">
        <f t="shared" si="62"/>
        <v>1</v>
      </c>
      <c r="AF269" s="18">
        <f t="shared" si="62"/>
        <v>1</v>
      </c>
      <c r="AG269" s="18">
        <f t="shared" si="62"/>
        <v>0</v>
      </c>
      <c r="AH269" s="18">
        <f t="shared" si="62"/>
        <v>0</v>
      </c>
      <c r="AI269" s="18">
        <f t="shared" si="62"/>
        <v>0</v>
      </c>
      <c r="AJ269" s="18">
        <f t="shared" si="62"/>
        <v>0</v>
      </c>
      <c r="AK269" s="18">
        <f t="shared" si="62"/>
        <v>0</v>
      </c>
      <c r="AL269" s="18">
        <f t="shared" si="62"/>
        <v>0</v>
      </c>
      <c r="AM269" s="18">
        <f t="shared" si="62"/>
        <v>0</v>
      </c>
      <c r="AN269" s="18">
        <f t="shared" si="62"/>
        <v>1</v>
      </c>
      <c r="AO269" s="18">
        <f t="shared" si="62"/>
        <v>0</v>
      </c>
      <c r="AQ269" s="28" t="str">
        <f t="shared" si="59"/>
        <v xml:space="preserve">    0xB600,  // w</v>
      </c>
    </row>
    <row r="270" spans="1:43" ht="18.75" x14ac:dyDescent="0.3">
      <c r="A270" s="6"/>
      <c r="B270" s="16">
        <v>248</v>
      </c>
      <c r="C270" s="19" t="str">
        <f t="shared" si="56"/>
        <v>F8</v>
      </c>
      <c r="D270" s="24" t="s">
        <v>127</v>
      </c>
      <c r="E270" s="21">
        <v>0</v>
      </c>
      <c r="F270" s="21">
        <v>0</v>
      </c>
      <c r="G270" s="21">
        <v>0</v>
      </c>
      <c r="H270" s="21">
        <v>0</v>
      </c>
      <c r="I270" s="21">
        <v>1</v>
      </c>
      <c r="J270" s="21">
        <v>1</v>
      </c>
      <c r="K270" s="21">
        <v>0</v>
      </c>
      <c r="L270" s="21">
        <v>0</v>
      </c>
      <c r="M270" s="21">
        <v>1</v>
      </c>
      <c r="N270" s="21">
        <v>1</v>
      </c>
      <c r="O270" s="21">
        <v>0</v>
      </c>
      <c r="P270" s="21">
        <v>0</v>
      </c>
      <c r="Q270" s="21">
        <v>0</v>
      </c>
      <c r="R270" s="21">
        <v>0</v>
      </c>
      <c r="S270" s="21">
        <v>1</v>
      </c>
      <c r="T270" s="21">
        <v>0</v>
      </c>
      <c r="U270" s="22">
        <f t="shared" si="57"/>
        <v>13696</v>
      </c>
      <c r="V270" s="19" t="str">
        <f t="shared" si="58"/>
        <v>3580</v>
      </c>
      <c r="W270" s="7"/>
      <c r="X270" s="23">
        <v>13696</v>
      </c>
      <c r="Y270" s="19" t="str">
        <f t="shared" si="55"/>
        <v>3580</v>
      </c>
      <c r="Z270" s="18">
        <f t="shared" si="63"/>
        <v>0</v>
      </c>
      <c r="AA270" s="18">
        <f t="shared" si="62"/>
        <v>0</v>
      </c>
      <c r="AB270" s="18">
        <f t="shared" si="62"/>
        <v>0</v>
      </c>
      <c r="AC270" s="18">
        <f t="shared" si="62"/>
        <v>0</v>
      </c>
      <c r="AD270" s="18">
        <f t="shared" si="62"/>
        <v>1</v>
      </c>
      <c r="AE270" s="18">
        <f t="shared" si="62"/>
        <v>1</v>
      </c>
      <c r="AF270" s="18">
        <f t="shared" si="62"/>
        <v>0</v>
      </c>
      <c r="AG270" s="18">
        <f t="shared" si="62"/>
        <v>0</v>
      </c>
      <c r="AH270" s="18">
        <f t="shared" si="62"/>
        <v>1</v>
      </c>
      <c r="AI270" s="18">
        <f t="shared" si="62"/>
        <v>1</v>
      </c>
      <c r="AJ270" s="18">
        <f t="shared" si="62"/>
        <v>0</v>
      </c>
      <c r="AK270" s="18">
        <f t="shared" si="62"/>
        <v>0</v>
      </c>
      <c r="AL270" s="18">
        <f t="shared" si="62"/>
        <v>0</v>
      </c>
      <c r="AM270" s="18">
        <f t="shared" si="62"/>
        <v>0</v>
      </c>
      <c r="AN270" s="18">
        <f t="shared" si="62"/>
        <v>1</v>
      </c>
      <c r="AO270" s="18">
        <f t="shared" si="62"/>
        <v>0</v>
      </c>
      <c r="AQ270" s="28" t="str">
        <f t="shared" si="59"/>
        <v xml:space="preserve">    0x3580,  // x</v>
      </c>
    </row>
    <row r="271" spans="1:43" ht="18.75" x14ac:dyDescent="0.3">
      <c r="A271" s="6"/>
      <c r="B271" s="16">
        <v>249</v>
      </c>
      <c r="C271" s="19" t="str">
        <f t="shared" si="56"/>
        <v>F9</v>
      </c>
      <c r="D271" s="24" t="s">
        <v>128</v>
      </c>
      <c r="E271" s="21">
        <v>0</v>
      </c>
      <c r="F271" s="21">
        <v>0</v>
      </c>
      <c r="G271" s="21">
        <v>1</v>
      </c>
      <c r="H271" s="21">
        <v>1</v>
      </c>
      <c r="I271" s="21">
        <v>1</v>
      </c>
      <c r="J271" s="21">
        <v>1</v>
      </c>
      <c r="K271" s="21">
        <v>0</v>
      </c>
      <c r="L271" s="21">
        <v>0</v>
      </c>
      <c r="M271" s="21">
        <v>0</v>
      </c>
      <c r="N271" s="21">
        <v>1</v>
      </c>
      <c r="O271" s="21">
        <v>0</v>
      </c>
      <c r="P271" s="21">
        <v>1</v>
      </c>
      <c r="Q271" s="21">
        <v>0</v>
      </c>
      <c r="R271" s="21">
        <v>0</v>
      </c>
      <c r="S271" s="21">
        <v>0</v>
      </c>
      <c r="T271" s="21">
        <v>0</v>
      </c>
      <c r="U271" s="22">
        <f t="shared" si="57"/>
        <v>42184</v>
      </c>
      <c r="V271" s="19" t="str">
        <f t="shared" si="58"/>
        <v>A4C8</v>
      </c>
      <c r="W271" s="7"/>
      <c r="X271" s="23">
        <v>42184</v>
      </c>
      <c r="Y271" s="19" t="str">
        <f t="shared" si="55"/>
        <v>A4C8</v>
      </c>
      <c r="Z271" s="18">
        <f t="shared" si="63"/>
        <v>0</v>
      </c>
      <c r="AA271" s="18">
        <f t="shared" si="62"/>
        <v>0</v>
      </c>
      <c r="AB271" s="18">
        <f t="shared" si="62"/>
        <v>1</v>
      </c>
      <c r="AC271" s="18">
        <f t="shared" si="62"/>
        <v>1</v>
      </c>
      <c r="AD271" s="18">
        <f t="shared" si="62"/>
        <v>1</v>
      </c>
      <c r="AE271" s="18">
        <f t="shared" si="62"/>
        <v>1</v>
      </c>
      <c r="AF271" s="18">
        <f t="shared" si="62"/>
        <v>0</v>
      </c>
      <c r="AG271" s="18">
        <f t="shared" si="62"/>
        <v>0</v>
      </c>
      <c r="AH271" s="18">
        <f t="shared" si="62"/>
        <v>0</v>
      </c>
      <c r="AI271" s="18">
        <f t="shared" si="62"/>
        <v>1</v>
      </c>
      <c r="AJ271" s="18">
        <f t="shared" si="62"/>
        <v>0</v>
      </c>
      <c r="AK271" s="18">
        <f t="shared" si="62"/>
        <v>1</v>
      </c>
      <c r="AL271" s="18">
        <f t="shared" si="62"/>
        <v>0</v>
      </c>
      <c r="AM271" s="18">
        <f t="shared" si="62"/>
        <v>0</v>
      </c>
      <c r="AN271" s="18">
        <f t="shared" si="62"/>
        <v>0</v>
      </c>
      <c r="AO271" s="18">
        <f t="shared" si="62"/>
        <v>0</v>
      </c>
      <c r="AQ271" s="28" t="str">
        <f t="shared" si="59"/>
        <v xml:space="preserve">    0xA4C8,  // y</v>
      </c>
    </row>
    <row r="272" spans="1:43" ht="18.75" x14ac:dyDescent="0.3">
      <c r="A272" s="6"/>
      <c r="B272" s="16">
        <v>250</v>
      </c>
      <c r="C272" s="19" t="str">
        <f t="shared" si="56"/>
        <v>FA</v>
      </c>
      <c r="D272" s="24" t="s">
        <v>129</v>
      </c>
      <c r="E272" s="21">
        <v>0</v>
      </c>
      <c r="F272" s="21">
        <v>1</v>
      </c>
      <c r="G272" s="21">
        <v>0</v>
      </c>
      <c r="H272" s="21">
        <v>1</v>
      </c>
      <c r="I272" s="21">
        <v>1</v>
      </c>
      <c r="J272" s="21">
        <v>1</v>
      </c>
      <c r="K272" s="21">
        <v>0</v>
      </c>
      <c r="L272" s="21">
        <v>0</v>
      </c>
      <c r="M272" s="21">
        <v>0</v>
      </c>
      <c r="N272" s="21">
        <v>1</v>
      </c>
      <c r="O272" s="21">
        <v>0</v>
      </c>
      <c r="P272" s="21">
        <v>0</v>
      </c>
      <c r="Q272" s="21">
        <v>1</v>
      </c>
      <c r="R272" s="21">
        <v>0</v>
      </c>
      <c r="S272" s="21">
        <v>0</v>
      </c>
      <c r="T272" s="21">
        <v>0</v>
      </c>
      <c r="U272" s="22">
        <f t="shared" si="57"/>
        <v>42160</v>
      </c>
      <c r="V272" s="19" t="str">
        <f t="shared" si="58"/>
        <v>A4B0</v>
      </c>
      <c r="W272" s="7"/>
      <c r="X272" s="23">
        <v>42160</v>
      </c>
      <c r="Y272" s="19" t="str">
        <f t="shared" si="55"/>
        <v>A4B0</v>
      </c>
      <c r="Z272" s="18">
        <f t="shared" si="63"/>
        <v>0</v>
      </c>
      <c r="AA272" s="18">
        <f t="shared" si="62"/>
        <v>1</v>
      </c>
      <c r="AB272" s="18">
        <f t="shared" si="62"/>
        <v>0</v>
      </c>
      <c r="AC272" s="18">
        <f t="shared" si="62"/>
        <v>1</v>
      </c>
      <c r="AD272" s="18">
        <f t="shared" si="62"/>
        <v>1</v>
      </c>
      <c r="AE272" s="18">
        <f t="shared" si="62"/>
        <v>1</v>
      </c>
      <c r="AF272" s="18">
        <f t="shared" si="62"/>
        <v>0</v>
      </c>
      <c r="AG272" s="18">
        <f t="shared" si="62"/>
        <v>0</v>
      </c>
      <c r="AH272" s="18">
        <f t="shared" si="62"/>
        <v>0</v>
      </c>
      <c r="AI272" s="18">
        <f t="shared" si="62"/>
        <v>1</v>
      </c>
      <c r="AJ272" s="18">
        <f t="shared" si="62"/>
        <v>0</v>
      </c>
      <c r="AK272" s="18">
        <f t="shared" si="62"/>
        <v>0</v>
      </c>
      <c r="AL272" s="18">
        <f t="shared" si="62"/>
        <v>1</v>
      </c>
      <c r="AM272" s="18">
        <f t="shared" si="62"/>
        <v>0</v>
      </c>
      <c r="AN272" s="18">
        <f t="shared" si="62"/>
        <v>0</v>
      </c>
      <c r="AO272" s="18">
        <f t="shared" ref="AA272:AO277" si="64">IF(_xlfn.BITAND($X272,AO$19)=0,0,1)</f>
        <v>0</v>
      </c>
      <c r="AQ272" s="28" t="str">
        <f t="shared" si="59"/>
        <v xml:space="preserve">    0xA4B0,  // z</v>
      </c>
    </row>
    <row r="273" spans="1:43" ht="18.75" x14ac:dyDescent="0.3">
      <c r="A273" s="6"/>
      <c r="B273" s="16">
        <v>251</v>
      </c>
      <c r="C273" s="19" t="str">
        <f t="shared" si="56"/>
        <v>FB</v>
      </c>
      <c r="D273" s="24" t="s">
        <v>130</v>
      </c>
      <c r="E273" s="21">
        <v>1</v>
      </c>
      <c r="F273" s="21">
        <v>1</v>
      </c>
      <c r="G273" s="21">
        <v>0</v>
      </c>
      <c r="H273" s="21">
        <v>0</v>
      </c>
      <c r="I273" s="21">
        <v>1</v>
      </c>
      <c r="J273" s="21">
        <v>1</v>
      </c>
      <c r="K273" s="21">
        <v>0</v>
      </c>
      <c r="L273" s="21">
        <v>0</v>
      </c>
      <c r="M273" s="21">
        <v>1</v>
      </c>
      <c r="N273" s="21">
        <v>0</v>
      </c>
      <c r="O273" s="21">
        <v>1</v>
      </c>
      <c r="P273" s="21">
        <v>0</v>
      </c>
      <c r="Q273" s="21">
        <v>0</v>
      </c>
      <c r="R273" s="21">
        <v>0</v>
      </c>
      <c r="S273" s="21">
        <v>0</v>
      </c>
      <c r="T273" s="21">
        <v>1</v>
      </c>
      <c r="U273" s="22">
        <f t="shared" si="57"/>
        <v>11558</v>
      </c>
      <c r="V273" s="19" t="str">
        <f t="shared" si="58"/>
        <v>2D26</v>
      </c>
      <c r="W273" s="7"/>
      <c r="X273" s="23">
        <v>11558</v>
      </c>
      <c r="Y273" s="19" t="str">
        <f t="shared" si="55"/>
        <v>2D26</v>
      </c>
      <c r="Z273" s="18">
        <f t="shared" si="63"/>
        <v>1</v>
      </c>
      <c r="AA273" s="18">
        <f t="shared" si="64"/>
        <v>1</v>
      </c>
      <c r="AB273" s="18">
        <f t="shared" si="64"/>
        <v>0</v>
      </c>
      <c r="AC273" s="18">
        <f t="shared" si="64"/>
        <v>0</v>
      </c>
      <c r="AD273" s="18">
        <f t="shared" si="64"/>
        <v>1</v>
      </c>
      <c r="AE273" s="18">
        <f t="shared" si="64"/>
        <v>1</v>
      </c>
      <c r="AF273" s="18">
        <f t="shared" si="64"/>
        <v>0</v>
      </c>
      <c r="AG273" s="18">
        <f t="shared" si="64"/>
        <v>0</v>
      </c>
      <c r="AH273" s="18">
        <f t="shared" si="64"/>
        <v>1</v>
      </c>
      <c r="AI273" s="18">
        <f t="shared" si="64"/>
        <v>0</v>
      </c>
      <c r="AJ273" s="18">
        <f t="shared" si="64"/>
        <v>1</v>
      </c>
      <c r="AK273" s="18">
        <f t="shared" si="64"/>
        <v>0</v>
      </c>
      <c r="AL273" s="18">
        <f t="shared" si="64"/>
        <v>0</v>
      </c>
      <c r="AM273" s="18">
        <f t="shared" si="64"/>
        <v>0</v>
      </c>
      <c r="AN273" s="18">
        <f t="shared" si="64"/>
        <v>0</v>
      </c>
      <c r="AO273" s="18">
        <f t="shared" si="64"/>
        <v>1</v>
      </c>
      <c r="AQ273" s="28" t="str">
        <f t="shared" si="59"/>
        <v xml:space="preserve">    0x2D26,  // {</v>
      </c>
    </row>
    <row r="274" spans="1:43" ht="18.75" x14ac:dyDescent="0.3">
      <c r="A274" s="6"/>
      <c r="B274" s="16">
        <v>252</v>
      </c>
      <c r="C274" s="19" t="str">
        <f t="shared" si="56"/>
        <v>FC</v>
      </c>
      <c r="D274" s="24" t="s">
        <v>131</v>
      </c>
      <c r="E274" s="21">
        <v>0</v>
      </c>
      <c r="F274" s="21">
        <v>0</v>
      </c>
      <c r="G274" s="21">
        <v>1</v>
      </c>
      <c r="H274" s="21">
        <v>1</v>
      </c>
      <c r="I274" s="21">
        <v>0</v>
      </c>
      <c r="J274" s="21">
        <v>0</v>
      </c>
      <c r="K274" s="21">
        <v>1</v>
      </c>
      <c r="L274" s="21">
        <v>1</v>
      </c>
      <c r="M274" s="21">
        <v>0</v>
      </c>
      <c r="N274" s="21">
        <v>0</v>
      </c>
      <c r="O274" s="21">
        <v>0</v>
      </c>
      <c r="P274" s="21">
        <v>1</v>
      </c>
      <c r="Q274" s="21">
        <v>0</v>
      </c>
      <c r="R274" s="21">
        <v>0</v>
      </c>
      <c r="S274" s="21">
        <v>1</v>
      </c>
      <c r="T274" s="21">
        <v>0</v>
      </c>
      <c r="U274" s="22">
        <f t="shared" si="57"/>
        <v>37449</v>
      </c>
      <c r="V274" s="19" t="str">
        <f t="shared" si="58"/>
        <v>9249</v>
      </c>
      <c r="W274" s="7"/>
      <c r="X274" s="23">
        <v>37449</v>
      </c>
      <c r="Y274" s="19" t="str">
        <f t="shared" si="55"/>
        <v>9249</v>
      </c>
      <c r="Z274" s="18">
        <f t="shared" si="63"/>
        <v>0</v>
      </c>
      <c r="AA274" s="18">
        <f t="shared" si="64"/>
        <v>0</v>
      </c>
      <c r="AB274" s="18">
        <f t="shared" si="64"/>
        <v>1</v>
      </c>
      <c r="AC274" s="18">
        <f t="shared" si="64"/>
        <v>1</v>
      </c>
      <c r="AD274" s="18">
        <f t="shared" si="64"/>
        <v>0</v>
      </c>
      <c r="AE274" s="18">
        <f t="shared" si="64"/>
        <v>0</v>
      </c>
      <c r="AF274" s="18">
        <f t="shared" si="64"/>
        <v>1</v>
      </c>
      <c r="AG274" s="18">
        <f t="shared" si="64"/>
        <v>1</v>
      </c>
      <c r="AH274" s="18">
        <f t="shared" si="64"/>
        <v>0</v>
      </c>
      <c r="AI274" s="18">
        <f t="shared" si="64"/>
        <v>0</v>
      </c>
      <c r="AJ274" s="18">
        <f t="shared" si="64"/>
        <v>0</v>
      </c>
      <c r="AK274" s="18">
        <f t="shared" si="64"/>
        <v>1</v>
      </c>
      <c r="AL274" s="18">
        <f t="shared" si="64"/>
        <v>0</v>
      </c>
      <c r="AM274" s="18">
        <f t="shared" si="64"/>
        <v>0</v>
      </c>
      <c r="AN274" s="18">
        <f t="shared" si="64"/>
        <v>1</v>
      </c>
      <c r="AO274" s="18">
        <f t="shared" si="64"/>
        <v>0</v>
      </c>
      <c r="AQ274" s="28" t="str">
        <f t="shared" si="59"/>
        <v xml:space="preserve">    0x9249,  // |</v>
      </c>
    </row>
    <row r="275" spans="1:43" ht="18.75" x14ac:dyDescent="0.3">
      <c r="A275" s="6"/>
      <c r="B275" s="16">
        <v>253</v>
      </c>
      <c r="C275" s="19" t="str">
        <f t="shared" si="56"/>
        <v>FD</v>
      </c>
      <c r="D275" s="24" t="s">
        <v>132</v>
      </c>
      <c r="E275" s="21">
        <v>1</v>
      </c>
      <c r="F275" s="21">
        <v>1</v>
      </c>
      <c r="G275" s="21">
        <v>0</v>
      </c>
      <c r="H275" s="21">
        <v>0</v>
      </c>
      <c r="I275" s="21">
        <v>1</v>
      </c>
      <c r="J275" s="21">
        <v>1</v>
      </c>
      <c r="K275" s="21">
        <v>0</v>
      </c>
      <c r="L275" s="21">
        <v>0</v>
      </c>
      <c r="M275" s="21">
        <v>0</v>
      </c>
      <c r="N275" s="21">
        <v>1</v>
      </c>
      <c r="O275" s="21">
        <v>0</v>
      </c>
      <c r="P275" s="21">
        <v>0</v>
      </c>
      <c r="Q275" s="21">
        <v>1</v>
      </c>
      <c r="R275" s="21">
        <v>1</v>
      </c>
      <c r="S275" s="21">
        <v>0</v>
      </c>
      <c r="T275" s="21">
        <v>0</v>
      </c>
      <c r="U275" s="22">
        <f t="shared" si="57"/>
        <v>25780</v>
      </c>
      <c r="V275" s="19" t="str">
        <f t="shared" si="58"/>
        <v>64B4</v>
      </c>
      <c r="W275" s="7"/>
      <c r="X275" s="23">
        <v>25780</v>
      </c>
      <c r="Y275" s="19" t="str">
        <f t="shared" si="55"/>
        <v>64B4</v>
      </c>
      <c r="Z275" s="18">
        <f t="shared" si="63"/>
        <v>1</v>
      </c>
      <c r="AA275" s="18">
        <f t="shared" si="64"/>
        <v>1</v>
      </c>
      <c r="AB275" s="18">
        <f t="shared" si="64"/>
        <v>0</v>
      </c>
      <c r="AC275" s="18">
        <f t="shared" si="64"/>
        <v>0</v>
      </c>
      <c r="AD275" s="18">
        <f t="shared" si="64"/>
        <v>1</v>
      </c>
      <c r="AE275" s="18">
        <f t="shared" si="64"/>
        <v>1</v>
      </c>
      <c r="AF275" s="18">
        <f t="shared" si="64"/>
        <v>0</v>
      </c>
      <c r="AG275" s="18">
        <f t="shared" si="64"/>
        <v>0</v>
      </c>
      <c r="AH275" s="18">
        <f t="shared" si="64"/>
        <v>0</v>
      </c>
      <c r="AI275" s="18">
        <f t="shared" si="64"/>
        <v>1</v>
      </c>
      <c r="AJ275" s="18">
        <f t="shared" si="64"/>
        <v>0</v>
      </c>
      <c r="AK275" s="18">
        <f t="shared" si="64"/>
        <v>0</v>
      </c>
      <c r="AL275" s="18">
        <f t="shared" si="64"/>
        <v>1</v>
      </c>
      <c r="AM275" s="18">
        <f t="shared" si="64"/>
        <v>1</v>
      </c>
      <c r="AN275" s="18">
        <f t="shared" si="64"/>
        <v>0</v>
      </c>
      <c r="AO275" s="18">
        <f t="shared" si="64"/>
        <v>0</v>
      </c>
      <c r="AQ275" s="28" t="str">
        <f t="shared" si="59"/>
        <v xml:space="preserve">    0x64B4,  // }</v>
      </c>
    </row>
    <row r="276" spans="1:43" ht="18.75" x14ac:dyDescent="0.3">
      <c r="A276" s="6"/>
      <c r="B276" s="16">
        <v>254</v>
      </c>
      <c r="C276" s="19" t="str">
        <f t="shared" si="56"/>
        <v>FE</v>
      </c>
      <c r="D276" s="24" t="s">
        <v>133</v>
      </c>
      <c r="E276" s="21">
        <v>1</v>
      </c>
      <c r="F276" s="21">
        <v>0</v>
      </c>
      <c r="G276" s="21">
        <v>1</v>
      </c>
      <c r="H276" s="21">
        <v>0</v>
      </c>
      <c r="I276" s="21">
        <v>0</v>
      </c>
      <c r="J276" s="21">
        <v>0</v>
      </c>
      <c r="K276" s="21">
        <v>0</v>
      </c>
      <c r="L276" s="21">
        <v>1</v>
      </c>
      <c r="M276" s="21">
        <v>0</v>
      </c>
      <c r="N276" s="21">
        <v>1</v>
      </c>
      <c r="O276" s="21">
        <v>0</v>
      </c>
      <c r="P276" s="21">
        <v>1</v>
      </c>
      <c r="Q276" s="21">
        <v>0</v>
      </c>
      <c r="R276" s="21">
        <v>0</v>
      </c>
      <c r="S276" s="21">
        <v>0</v>
      </c>
      <c r="T276" s="21">
        <v>0</v>
      </c>
      <c r="U276" s="22">
        <f t="shared" si="57"/>
        <v>205</v>
      </c>
      <c r="V276" s="19" t="str">
        <f t="shared" si="58"/>
        <v>00CD</v>
      </c>
      <c r="W276" s="7"/>
      <c r="X276" s="23">
        <v>205</v>
      </c>
      <c r="Y276" s="19" t="str">
        <f t="shared" si="55"/>
        <v>00CD</v>
      </c>
      <c r="Z276" s="18">
        <f t="shared" si="63"/>
        <v>1</v>
      </c>
      <c r="AA276" s="18">
        <f t="shared" si="64"/>
        <v>0</v>
      </c>
      <c r="AB276" s="18">
        <f t="shared" si="64"/>
        <v>1</v>
      </c>
      <c r="AC276" s="18">
        <f t="shared" si="64"/>
        <v>0</v>
      </c>
      <c r="AD276" s="18">
        <f t="shared" si="64"/>
        <v>0</v>
      </c>
      <c r="AE276" s="18">
        <f t="shared" si="64"/>
        <v>0</v>
      </c>
      <c r="AF276" s="18">
        <f t="shared" si="64"/>
        <v>0</v>
      </c>
      <c r="AG276" s="18">
        <f t="shared" si="64"/>
        <v>1</v>
      </c>
      <c r="AH276" s="18">
        <f t="shared" si="64"/>
        <v>0</v>
      </c>
      <c r="AI276" s="18">
        <f t="shared" si="64"/>
        <v>1</v>
      </c>
      <c r="AJ276" s="18">
        <f t="shared" si="64"/>
        <v>0</v>
      </c>
      <c r="AK276" s="18">
        <f t="shared" si="64"/>
        <v>1</v>
      </c>
      <c r="AL276" s="18">
        <f t="shared" si="64"/>
        <v>0</v>
      </c>
      <c r="AM276" s="18">
        <f t="shared" si="64"/>
        <v>0</v>
      </c>
      <c r="AN276" s="18">
        <f t="shared" si="64"/>
        <v>0</v>
      </c>
      <c r="AO276" s="18">
        <f t="shared" si="64"/>
        <v>0</v>
      </c>
      <c r="AQ276" s="28" t="str">
        <f t="shared" si="59"/>
        <v xml:space="preserve">    0x00CD,  // ~</v>
      </c>
    </row>
    <row r="277" spans="1:43" ht="18.75" x14ac:dyDescent="0.3">
      <c r="A277" s="6"/>
      <c r="B277" s="16">
        <v>255</v>
      </c>
      <c r="C277" s="19" t="str">
        <f t="shared" si="56"/>
        <v>FF</v>
      </c>
      <c r="D277" s="24" t="s">
        <v>168</v>
      </c>
      <c r="E277" s="21">
        <v>0</v>
      </c>
      <c r="F277" s="21">
        <v>0</v>
      </c>
      <c r="G277" s="21">
        <v>0</v>
      </c>
      <c r="H277" s="21">
        <v>0</v>
      </c>
      <c r="I277" s="21">
        <v>0</v>
      </c>
      <c r="J277" s="21">
        <v>0</v>
      </c>
      <c r="K277" s="21">
        <v>0</v>
      </c>
      <c r="L277" s="21">
        <v>0</v>
      </c>
      <c r="M277" s="21">
        <v>1</v>
      </c>
      <c r="N277" s="21">
        <v>1</v>
      </c>
      <c r="O277" s="21">
        <v>1</v>
      </c>
      <c r="P277" s="21">
        <v>1</v>
      </c>
      <c r="Q277" s="21">
        <v>1</v>
      </c>
      <c r="R277" s="21">
        <v>1</v>
      </c>
      <c r="S277" s="21">
        <v>1</v>
      </c>
      <c r="T277" s="21">
        <v>1</v>
      </c>
      <c r="U277" s="22">
        <f t="shared" si="57"/>
        <v>22938</v>
      </c>
      <c r="V277" s="19" t="str">
        <f t="shared" si="58"/>
        <v>599A</v>
      </c>
      <c r="W277" s="7"/>
      <c r="X277" s="23">
        <v>22938</v>
      </c>
      <c r="Y277" s="19" t="str">
        <f t="shared" si="55"/>
        <v>599A</v>
      </c>
      <c r="Z277" s="18">
        <f t="shared" si="63"/>
        <v>0</v>
      </c>
      <c r="AA277" s="18">
        <f t="shared" si="64"/>
        <v>0</v>
      </c>
      <c r="AB277" s="18">
        <f t="shared" si="64"/>
        <v>0</v>
      </c>
      <c r="AC277" s="18">
        <f t="shared" si="64"/>
        <v>0</v>
      </c>
      <c r="AD277" s="18">
        <f t="shared" si="64"/>
        <v>0</v>
      </c>
      <c r="AE277" s="18">
        <f t="shared" si="64"/>
        <v>0</v>
      </c>
      <c r="AF277" s="18">
        <f t="shared" si="64"/>
        <v>0</v>
      </c>
      <c r="AG277" s="18">
        <f t="shared" si="64"/>
        <v>0</v>
      </c>
      <c r="AH277" s="18">
        <f t="shared" si="64"/>
        <v>1</v>
      </c>
      <c r="AI277" s="18">
        <f t="shared" si="64"/>
        <v>1</v>
      </c>
      <c r="AJ277" s="18">
        <f t="shared" si="64"/>
        <v>1</v>
      </c>
      <c r="AK277" s="18">
        <f t="shared" si="64"/>
        <v>1</v>
      </c>
      <c r="AL277" s="18">
        <f t="shared" si="64"/>
        <v>1</v>
      </c>
      <c r="AM277" s="18">
        <f t="shared" si="64"/>
        <v>1</v>
      </c>
      <c r="AN277" s="18">
        <f t="shared" si="64"/>
        <v>1</v>
      </c>
      <c r="AO277" s="18">
        <f t="shared" si="64"/>
        <v>1</v>
      </c>
      <c r="AQ277" s="28" t="str">
        <f t="shared" si="59"/>
        <v xml:space="preserve">    0x599A,  // &lt;del&gt;</v>
      </c>
    </row>
  </sheetData>
  <phoneticPr fontId="1"/>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486F-525D-4C27-B205-7D038F270ABB}">
  <sheetPr codeName="Sheet3">
    <pageSetUpPr fitToPage="1"/>
  </sheetPr>
  <dimension ref="B3"/>
  <sheetViews>
    <sheetView showGridLines="0" zoomScale="20" zoomScaleNormal="20" workbookViewId="0">
      <selection activeCell="A2" sqref="A2"/>
    </sheetView>
  </sheetViews>
  <sheetFormatPr defaultRowHeight="13.5" x14ac:dyDescent="0.15"/>
  <sheetData>
    <row r="3" spans="2:2" ht="34.5" x14ac:dyDescent="0.6">
      <c r="B3" s="27" t="s">
        <v>166</v>
      </c>
    </row>
  </sheetData>
  <phoneticPr fontId="1"/>
  <pageMargins left="0.7" right="0.7" top="0.75" bottom="0.75" header="0.3" footer="0.3"/>
  <pageSetup paperSize="9" scale="17"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CBB7C-25A1-43AE-9C5B-891D3E6AA439}">
  <sheetPr codeName="Sheet4"/>
  <dimension ref="A1:Q52"/>
  <sheetViews>
    <sheetView topLeftCell="A23" workbookViewId="0">
      <selection activeCell="B52" sqref="B52"/>
    </sheetView>
  </sheetViews>
  <sheetFormatPr defaultRowHeight="13.5" x14ac:dyDescent="0.15"/>
  <sheetData>
    <row r="1" spans="1:17" ht="18" x14ac:dyDescent="0.3">
      <c r="A1" s="29"/>
      <c r="B1" s="29">
        <v>0</v>
      </c>
      <c r="C1" s="29">
        <v>1</v>
      </c>
      <c r="D1" s="29">
        <v>2</v>
      </c>
      <c r="E1" s="29">
        <v>3</v>
      </c>
      <c r="F1" s="29">
        <v>4</v>
      </c>
      <c r="G1" s="29">
        <v>5</v>
      </c>
      <c r="H1" s="29">
        <v>6</v>
      </c>
      <c r="I1" s="29">
        <v>7</v>
      </c>
      <c r="J1" s="29">
        <v>8</v>
      </c>
      <c r="K1" s="29">
        <v>9</v>
      </c>
      <c r="L1" s="29">
        <v>10</v>
      </c>
      <c r="M1" s="29">
        <v>11</v>
      </c>
      <c r="N1" s="29">
        <v>12</v>
      </c>
      <c r="O1" s="29">
        <v>13</v>
      </c>
      <c r="P1" s="29">
        <v>14</v>
      </c>
      <c r="Q1" s="29">
        <v>15</v>
      </c>
    </row>
    <row r="2" spans="1:17" ht="18" x14ac:dyDescent="0.3">
      <c r="A2" s="29">
        <v>0</v>
      </c>
      <c r="B2" s="29">
        <f ca="1">OFFSET(font_edit!$U$22,$A2*16+B$1,0)</f>
        <v>42605</v>
      </c>
      <c r="C2" s="29">
        <f ca="1">OFFSET(font_edit!$U$22,$A2*16+C$1,0)</f>
        <v>42621</v>
      </c>
      <c r="D2" s="29">
        <f ca="1">OFFSET(font_edit!$U$22,$A2*16+D$1,0)</f>
        <v>42733</v>
      </c>
      <c r="E2" s="29">
        <f ca="1">OFFSET(font_edit!$U$22,$A2*16+E$1,0)</f>
        <v>58989</v>
      </c>
      <c r="F2" s="29">
        <f ca="1">OFFSET(font_edit!$U$22,$A2*16+F$1,0)</f>
        <v>46701</v>
      </c>
      <c r="G2" s="29">
        <f ca="1">OFFSET(font_edit!$U$22,$A2*16+G$1,0)</f>
        <v>44653</v>
      </c>
      <c r="H2" s="29">
        <f ca="1">OFFSET(font_edit!$U$22,$A2*16+H$1,0)</f>
        <v>42861</v>
      </c>
      <c r="I2" s="29">
        <f ca="1">OFFSET(font_edit!$U$22,$A2*16+I$1,0)</f>
        <v>42607</v>
      </c>
      <c r="J2" s="29">
        <f ca="1">OFFSET(font_edit!$U$22,$A2*16+J$1,0)</f>
        <v>24</v>
      </c>
      <c r="K2" s="29">
        <f ca="1">OFFSET(font_edit!$U$22,$A2*16+K$1,0)</f>
        <v>144</v>
      </c>
      <c r="L2" s="29">
        <f ca="1">OFFSET(font_edit!$U$22,$A2*16+L$1,0)</f>
        <v>16512</v>
      </c>
      <c r="M2" s="29">
        <f ca="1">OFFSET(font_edit!$U$22,$A2*16+M$1,0)</f>
        <v>20480</v>
      </c>
      <c r="N2" s="29">
        <f ca="1">OFFSET(font_edit!$U$22,$A2*16+N$1,0)</f>
        <v>6144</v>
      </c>
      <c r="O2" s="29">
        <f ca="1">OFFSET(font_edit!$U$22,$A2*16+O$1,0)</f>
        <v>2304</v>
      </c>
      <c r="P2" s="29">
        <f ca="1">OFFSET(font_edit!$U$22,$A2*16+P$1,0)</f>
        <v>258</v>
      </c>
      <c r="Q2" s="29">
        <f ca="1">OFFSET(font_edit!$U$22,$A2*16+Q$1,0)</f>
        <v>10</v>
      </c>
    </row>
    <row r="3" spans="1:17" ht="18" x14ac:dyDescent="0.3">
      <c r="A3" s="29">
        <v>1</v>
      </c>
      <c r="B3" s="29">
        <f ca="1">OFFSET(font_edit!$U$22,$A3*16+B$1,0)</f>
        <v>23013</v>
      </c>
      <c r="C3" s="29">
        <f ca="1">OFFSET(font_edit!$U$22,$A3*16+C$1,0)</f>
        <v>20965</v>
      </c>
      <c r="D3" s="29">
        <f ca="1">OFFSET(font_edit!$U$22,$A3*16+D$1,0)</f>
        <v>18917</v>
      </c>
      <c r="E3" s="29">
        <f ca="1">OFFSET(font_edit!$U$22,$A3*16+E$1,0)</f>
        <v>6629</v>
      </c>
      <c r="F3" s="29">
        <f ca="1">OFFSET(font_edit!$U$22,$A3*16+F$1,0)</f>
        <v>42906</v>
      </c>
      <c r="G3" s="29">
        <f ca="1">OFFSET(font_edit!$U$22,$A3*16+G$1,0)</f>
        <v>42904</v>
      </c>
      <c r="H3" s="29">
        <f ca="1">OFFSET(font_edit!$U$22,$A3*16+H$1,0)</f>
        <v>42898</v>
      </c>
      <c r="I3" s="29">
        <f ca="1">OFFSET(font_edit!$U$22,$A3*16+I$1,0)</f>
        <v>42890</v>
      </c>
      <c r="J3" s="29">
        <f ca="1">OFFSET(font_edit!$U$22,$A3*16+J$1,0)</f>
        <v>28105</v>
      </c>
      <c r="K3" s="29">
        <f ca="1">OFFSET(font_edit!$U$22,$A3*16+K$1,0)</f>
        <v>27739</v>
      </c>
      <c r="L3" s="29">
        <f ca="1">OFFSET(font_edit!$U$22,$A3*16+L$1,0)</f>
        <v>28115</v>
      </c>
      <c r="M3" s="29">
        <f ca="1">OFFSET(font_edit!$U$22,$A3*16+M$1,0)</f>
        <v>52150</v>
      </c>
      <c r="N3" s="29">
        <f ca="1">OFFSET(font_edit!$U$22,$A3*16+N$1,0)</f>
        <v>2160</v>
      </c>
      <c r="O3" s="29">
        <f ca="1">OFFSET(font_edit!$U$22,$A3*16+O$1,0)</f>
        <v>57346</v>
      </c>
      <c r="P3" s="29">
        <f ca="1">OFFSET(font_edit!$U$22,$A3*16+P$1,0)</f>
        <v>3600</v>
      </c>
      <c r="Q3" s="29">
        <f ca="1">OFFSET(font_edit!$U$22,$A3*16+Q$1,0)</f>
        <v>16391</v>
      </c>
    </row>
    <row r="4" spans="1:17" ht="18" x14ac:dyDescent="0.3">
      <c r="A4" s="29">
        <v>2</v>
      </c>
      <c r="B4" s="29">
        <f ca="1">OFFSET(font_edit!$U$22,$A4*16+B$1,0)</f>
        <v>0</v>
      </c>
      <c r="C4" s="29">
        <f ca="1">OFFSET(font_edit!$U$22,$A4*16+C$1,0)</f>
        <v>1040</v>
      </c>
      <c r="D4" s="29">
        <f ca="1">OFFSET(font_edit!$U$22,$A4*16+D$1,0)</f>
        <v>72</v>
      </c>
      <c r="E4" s="29">
        <f ca="1">OFFSET(font_edit!$U$22,$A4*16+E$1,0)</f>
        <v>46536</v>
      </c>
      <c r="F4" s="29">
        <f ca="1">OFFSET(font_edit!$U$22,$A4*16+F$1,0)</f>
        <v>46509</v>
      </c>
      <c r="G4" s="29">
        <f ca="1">OFFSET(font_edit!$U$22,$A4*16+G$1,0)</f>
        <v>47517</v>
      </c>
      <c r="H4" s="29">
        <f ca="1">OFFSET(font_edit!$U$22,$A4*16+H$1,0)</f>
        <v>59190</v>
      </c>
      <c r="I4" s="29">
        <f ca="1">OFFSET(font_edit!$U$22,$A4*16+I$1,0)</f>
        <v>16</v>
      </c>
      <c r="J4" s="29">
        <f ca="1">OFFSET(font_edit!$U$22,$A4*16+J$1,0)</f>
        <v>28728</v>
      </c>
      <c r="K4" s="29">
        <f ca="1">OFFSET(font_edit!$U$22,$A4*16+K$1,0)</f>
        <v>7182</v>
      </c>
      <c r="L4" s="29">
        <f ca="1">OFFSET(font_edit!$U$22,$A4*16+L$1,0)</f>
        <v>22554</v>
      </c>
      <c r="M4" s="29">
        <f ca="1">OFFSET(font_edit!$U$22,$A4*16+M$1,0)</f>
        <v>4488</v>
      </c>
      <c r="N4" s="29">
        <f ca="1">OFFSET(font_edit!$U$22,$A4*16+N$1,0)</f>
        <v>5120</v>
      </c>
      <c r="O4" s="29">
        <f ca="1">OFFSET(font_edit!$U$22,$A4*16+O$1,0)</f>
        <v>384</v>
      </c>
      <c r="P4" s="29">
        <f ca="1">OFFSET(font_edit!$U$22,$A4*16+P$1,0)</f>
        <v>1024</v>
      </c>
      <c r="Q4" s="29">
        <f ca="1">OFFSET(font_edit!$U$22,$A4*16+Q$1,0)</f>
        <v>2064</v>
      </c>
    </row>
    <row r="5" spans="1:17" ht="18" x14ac:dyDescent="0.3">
      <c r="A5" s="29">
        <v>3</v>
      </c>
      <c r="B5" s="29">
        <f ca="1">OFFSET(font_edit!$U$22,$A5*16+B$1,0)</f>
        <v>42597</v>
      </c>
      <c r="C5" s="29">
        <f ca="1">OFFSET(font_edit!$U$22,$A5*16+C$1,0)</f>
        <v>32832</v>
      </c>
      <c r="D5" s="29">
        <f ca="1">OFFSET(font_edit!$U$22,$A5*16+D$1,0)</f>
        <v>10212</v>
      </c>
      <c r="E5" s="29">
        <f ca="1">OFFSET(font_edit!$U$22,$A5*16+E$1,0)</f>
        <v>42468</v>
      </c>
      <c r="F5" s="29">
        <f ca="1">OFFSET(font_edit!$U$22,$A5*16+F$1,0)</f>
        <v>33217</v>
      </c>
      <c r="G5" s="29">
        <f ca="1">OFFSET(font_edit!$U$22,$A5*16+G$1,0)</f>
        <v>42405</v>
      </c>
      <c r="H5" s="29">
        <f ca="1">OFFSET(font_edit!$U$22,$A5*16+H$1,0)</f>
        <v>42917</v>
      </c>
      <c r="I5" s="29">
        <f ca="1">OFFSET(font_edit!$U$22,$A5*16+I$1,0)</f>
        <v>32869</v>
      </c>
      <c r="J5" s="29">
        <f ca="1">OFFSET(font_edit!$U$22,$A5*16+J$1,0)</f>
        <v>42981</v>
      </c>
      <c r="K5" s="29">
        <f ca="1">OFFSET(font_edit!$U$22,$A5*16+K$1,0)</f>
        <v>42469</v>
      </c>
      <c r="L5" s="29">
        <f ca="1">OFFSET(font_edit!$U$22,$A5*16+L$1,0)</f>
        <v>1028</v>
      </c>
      <c r="M5" s="29">
        <f ca="1">OFFSET(font_edit!$U$22,$A5*16+M$1,0)</f>
        <v>5124</v>
      </c>
      <c r="N5" s="29">
        <f ca="1">OFFSET(font_edit!$U$22,$A5*16+N$1,0)</f>
        <v>16400</v>
      </c>
      <c r="O5" s="29">
        <f ca="1">OFFSET(font_edit!$U$22,$A5*16+O$1,0)</f>
        <v>9600</v>
      </c>
      <c r="P5" s="29">
        <f ca="1">OFFSET(font_edit!$U$22,$A5*16+P$1,0)</f>
        <v>2050</v>
      </c>
      <c r="Q5" s="29">
        <f ca="1">OFFSET(font_edit!$U$22,$A5*16+Q$1,0)</f>
        <v>4325</v>
      </c>
    </row>
    <row r="6" spans="1:17" ht="18" x14ac:dyDescent="0.3">
      <c r="A6" s="29">
        <v>4</v>
      </c>
      <c r="B6" s="29">
        <f ca="1">OFFSET(font_edit!$U$22,$A6*16+B$1,0)</f>
        <v>55140</v>
      </c>
      <c r="C6" s="29">
        <f ca="1">OFFSET(font_edit!$U$22,$A6*16+C$1,0)</f>
        <v>33765</v>
      </c>
      <c r="D6" s="29">
        <f ca="1">OFFSET(font_edit!$U$22,$A6*16+D$1,0)</f>
        <v>46316</v>
      </c>
      <c r="E6" s="29">
        <f ca="1">OFFSET(font_edit!$U$22,$A6*16+E$1,0)</f>
        <v>9765</v>
      </c>
      <c r="F6" s="29">
        <f ca="1">OFFSET(font_edit!$U$22,$A6*16+F$1,0)</f>
        <v>46188</v>
      </c>
      <c r="G6" s="29">
        <f ca="1">OFFSET(font_edit!$U$22,$A6*16+G$1,0)</f>
        <v>10149</v>
      </c>
      <c r="H6" s="29">
        <f ca="1">OFFSET(font_edit!$U$22,$A6*16+H$1,0)</f>
        <v>933</v>
      </c>
      <c r="I6" s="29">
        <f ca="1">OFFSET(font_edit!$U$22,$A6*16+I$1,0)</f>
        <v>42661</v>
      </c>
      <c r="J6" s="29">
        <f ca="1">OFFSET(font_edit!$U$22,$A6*16+J$1,0)</f>
        <v>33729</v>
      </c>
      <c r="K6" s="29">
        <f ca="1">OFFSET(font_edit!$U$22,$A6*16+K$1,0)</f>
        <v>13356</v>
      </c>
      <c r="L6" s="29">
        <f ca="1">OFFSET(font_edit!$U$22,$A6*16+L$1,0)</f>
        <v>42048</v>
      </c>
      <c r="M6" s="29">
        <f ca="1">OFFSET(font_edit!$U$22,$A6*16+M$1,0)</f>
        <v>17169</v>
      </c>
      <c r="N6" s="29">
        <f ca="1">OFFSET(font_edit!$U$22,$A6*16+N$1,0)</f>
        <v>9729</v>
      </c>
      <c r="O6" s="29">
        <f ca="1">OFFSET(font_edit!$U$22,$A6*16+O$1,0)</f>
        <v>33363</v>
      </c>
      <c r="P6" s="29">
        <f ca="1">OFFSET(font_edit!$U$22,$A6*16+P$1,0)</f>
        <v>49731</v>
      </c>
      <c r="Q6" s="29">
        <f ca="1">OFFSET(font_edit!$U$22,$A6*16+Q$1,0)</f>
        <v>42613</v>
      </c>
    </row>
    <row r="7" spans="1:17" ht="18" x14ac:dyDescent="0.3">
      <c r="A7" s="29">
        <v>5</v>
      </c>
      <c r="B7" s="29">
        <f ca="1">OFFSET(font_edit!$U$22,$A7*16+B$1,0)</f>
        <v>997</v>
      </c>
      <c r="C7" s="29">
        <f ca="1">OFFSET(font_edit!$U$22,$A7*16+C$1,0)</f>
        <v>58981</v>
      </c>
      <c r="D7" s="29">
        <f ca="1">OFFSET(font_edit!$U$22,$A7*16+D$1,0)</f>
        <v>17381</v>
      </c>
      <c r="E7" s="29">
        <f ca="1">OFFSET(font_edit!$U$22,$A7*16+E$1,0)</f>
        <v>25638</v>
      </c>
      <c r="F7" s="29">
        <f ca="1">OFFSET(font_edit!$U$22,$A7*16+F$1,0)</f>
        <v>4140</v>
      </c>
      <c r="G7" s="29">
        <f ca="1">OFFSET(font_edit!$U$22,$A7*16+G$1,0)</f>
        <v>42561</v>
      </c>
      <c r="H7" s="29">
        <f ca="1">OFFSET(font_edit!$U$22,$A7*16+H$1,0)</f>
        <v>2577</v>
      </c>
      <c r="I7" s="29">
        <f ca="1">OFFSET(font_edit!$U$22,$A7*16+I$1,0)</f>
        <v>51777</v>
      </c>
      <c r="J7" s="29">
        <f ca="1">OFFSET(font_edit!$U$22,$A7*16+J$1,0)</f>
        <v>18450</v>
      </c>
      <c r="K7" s="29">
        <f ca="1">OFFSET(font_edit!$U$22,$A7*16+K$1,0)</f>
        <v>4114</v>
      </c>
      <c r="L7" s="29">
        <f ca="1">OFFSET(font_edit!$U$22,$A7*16+L$1,0)</f>
        <v>11316</v>
      </c>
      <c r="M7" s="29">
        <f ca="1">OFFSET(font_edit!$U$22,$A7*16+M$1,0)</f>
        <v>12328</v>
      </c>
      <c r="N7" s="29">
        <f ca="1">OFFSET(font_edit!$U$22,$A7*16+N$1,0)</f>
        <v>4498</v>
      </c>
      <c r="O7" s="29">
        <f ca="1">OFFSET(font_edit!$U$22,$A7*16+O$1,0)</f>
        <v>5132</v>
      </c>
      <c r="P7" s="29">
        <f ca="1">OFFSET(font_edit!$U$22,$A7*16+P$1,0)</f>
        <v>80</v>
      </c>
      <c r="Q7" s="29">
        <f ca="1">OFFSET(font_edit!$U$22,$A7*16+Q$1,0)</f>
        <v>9216</v>
      </c>
    </row>
    <row r="8" spans="1:17" ht="18" x14ac:dyDescent="0.3">
      <c r="A8" s="29">
        <v>6</v>
      </c>
      <c r="B8" s="29">
        <f ca="1">OFFSET(font_edit!$U$22,$A8*16+B$1,0)</f>
        <v>2</v>
      </c>
      <c r="C8" s="29">
        <f ca="1">OFFSET(font_edit!$U$22,$A8*16+C$1,0)</f>
        <v>59136</v>
      </c>
      <c r="D8" s="29">
        <f ca="1">OFFSET(font_edit!$U$22,$A8*16+D$1,0)</f>
        <v>42881</v>
      </c>
      <c r="E8" s="29">
        <f ca="1">OFFSET(font_edit!$U$22,$A8*16+E$1,0)</f>
        <v>10112</v>
      </c>
      <c r="F8" s="29">
        <f ca="1">OFFSET(font_edit!$U$22,$A8*16+F$1,0)</f>
        <v>42944</v>
      </c>
      <c r="G8" s="29">
        <f ca="1">OFFSET(font_edit!$U$22,$A8*16+G$1,0)</f>
        <v>12032</v>
      </c>
      <c r="H8" s="29">
        <f ca="1">OFFSET(font_edit!$U$22,$A8*16+H$1,0)</f>
        <v>4520</v>
      </c>
      <c r="I8" s="29">
        <f ca="1">OFFSET(font_edit!$U$22,$A8*16+I$1,0)</f>
        <v>58496</v>
      </c>
      <c r="J8" s="29">
        <f ca="1">OFFSET(font_edit!$U$22,$A8*16+J$1,0)</f>
        <v>33665</v>
      </c>
      <c r="K8" s="29">
        <f ca="1">OFFSET(font_edit!$U$22,$A8*16+K$1,0)</f>
        <v>13572</v>
      </c>
      <c r="L8" s="29">
        <f ca="1">OFFSET(font_edit!$U$22,$A8*16+L$1,0)</f>
        <v>42144</v>
      </c>
      <c r="M8" s="29">
        <f ca="1">OFFSET(font_edit!$U$22,$A8*16+M$1,0)</f>
        <v>17281</v>
      </c>
      <c r="N8" s="29">
        <f ca="1">OFFSET(font_edit!$U$22,$A8*16+N$1,0)</f>
        <v>13324</v>
      </c>
      <c r="O8" s="29">
        <f ca="1">OFFSET(font_edit!$U$22,$A8*16+O$1,0)</f>
        <v>37760</v>
      </c>
      <c r="P8" s="29">
        <f ca="1">OFFSET(font_edit!$U$22,$A8*16+P$1,0)</f>
        <v>33664</v>
      </c>
      <c r="Q8" s="29">
        <f ca="1">OFFSET(font_edit!$U$22,$A8*16+Q$1,0)</f>
        <v>42880</v>
      </c>
    </row>
    <row r="9" spans="1:17" ht="18" x14ac:dyDescent="0.3">
      <c r="A9" s="29">
        <v>7</v>
      </c>
      <c r="B9" s="29">
        <f ca="1">OFFSET(font_edit!$U$22,$A9*16+B$1,0)</f>
        <v>781</v>
      </c>
      <c r="C9" s="29">
        <f ca="1">OFFSET(font_edit!$U$22,$A9*16+C$1,0)</f>
        <v>12557</v>
      </c>
      <c r="D9" s="29">
        <f ca="1">OFFSET(font_edit!$U$22,$A9*16+D$1,0)</f>
        <v>896</v>
      </c>
      <c r="E9" s="29">
        <f ca="1">OFFSET(font_edit!$U$22,$A9*16+E$1,0)</f>
        <v>25728</v>
      </c>
      <c r="F9" s="29">
        <f ca="1">OFFSET(font_edit!$U$22,$A9*16+F$1,0)</f>
        <v>12680</v>
      </c>
      <c r="G9" s="29">
        <f ca="1">OFFSET(font_edit!$U$22,$A9*16+G$1,0)</f>
        <v>42496</v>
      </c>
      <c r="H9" s="29">
        <f ca="1">OFFSET(font_edit!$U$22,$A9*16+H$1,0)</f>
        <v>2688</v>
      </c>
      <c r="I9" s="29">
        <f ca="1">OFFSET(font_edit!$U$22,$A9*16+I$1,0)</f>
        <v>51712</v>
      </c>
      <c r="J9" s="29">
        <f ca="1">OFFSET(font_edit!$U$22,$A9*16+J$1,0)</f>
        <v>18816</v>
      </c>
      <c r="K9" s="29">
        <f ca="1">OFFSET(font_edit!$U$22,$A9*16+K$1,0)</f>
        <v>58624</v>
      </c>
      <c r="L9" s="29">
        <f ca="1">OFFSET(font_edit!$U$22,$A9*16+L$1,0)</f>
        <v>11520</v>
      </c>
      <c r="M9" s="29">
        <f ca="1">OFFSET(font_edit!$U$22,$A9*16+M$1,0)</f>
        <v>12584</v>
      </c>
      <c r="N9" s="29">
        <f ca="1">OFFSET(font_edit!$U$22,$A9*16+N$1,0)</f>
        <v>4104</v>
      </c>
      <c r="O9" s="29">
        <f ca="1">OFFSET(font_edit!$U$22,$A9*16+O$1,0)</f>
        <v>5260</v>
      </c>
      <c r="P9" s="29">
        <f ca="1">OFFSET(font_edit!$U$22,$A9*16+P$1,0)</f>
        <v>19</v>
      </c>
      <c r="Q9" s="29">
        <f ca="1">OFFSET(font_edit!$U$22,$A9*16+Q$1,0)</f>
        <v>65535</v>
      </c>
    </row>
    <row r="10" spans="1:17" ht="18" x14ac:dyDescent="0.3">
      <c r="A10" s="29">
        <v>8</v>
      </c>
      <c r="B10" s="29">
        <f ca="1">OFFSET(font_edit!$U$22,$A10*16+B$1,0)</f>
        <v>32</v>
      </c>
      <c r="C10" s="29">
        <f ca="1">OFFSET(font_edit!$U$22,$A10*16+C$1,0)</f>
        <v>64</v>
      </c>
      <c r="D10" s="29">
        <f ca="1">OFFSET(font_edit!$U$22,$A10*16+D$1,0)</f>
        <v>32768</v>
      </c>
      <c r="E10" s="29">
        <f ca="1">OFFSET(font_edit!$U$22,$A10*16+E$1,0)</f>
        <v>8192</v>
      </c>
      <c r="F10" s="29">
        <f ca="1">OFFSET(font_edit!$U$22,$A10*16+F$1,0)</f>
        <v>1024</v>
      </c>
      <c r="G10" s="29">
        <f ca="1">OFFSET(font_edit!$U$22,$A10*16+G$1,0)</f>
        <v>512</v>
      </c>
      <c r="H10" s="29">
        <f ca="1">OFFSET(font_edit!$U$22,$A10*16+H$1,0)</f>
        <v>1</v>
      </c>
      <c r="I10" s="29">
        <f ca="1">OFFSET(font_edit!$U$22,$A10*16+I$1,0)</f>
        <v>4</v>
      </c>
      <c r="J10" s="29">
        <f ca="1">OFFSET(font_edit!$U$22,$A10*16+J$1,0)</f>
        <v>12</v>
      </c>
      <c r="K10" s="29">
        <f ca="1">OFFSET(font_edit!$U$22,$A10*16+K$1,0)</f>
        <v>48</v>
      </c>
      <c r="L10" s="29">
        <f ca="1">OFFSET(font_edit!$U$22,$A10*16+L$1,0)</f>
        <v>192</v>
      </c>
      <c r="M10" s="29">
        <f ca="1">OFFSET(font_edit!$U$22,$A10*16+M$1,0)</f>
        <v>49152</v>
      </c>
      <c r="N10" s="29">
        <f ca="1">OFFSET(font_edit!$U$22,$A10*16+N$1,0)</f>
        <v>12288</v>
      </c>
      <c r="O10" s="29">
        <f ca="1">OFFSET(font_edit!$U$22,$A10*16+O$1,0)</f>
        <v>3072</v>
      </c>
      <c r="P10" s="29">
        <f ca="1">OFFSET(font_edit!$U$22,$A10*16+P$1,0)</f>
        <v>768</v>
      </c>
      <c r="Q10" s="29">
        <f ca="1">OFFSET(font_edit!$U$22,$A10*16+Q$1,0)</f>
        <v>3</v>
      </c>
    </row>
    <row r="11" spans="1:17" ht="18" x14ac:dyDescent="0.3">
      <c r="A11" s="29">
        <v>9</v>
      </c>
      <c r="B11" s="29">
        <f ca="1">OFFSET(font_edit!$U$22,$A11*16+B$1,0)</f>
        <v>28040</v>
      </c>
      <c r="C11" s="29">
        <f ca="1">OFFSET(font_edit!$U$22,$A11*16+C$1,0)</f>
        <v>28050</v>
      </c>
      <c r="D11" s="29">
        <f ca="1">OFFSET(font_edit!$U$22,$A11*16+D$1,0)</f>
        <v>27674</v>
      </c>
      <c r="E11" s="29">
        <f ca="1">OFFSET(font_edit!$U$22,$A11*16+E$1,0)</f>
        <v>27656</v>
      </c>
      <c r="F11" s="29">
        <f ca="1">OFFSET(font_edit!$U$22,$A11*16+F$1,0)</f>
        <v>2486</v>
      </c>
      <c r="G11" s="29">
        <f ca="1">OFFSET(font_edit!$U$22,$A11*16+G$1,0)</f>
        <v>4534</v>
      </c>
      <c r="H11" s="29">
        <f ca="1">OFFSET(font_edit!$U$22,$A11*16+H$1,0)</f>
        <v>16822</v>
      </c>
      <c r="I11" s="29">
        <f ca="1">OFFSET(font_edit!$U$22,$A11*16+I$1,0)</f>
        <v>18870</v>
      </c>
      <c r="J11" s="29">
        <f ca="1">OFFSET(font_edit!$U$22,$A11*16+J$1,0)</f>
        <v>27648</v>
      </c>
      <c r="K11" s="29">
        <f ca="1">OFFSET(font_edit!$U$22,$A11*16+K$1,0)</f>
        <v>54</v>
      </c>
      <c r="L11" s="29">
        <f ca="1">OFFSET(font_edit!$U$22,$A11*16+L$1,0)</f>
        <v>18816</v>
      </c>
      <c r="M11" s="29">
        <f ca="1">OFFSET(font_edit!$U$22,$A11*16+M$1,0)</f>
        <v>402</v>
      </c>
      <c r="N11" s="29">
        <f ca="1">OFFSET(font_edit!$U$22,$A11*16+N$1,0)</f>
        <v>6632</v>
      </c>
      <c r="O11" s="29">
        <f ca="1">OFFSET(font_edit!$U$22,$A11*16+O$1,0)</f>
        <v>45450</v>
      </c>
      <c r="P11" s="29">
        <f ca="1">OFFSET(font_edit!$U$22,$A11*16+P$1,0)</f>
        <v>6040</v>
      </c>
      <c r="Q11" s="29">
        <f ca="1">OFFSET(font_edit!$U$22,$A11*16+Q$1,0)</f>
        <v>20877</v>
      </c>
    </row>
    <row r="12" spans="1:17" ht="18" x14ac:dyDescent="0.3">
      <c r="A12" s="29">
        <v>10</v>
      </c>
      <c r="B12" s="29">
        <f ca="1">OFFSET(font_edit!$U$22,$A12*16+B$1,0)</f>
        <v>8192</v>
      </c>
      <c r="C12" s="29">
        <f ca="1">OFFSET(font_edit!$U$22,$A12*16+C$1,0)</f>
        <v>2104</v>
      </c>
      <c r="D12" s="29">
        <f ca="1">OFFSET(font_edit!$U$22,$A12*16+D$1,0)</f>
        <v>9</v>
      </c>
      <c r="E12" s="29">
        <f ca="1">OFFSET(font_edit!$U$22,$A12*16+E$1,0)</f>
        <v>5037</v>
      </c>
      <c r="F12" s="29">
        <f ca="1">OFFSET(font_edit!$U$22,$A12*16+F$1,0)</f>
        <v>46254</v>
      </c>
      <c r="G12" s="29">
        <f ca="1">OFFSET(font_edit!$U$22,$A12*16+G$1,0)</f>
        <v>51603</v>
      </c>
      <c r="H12" s="29">
        <f ca="1">OFFSET(font_edit!$U$22,$A12*16+H$1,0)</f>
        <v>60430</v>
      </c>
      <c r="I12" s="29">
        <f ca="1">OFFSET(font_edit!$U$22,$A12*16+I$1,0)</f>
        <v>8</v>
      </c>
      <c r="J12" s="29">
        <f ca="1">OFFSET(font_edit!$U$22,$A12*16+J$1,0)</f>
        <v>26165</v>
      </c>
      <c r="K12" s="29">
        <f ca="1">OFFSET(font_edit!$U$22,$A12*16+K$1,0)</f>
        <v>44134</v>
      </c>
      <c r="L12" s="29">
        <f ca="1">OFFSET(font_edit!$U$22,$A12*16+L$1,0)</f>
        <v>18834</v>
      </c>
      <c r="M12" s="29">
        <f ca="1">OFFSET(font_edit!$U$22,$A12*16+M$1,0)</f>
        <v>13260</v>
      </c>
      <c r="N12" s="29">
        <f ca="1">OFFSET(font_edit!$U$22,$A12*16+N$1,0)</f>
        <v>4352</v>
      </c>
      <c r="O12" s="29">
        <f ca="1">OFFSET(font_edit!$U$22,$A12*16+O$1,0)</f>
        <v>16770</v>
      </c>
      <c r="P12" s="29">
        <f ca="1">OFFSET(font_edit!$U$22,$A12*16+P$1,0)</f>
        <v>5888</v>
      </c>
      <c r="Q12" s="29">
        <f ca="1">OFFSET(font_edit!$U$22,$A12*16+Q$1,0)</f>
        <v>2448</v>
      </c>
    </row>
    <row r="13" spans="1:17" ht="18" x14ac:dyDescent="0.3">
      <c r="A13" s="29">
        <v>11</v>
      </c>
      <c r="B13" s="29">
        <f ca="1">OFFSET(font_edit!$U$22,$A13*16+B$1,0)</f>
        <v>44661</v>
      </c>
      <c r="C13" s="29">
        <f ca="1">OFFSET(font_edit!$U$22,$A13*16+C$1,0)</f>
        <v>32848</v>
      </c>
      <c r="D13" s="29">
        <f ca="1">OFFSET(font_edit!$U$22,$A13*16+D$1,0)</f>
        <v>11488</v>
      </c>
      <c r="E13" s="29">
        <f ca="1">OFFSET(font_edit!$U$22,$A13*16+E$1,0)</f>
        <v>42208</v>
      </c>
      <c r="F13" s="29">
        <f ca="1">OFFSET(font_edit!$U$22,$A13*16+F$1,0)</f>
        <v>4489</v>
      </c>
      <c r="G13" s="29">
        <f ca="1">OFFSET(font_edit!$U$22,$A13*16+G$1,0)</f>
        <v>25861</v>
      </c>
      <c r="H13" s="29">
        <f ca="1">OFFSET(font_edit!$U$22,$A13*16+H$1,0)</f>
        <v>26373</v>
      </c>
      <c r="I13" s="29">
        <f ca="1">OFFSET(font_edit!$U$22,$A13*16+I$1,0)</f>
        <v>4148</v>
      </c>
      <c r="J13" s="29">
        <f ca="1">OFFSET(font_edit!$U$22,$A13*16+J$1,0)</f>
        <v>42934</v>
      </c>
      <c r="K13" s="29">
        <f ca="1">OFFSET(font_edit!$U$22,$A13*16+K$1,0)</f>
        <v>41190</v>
      </c>
      <c r="L13" s="29">
        <f ca="1">OFFSET(font_edit!$U$22,$A13*16+L$1,0)</f>
        <v>260</v>
      </c>
      <c r="M13" s="29">
        <f ca="1">OFFSET(font_edit!$U$22,$A13*16+M$1,0)</f>
        <v>4356</v>
      </c>
      <c r="N13" s="29">
        <f ca="1">OFFSET(font_edit!$U$22,$A13*16+N$1,0)</f>
        <v>16656</v>
      </c>
      <c r="O13" s="29">
        <f ca="1">OFFSET(font_edit!$U$22,$A13*16+O$1,0)</f>
        <v>420</v>
      </c>
      <c r="P13" s="29">
        <f ca="1">OFFSET(font_edit!$U$22,$A13*16+P$1,0)</f>
        <v>2178</v>
      </c>
      <c r="Q13" s="29">
        <f ca="1">OFFSET(font_edit!$U$22,$A13*16+Q$1,0)</f>
        <v>2276</v>
      </c>
    </row>
    <row r="14" spans="1:17" ht="18" x14ac:dyDescent="0.3">
      <c r="A14" s="29">
        <v>12</v>
      </c>
      <c r="B14" s="29">
        <f ca="1">OFFSET(font_edit!$U$22,$A14*16+B$1,0)</f>
        <v>46944</v>
      </c>
      <c r="C14" s="29">
        <f ca="1">OFFSET(font_edit!$U$22,$A14*16+C$1,0)</f>
        <v>33768</v>
      </c>
      <c r="D14" s="29">
        <f ca="1">OFFSET(font_edit!$U$22,$A14*16+D$1,0)</f>
        <v>42893</v>
      </c>
      <c r="E14" s="29">
        <f ca="1">OFFSET(font_edit!$U$22,$A14*16+E$1,0)</f>
        <v>42509</v>
      </c>
      <c r="F14" s="29">
        <f ca="1">OFFSET(font_edit!$U$22,$A14*16+F$1,0)</f>
        <v>46444</v>
      </c>
      <c r="G14" s="29">
        <f ca="1">OFFSET(font_edit!$U$22,$A14*16+G$1,0)</f>
        <v>11430</v>
      </c>
      <c r="H14" s="29">
        <f ca="1">OFFSET(font_edit!$U$22,$A14*16+H$1,0)</f>
        <v>2214</v>
      </c>
      <c r="I14" s="29">
        <f ca="1">OFFSET(font_edit!$U$22,$A14*16+I$1,0)</f>
        <v>26245</v>
      </c>
      <c r="J14" s="29">
        <f ca="1">OFFSET(font_edit!$U$22,$A14*16+J$1,0)</f>
        <v>35272</v>
      </c>
      <c r="K14" s="29">
        <f ca="1">OFFSET(font_edit!$U$22,$A14*16+K$1,0)</f>
        <v>46124</v>
      </c>
      <c r="L14" s="29">
        <f ca="1">OFFSET(font_edit!$U$22,$A14*16+L$1,0)</f>
        <v>44128</v>
      </c>
      <c r="M14" s="29">
        <f ca="1">OFFSET(font_edit!$U$22,$A14*16+M$1,0)</f>
        <v>34962</v>
      </c>
      <c r="N14" s="29">
        <f ca="1">OFFSET(font_edit!$U$22,$A14*16+N$1,0)</f>
        <v>44072</v>
      </c>
      <c r="O14" s="29">
        <f ca="1">OFFSET(font_edit!$U$22,$A14*16+O$1,0)</f>
        <v>37485</v>
      </c>
      <c r="P14" s="29">
        <f ca="1">OFFSET(font_edit!$U$22,$A14*16+P$1,0)</f>
        <v>45645</v>
      </c>
      <c r="Q14" s="29">
        <f ca="1">OFFSET(font_edit!$U$22,$A14*16+Q$1,0)</f>
        <v>42615</v>
      </c>
    </row>
    <row r="15" spans="1:17" ht="18" x14ac:dyDescent="0.3">
      <c r="A15" s="29">
        <v>13</v>
      </c>
      <c r="B15" s="29">
        <f ca="1">OFFSET(font_edit!$U$22,$A15*16+B$1,0)</f>
        <v>821</v>
      </c>
      <c r="C15" s="29">
        <f ca="1">OFFSET(font_edit!$U$22,$A15*16+C$1,0)</f>
        <v>61029</v>
      </c>
      <c r="D15" s="29">
        <f ca="1">OFFSET(font_edit!$U$22,$A15*16+D$1,0)</f>
        <v>17205</v>
      </c>
      <c r="E15" s="29">
        <f ca="1">OFFSET(font_edit!$U$22,$A15*16+E$1,0)</f>
        <v>42662</v>
      </c>
      <c r="F15" s="29">
        <f ca="1">OFFSET(font_edit!$U$22,$A15*16+F$1,0)</f>
        <v>4205</v>
      </c>
      <c r="G15" s="29">
        <f ca="1">OFFSET(font_edit!$U$22,$A15*16+G$1,0)</f>
        <v>44098</v>
      </c>
      <c r="H15" s="29">
        <f ca="1">OFFSET(font_edit!$U$22,$A15*16+H$1,0)</f>
        <v>49218</v>
      </c>
      <c r="I15" s="29">
        <f ca="1">OFFSET(font_edit!$U$22,$A15*16+I$1,0)</f>
        <v>46665</v>
      </c>
      <c r="J15" s="29">
        <f ca="1">OFFSET(font_edit!$U$22,$A15*16+J$1,0)</f>
        <v>51219</v>
      </c>
      <c r="K15" s="29">
        <f ca="1">OFFSET(font_edit!$U$22,$A15*16+K$1,0)</f>
        <v>4179</v>
      </c>
      <c r="L15" s="29">
        <f ca="1">OFFSET(font_edit!$U$22,$A15*16+L$1,0)</f>
        <v>44085</v>
      </c>
      <c r="M15" s="29">
        <f ca="1">OFFSET(font_edit!$U$22,$A15*16+M$1,0)</f>
        <v>3078</v>
      </c>
      <c r="N15" s="29">
        <f ca="1">OFFSET(font_edit!$U$22,$A15*16+N$1,0)</f>
        <v>24582</v>
      </c>
      <c r="O15" s="29">
        <f ca="1">OFFSET(font_edit!$U$22,$A15*16+O$1,0)</f>
        <v>24624</v>
      </c>
      <c r="P15" s="29">
        <f ca="1">OFFSET(font_edit!$U$22,$A15*16+P$1,0)</f>
        <v>100</v>
      </c>
      <c r="Q15" s="29">
        <f ca="1">OFFSET(font_edit!$U$22,$A15*16+Q$1,0)</f>
        <v>9728</v>
      </c>
    </row>
    <row r="16" spans="1:17" ht="18" x14ac:dyDescent="0.3">
      <c r="A16" s="29">
        <v>14</v>
      </c>
      <c r="B16" s="29">
        <f ca="1">OFFSET(font_edit!$U$22,$A16*16+B$1,0)</f>
        <v>44</v>
      </c>
      <c r="C16" s="29">
        <f ca="1">OFFSET(font_edit!$U$22,$A16*16+C$1,0)</f>
        <v>22272</v>
      </c>
      <c r="D16" s="29">
        <f ca="1">OFFSET(font_edit!$U$22,$A16*16+D$1,0)</f>
        <v>46216</v>
      </c>
      <c r="E16" s="29">
        <f ca="1">OFFSET(font_edit!$U$22,$A16*16+E$1,0)</f>
        <v>9984</v>
      </c>
      <c r="F16" s="29">
        <f ca="1">OFFSET(font_edit!$U$22,$A16*16+F$1,0)</f>
        <v>14088</v>
      </c>
      <c r="G16" s="29">
        <f ca="1">OFFSET(font_edit!$U$22,$A16*16+G$1,0)</f>
        <v>46848</v>
      </c>
      <c r="H16" s="29">
        <f ca="1">OFFSET(font_edit!$U$22,$A16*16+H$1,0)</f>
        <v>13736</v>
      </c>
      <c r="I16" s="29">
        <f ca="1">OFFSET(font_edit!$U$22,$A16*16+I$1,0)</f>
        <v>42216</v>
      </c>
      <c r="J16" s="29">
        <f ca="1">OFFSET(font_edit!$U$22,$A16*16+J$1,0)</f>
        <v>13057</v>
      </c>
      <c r="K16" s="29">
        <f ca="1">OFFSET(font_edit!$U$22,$A16*16+K$1,0)</f>
        <v>12548</v>
      </c>
      <c r="L16" s="29">
        <f ca="1">OFFSET(font_edit!$U$22,$A16*16+L$1,0)</f>
        <v>5380</v>
      </c>
      <c r="M16" s="29">
        <f ca="1">OFFSET(font_edit!$U$22,$A16*16+M$1,0)</f>
        <v>20620</v>
      </c>
      <c r="N16" s="29">
        <f ca="1">OFFSET(font_edit!$U$22,$A16*16+N$1,0)</f>
        <v>4108</v>
      </c>
      <c r="O16" s="29">
        <f ca="1">OFFSET(font_edit!$U$22,$A16*16+O$1,0)</f>
        <v>39552</v>
      </c>
      <c r="P16" s="29">
        <f ca="1">OFFSET(font_edit!$U$22,$A16*16+P$1,0)</f>
        <v>35456</v>
      </c>
      <c r="Q16" s="29">
        <f ca="1">OFFSET(font_edit!$U$22,$A16*16+Q$1,0)</f>
        <v>44160</v>
      </c>
    </row>
    <row r="17" spans="1:17" ht="18" x14ac:dyDescent="0.3">
      <c r="A17" s="29">
        <v>15</v>
      </c>
      <c r="B17" s="29">
        <f ca="1">OFFSET(font_edit!$U$22,$A17*16+B$1,0)</f>
        <v>2280</v>
      </c>
      <c r="C17" s="29">
        <f ca="1">OFFSET(font_edit!$U$22,$A17*16+C$1,0)</f>
        <v>16653</v>
      </c>
      <c r="D17" s="29">
        <f ca="1">OFFSET(font_edit!$U$22,$A17*16+D$1,0)</f>
        <v>2176</v>
      </c>
      <c r="E17" s="29">
        <f ca="1">OFFSET(font_edit!$U$22,$A17*16+E$1,0)</f>
        <v>25680</v>
      </c>
      <c r="F17" s="29">
        <f ca="1">OFFSET(font_edit!$U$22,$A17*16+F$1,0)</f>
        <v>18824</v>
      </c>
      <c r="G17" s="29">
        <f ca="1">OFFSET(font_edit!$U$22,$A17*16+G$1,0)</f>
        <v>45312</v>
      </c>
      <c r="H17" s="29">
        <f ca="1">OFFSET(font_edit!$U$22,$A17*16+H$1,0)</f>
        <v>44288</v>
      </c>
      <c r="I17" s="29">
        <f ca="1">OFFSET(font_edit!$U$22,$A17*16+I$1,0)</f>
        <v>46592</v>
      </c>
      <c r="J17" s="29">
        <f ca="1">OFFSET(font_edit!$U$22,$A17*16+J$1,0)</f>
        <v>13696</v>
      </c>
      <c r="K17" s="29">
        <f ca="1">OFFSET(font_edit!$U$22,$A17*16+K$1,0)</f>
        <v>42184</v>
      </c>
      <c r="L17" s="29">
        <f ca="1">OFFSET(font_edit!$U$22,$A17*16+L$1,0)</f>
        <v>42160</v>
      </c>
      <c r="M17" s="29">
        <f ca="1">OFFSET(font_edit!$U$22,$A17*16+M$1,0)</f>
        <v>11558</v>
      </c>
      <c r="N17" s="29">
        <f ca="1">OFFSET(font_edit!$U$22,$A17*16+N$1,0)</f>
        <v>37449</v>
      </c>
      <c r="O17" s="29">
        <f ca="1">OFFSET(font_edit!$U$22,$A17*16+O$1,0)</f>
        <v>25780</v>
      </c>
      <c r="P17" s="29">
        <f ca="1">OFFSET(font_edit!$U$22,$A17*16+P$1,0)</f>
        <v>205</v>
      </c>
      <c r="Q17" s="29">
        <f ca="1">OFFSET(font_edit!$U$22,$A17*16+Q$1,0)</f>
        <v>22938</v>
      </c>
    </row>
    <row r="18" spans="1:17" ht="18" x14ac:dyDescent="0.3">
      <c r="A18" s="29"/>
      <c r="B18" s="29"/>
      <c r="C18" s="29"/>
      <c r="D18" s="29"/>
      <c r="E18" s="29"/>
      <c r="F18" s="29"/>
      <c r="G18" s="29"/>
      <c r="H18" s="29"/>
      <c r="I18" s="29"/>
      <c r="J18" s="29"/>
      <c r="K18" s="29"/>
      <c r="L18" s="29"/>
      <c r="M18" s="29"/>
      <c r="N18" s="29"/>
      <c r="O18" s="29"/>
      <c r="P18" s="29"/>
      <c r="Q18" s="29"/>
    </row>
    <row r="19" spans="1:17" ht="18" x14ac:dyDescent="0.3">
      <c r="A19" s="29"/>
      <c r="B19" s="29" t="str">
        <f ca="1">_xlfn.CONCAT("0x",DEC2HEX(B2,4),", ")</f>
        <v xml:space="preserve">0xA66D, </v>
      </c>
      <c r="C19" s="29" t="str">
        <f t="shared" ref="C19:Q19" ca="1" si="0">_xlfn.CONCAT("0x",DEC2HEX(C2,4),", ")</f>
        <v xml:space="preserve">0xA67D, </v>
      </c>
      <c r="D19" s="29" t="str">
        <f t="shared" ca="1" si="0"/>
        <v xml:space="preserve">0xA6ED, </v>
      </c>
      <c r="E19" s="29" t="str">
        <f t="shared" ca="1" si="0"/>
        <v xml:space="preserve">0xE66D, </v>
      </c>
      <c r="F19" s="29" t="str">
        <f t="shared" ca="1" si="0"/>
        <v xml:space="preserve">0xB66D, </v>
      </c>
      <c r="G19" s="29" t="str">
        <f t="shared" ca="1" si="0"/>
        <v xml:space="preserve">0xAE6D, </v>
      </c>
      <c r="H19" s="29" t="str">
        <f t="shared" ca="1" si="0"/>
        <v xml:space="preserve">0xA76D, </v>
      </c>
      <c r="I19" s="29" t="str">
        <f t="shared" ca="1" si="0"/>
        <v xml:space="preserve">0xA66F, </v>
      </c>
      <c r="J19" s="29" t="str">
        <f t="shared" ca="1" si="0"/>
        <v xml:space="preserve">0x0018, </v>
      </c>
      <c r="K19" s="29" t="str">
        <f t="shared" ca="1" si="0"/>
        <v xml:space="preserve">0x0090, </v>
      </c>
      <c r="L19" s="29" t="str">
        <f t="shared" ca="1" si="0"/>
        <v xml:space="preserve">0x4080, </v>
      </c>
      <c r="M19" s="29" t="str">
        <f t="shared" ca="1" si="0"/>
        <v xml:space="preserve">0x5000, </v>
      </c>
      <c r="N19" s="29" t="str">
        <f t="shared" ca="1" si="0"/>
        <v xml:space="preserve">0x1800, </v>
      </c>
      <c r="O19" s="29" t="str">
        <f t="shared" ca="1" si="0"/>
        <v xml:space="preserve">0x0900, </v>
      </c>
      <c r="P19" s="29" t="str">
        <f t="shared" ca="1" si="0"/>
        <v xml:space="preserve">0x0102, </v>
      </c>
      <c r="Q19" s="29" t="str">
        <f t="shared" ca="1" si="0"/>
        <v xml:space="preserve">0x000A, </v>
      </c>
    </row>
    <row r="20" spans="1:17" ht="18" x14ac:dyDescent="0.3">
      <c r="A20" s="29"/>
      <c r="B20" s="29" t="str">
        <f t="shared" ref="B20:Q20" ca="1" si="1">_xlfn.CONCAT("0x",DEC2HEX(B3,4),", ")</f>
        <v xml:space="preserve">0x59E5, </v>
      </c>
      <c r="C20" s="29" t="str">
        <f t="shared" ca="1" si="1"/>
        <v xml:space="preserve">0x51E5, </v>
      </c>
      <c r="D20" s="29" t="str">
        <f t="shared" ca="1" si="1"/>
        <v xml:space="preserve">0x49E5, </v>
      </c>
      <c r="E20" s="29" t="str">
        <f t="shared" ca="1" si="1"/>
        <v xml:space="preserve">0x19E5, </v>
      </c>
      <c r="F20" s="29" t="str">
        <f t="shared" ca="1" si="1"/>
        <v xml:space="preserve">0xA79A, </v>
      </c>
      <c r="G20" s="29" t="str">
        <f t="shared" ca="1" si="1"/>
        <v xml:space="preserve">0xA798, </v>
      </c>
      <c r="H20" s="29" t="str">
        <f t="shared" ca="1" si="1"/>
        <v xml:space="preserve">0xA792, </v>
      </c>
      <c r="I20" s="29" t="str">
        <f t="shared" ca="1" si="1"/>
        <v xml:space="preserve">0xA78A, </v>
      </c>
      <c r="J20" s="29" t="str">
        <f t="shared" ca="1" si="1"/>
        <v xml:space="preserve">0x6DC9, </v>
      </c>
      <c r="K20" s="29" t="str">
        <f t="shared" ca="1" si="1"/>
        <v xml:space="preserve">0x6C5B, </v>
      </c>
      <c r="L20" s="29" t="str">
        <f t="shared" ca="1" si="1"/>
        <v xml:space="preserve">0x6DD3, </v>
      </c>
      <c r="M20" s="29" t="str">
        <f t="shared" ca="1" si="1"/>
        <v xml:space="preserve">0xCBB6, </v>
      </c>
      <c r="N20" s="29" t="str">
        <f t="shared" ca="1" si="1"/>
        <v xml:space="preserve">0x0870, </v>
      </c>
      <c r="O20" s="29" t="str">
        <f t="shared" ca="1" si="1"/>
        <v xml:space="preserve">0xE002, </v>
      </c>
      <c r="P20" s="29" t="str">
        <f t="shared" ca="1" si="1"/>
        <v xml:space="preserve">0x0E10, </v>
      </c>
      <c r="Q20" s="29" t="str">
        <f t="shared" ca="1" si="1"/>
        <v xml:space="preserve">0x4007, </v>
      </c>
    </row>
    <row r="21" spans="1:17" ht="18" x14ac:dyDescent="0.3">
      <c r="A21" s="29"/>
      <c r="B21" s="29" t="str">
        <f t="shared" ref="B21:Q21" ca="1" si="2">_xlfn.CONCAT("0x",DEC2HEX(B4,4),", ")</f>
        <v xml:space="preserve">0x0000, </v>
      </c>
      <c r="C21" s="29" t="str">
        <f t="shared" ca="1" si="2"/>
        <v xml:space="preserve">0x0410, </v>
      </c>
      <c r="D21" s="29" t="str">
        <f t="shared" ca="1" si="2"/>
        <v xml:space="preserve">0x0048, </v>
      </c>
      <c r="E21" s="29" t="str">
        <f t="shared" ca="1" si="2"/>
        <v xml:space="preserve">0xB5C8, </v>
      </c>
      <c r="F21" s="29" t="str">
        <f t="shared" ca="1" si="2"/>
        <v xml:space="preserve">0xB5AD, </v>
      </c>
      <c r="G21" s="29" t="str">
        <f t="shared" ca="1" si="2"/>
        <v xml:space="preserve">0xB99D, </v>
      </c>
      <c r="H21" s="29" t="str">
        <f t="shared" ca="1" si="2"/>
        <v xml:space="preserve">0xE736, </v>
      </c>
      <c r="I21" s="29" t="str">
        <f t="shared" ca="1" si="2"/>
        <v xml:space="preserve">0x0010, </v>
      </c>
      <c r="J21" s="29" t="str">
        <f t="shared" ca="1" si="2"/>
        <v xml:space="preserve">0x7038, </v>
      </c>
      <c r="K21" s="29" t="str">
        <f t="shared" ca="1" si="2"/>
        <v xml:space="preserve">0x1C0E, </v>
      </c>
      <c r="L21" s="29" t="str">
        <f t="shared" ca="1" si="2"/>
        <v xml:space="preserve">0x581A, </v>
      </c>
      <c r="M21" s="29" t="str">
        <f t="shared" ca="1" si="2"/>
        <v xml:space="preserve">0x1188, </v>
      </c>
      <c r="N21" s="29" t="str">
        <f t="shared" ca="1" si="2"/>
        <v xml:space="preserve">0x1400, </v>
      </c>
      <c r="O21" s="29" t="str">
        <f t="shared" ca="1" si="2"/>
        <v xml:space="preserve">0x0180, </v>
      </c>
      <c r="P21" s="29" t="str">
        <f t="shared" ca="1" si="2"/>
        <v xml:space="preserve">0x0400, </v>
      </c>
      <c r="Q21" s="29" t="str">
        <f t="shared" ca="1" si="2"/>
        <v xml:space="preserve">0x0810, </v>
      </c>
    </row>
    <row r="22" spans="1:17" ht="18" x14ac:dyDescent="0.3">
      <c r="A22" s="29"/>
      <c r="B22" s="29" t="str">
        <f t="shared" ref="B22:Q22" ca="1" si="3">_xlfn.CONCAT("0x",DEC2HEX(B5,4),", ")</f>
        <v xml:space="preserve">0xA665, </v>
      </c>
      <c r="C22" s="29" t="str">
        <f t="shared" ca="1" si="3"/>
        <v xml:space="preserve">0x8040, </v>
      </c>
      <c r="D22" s="29" t="str">
        <f t="shared" ca="1" si="3"/>
        <v xml:space="preserve">0x27E4, </v>
      </c>
      <c r="E22" s="29" t="str">
        <f t="shared" ca="1" si="3"/>
        <v xml:space="preserve">0xA5E4, </v>
      </c>
      <c r="F22" s="29" t="str">
        <f t="shared" ca="1" si="3"/>
        <v xml:space="preserve">0x81C1, </v>
      </c>
      <c r="G22" s="29" t="str">
        <f t="shared" ca="1" si="3"/>
        <v xml:space="preserve">0xA5A5, </v>
      </c>
      <c r="H22" s="29" t="str">
        <f t="shared" ca="1" si="3"/>
        <v xml:space="preserve">0xA7A5, </v>
      </c>
      <c r="I22" s="29" t="str">
        <f t="shared" ca="1" si="3"/>
        <v xml:space="preserve">0x8065, </v>
      </c>
      <c r="J22" s="29" t="str">
        <f t="shared" ca="1" si="3"/>
        <v xml:space="preserve">0xA7E5, </v>
      </c>
      <c r="K22" s="29" t="str">
        <f t="shared" ca="1" si="3"/>
        <v xml:space="preserve">0xA5E5, </v>
      </c>
      <c r="L22" s="29" t="str">
        <f t="shared" ca="1" si="3"/>
        <v xml:space="preserve">0x0404, </v>
      </c>
      <c r="M22" s="29" t="str">
        <f t="shared" ca="1" si="3"/>
        <v xml:space="preserve">0x1404, </v>
      </c>
      <c r="N22" s="29" t="str">
        <f t="shared" ca="1" si="3"/>
        <v xml:space="preserve">0x4010, </v>
      </c>
      <c r="O22" s="29" t="str">
        <f t="shared" ca="1" si="3"/>
        <v xml:space="preserve">0x2580, </v>
      </c>
      <c r="P22" s="29" t="str">
        <f t="shared" ca="1" si="3"/>
        <v xml:space="preserve">0x0802, </v>
      </c>
      <c r="Q22" s="29" t="str">
        <f t="shared" ca="1" si="3"/>
        <v xml:space="preserve">0x10E5, </v>
      </c>
    </row>
    <row r="23" spans="1:17" ht="18" x14ac:dyDescent="0.3">
      <c r="A23" s="29"/>
      <c r="B23" s="29" t="str">
        <f t="shared" ref="B23:Q23" ca="1" si="4">_xlfn.CONCAT("0x",DEC2HEX(B6,4),", ")</f>
        <v xml:space="preserve">0xD764, </v>
      </c>
      <c r="C23" s="29" t="str">
        <f t="shared" ca="1" si="4"/>
        <v xml:space="preserve">0x83E5, </v>
      </c>
      <c r="D23" s="29" t="str">
        <f t="shared" ca="1" si="4"/>
        <v xml:space="preserve">0xB4EC, </v>
      </c>
      <c r="E23" s="29" t="str">
        <f t="shared" ca="1" si="4"/>
        <v xml:space="preserve">0x2625, </v>
      </c>
      <c r="F23" s="29" t="str">
        <f t="shared" ca="1" si="4"/>
        <v xml:space="preserve">0xB46C, </v>
      </c>
      <c r="G23" s="29" t="str">
        <f t="shared" ca="1" si="4"/>
        <v xml:space="preserve">0x27A5, </v>
      </c>
      <c r="H23" s="29" t="str">
        <f t="shared" ca="1" si="4"/>
        <v xml:space="preserve">0x03A5, </v>
      </c>
      <c r="I23" s="29" t="str">
        <f t="shared" ca="1" si="4"/>
        <v xml:space="preserve">0xA6A5, </v>
      </c>
      <c r="J23" s="29" t="str">
        <f t="shared" ca="1" si="4"/>
        <v xml:space="preserve">0x83C1, </v>
      </c>
      <c r="K23" s="29" t="str">
        <f t="shared" ca="1" si="4"/>
        <v xml:space="preserve">0x342C, </v>
      </c>
      <c r="L23" s="29" t="str">
        <f t="shared" ca="1" si="4"/>
        <v xml:space="preserve">0xA440, </v>
      </c>
      <c r="M23" s="29" t="str">
        <f t="shared" ca="1" si="4"/>
        <v xml:space="preserve">0x4311, </v>
      </c>
      <c r="N23" s="29" t="str">
        <f t="shared" ca="1" si="4"/>
        <v xml:space="preserve">0x2601, </v>
      </c>
      <c r="O23" s="29" t="str">
        <f t="shared" ca="1" si="4"/>
        <v xml:space="preserve">0x8253, </v>
      </c>
      <c r="P23" s="29" t="str">
        <f t="shared" ca="1" si="4"/>
        <v xml:space="preserve">0xC243, </v>
      </c>
      <c r="Q23" s="29" t="str">
        <f t="shared" ca="1" si="4"/>
        <v xml:space="preserve">0xA675, </v>
      </c>
    </row>
    <row r="24" spans="1:17" ht="18" x14ac:dyDescent="0.3">
      <c r="A24" s="29"/>
      <c r="B24" s="29" t="str">
        <f t="shared" ref="B24:Q24" ca="1" si="5">_xlfn.CONCAT("0x",DEC2HEX(B7,4),", ")</f>
        <v xml:space="preserve">0x03E5, </v>
      </c>
      <c r="C24" s="29" t="str">
        <f t="shared" ca="1" si="5"/>
        <v xml:space="preserve">0xE665, </v>
      </c>
      <c r="D24" s="29" t="str">
        <f t="shared" ca="1" si="5"/>
        <v xml:space="preserve">0x43E5, </v>
      </c>
      <c r="E24" s="29" t="str">
        <f t="shared" ca="1" si="5"/>
        <v xml:space="preserve">0x6426, </v>
      </c>
      <c r="F24" s="29" t="str">
        <f t="shared" ca="1" si="5"/>
        <v xml:space="preserve">0x102C, </v>
      </c>
      <c r="G24" s="29" t="str">
        <f t="shared" ca="1" si="5"/>
        <v xml:space="preserve">0xA641, </v>
      </c>
      <c r="H24" s="29" t="str">
        <f t="shared" ca="1" si="5"/>
        <v xml:space="preserve">0x0A11, </v>
      </c>
      <c r="I24" s="29" t="str">
        <f t="shared" ca="1" si="5"/>
        <v xml:space="preserve">0xCA41, </v>
      </c>
      <c r="J24" s="29" t="str">
        <f t="shared" ca="1" si="5"/>
        <v xml:space="preserve">0x4812, </v>
      </c>
      <c r="K24" s="29" t="str">
        <f t="shared" ca="1" si="5"/>
        <v xml:space="preserve">0x1012, </v>
      </c>
      <c r="L24" s="29" t="str">
        <f t="shared" ca="1" si="5"/>
        <v xml:space="preserve">0x2C34, </v>
      </c>
      <c r="M24" s="29" t="str">
        <f t="shared" ca="1" si="5"/>
        <v xml:space="preserve">0x3028, </v>
      </c>
      <c r="N24" s="29" t="str">
        <f t="shared" ca="1" si="5"/>
        <v xml:space="preserve">0x1192, </v>
      </c>
      <c r="O24" s="29" t="str">
        <f t="shared" ca="1" si="5"/>
        <v xml:space="preserve">0x140C, </v>
      </c>
      <c r="P24" s="29" t="str">
        <f t="shared" ca="1" si="5"/>
        <v xml:space="preserve">0x0050, </v>
      </c>
      <c r="Q24" s="29" t="str">
        <f t="shared" ca="1" si="5"/>
        <v xml:space="preserve">0x2400, </v>
      </c>
    </row>
    <row r="25" spans="1:17" ht="18" x14ac:dyDescent="0.3">
      <c r="A25" s="29"/>
      <c r="B25" s="29" t="str">
        <f t="shared" ref="B25:Q25" ca="1" si="6">_xlfn.CONCAT("0x",DEC2HEX(B8,4),", ")</f>
        <v xml:space="preserve">0x0002, </v>
      </c>
      <c r="C25" s="29" t="str">
        <f t="shared" ca="1" si="6"/>
        <v xml:space="preserve">0xE700, </v>
      </c>
      <c r="D25" s="29" t="str">
        <f t="shared" ca="1" si="6"/>
        <v xml:space="preserve">0xA781, </v>
      </c>
      <c r="E25" s="29" t="str">
        <f t="shared" ca="1" si="6"/>
        <v xml:space="preserve">0x2780, </v>
      </c>
      <c r="F25" s="29" t="str">
        <f t="shared" ca="1" si="6"/>
        <v xml:space="preserve">0xA7C0, </v>
      </c>
      <c r="G25" s="29" t="str">
        <f t="shared" ca="1" si="6"/>
        <v xml:space="preserve">0x2F00, </v>
      </c>
      <c r="H25" s="29" t="str">
        <f t="shared" ca="1" si="6"/>
        <v xml:space="preserve">0x11A8, </v>
      </c>
      <c r="I25" s="29" t="str">
        <f t="shared" ca="1" si="6"/>
        <v xml:space="preserve">0xE480, </v>
      </c>
      <c r="J25" s="29" t="str">
        <f t="shared" ca="1" si="6"/>
        <v xml:space="preserve">0x8381, </v>
      </c>
      <c r="K25" s="29" t="str">
        <f t="shared" ca="1" si="6"/>
        <v xml:space="preserve">0x3504, </v>
      </c>
      <c r="L25" s="29" t="str">
        <f t="shared" ca="1" si="6"/>
        <v xml:space="preserve">0xA4A0, </v>
      </c>
      <c r="M25" s="29" t="str">
        <f t="shared" ca="1" si="6"/>
        <v xml:space="preserve">0x4381, </v>
      </c>
      <c r="N25" s="29" t="str">
        <f t="shared" ca="1" si="6"/>
        <v xml:space="preserve">0x340C, </v>
      </c>
      <c r="O25" s="29" t="str">
        <f t="shared" ca="1" si="6"/>
        <v xml:space="preserve">0x9380, </v>
      </c>
      <c r="P25" s="29" t="str">
        <f t="shared" ca="1" si="6"/>
        <v xml:space="preserve">0x8380, </v>
      </c>
      <c r="Q25" s="29" t="str">
        <f t="shared" ca="1" si="6"/>
        <v xml:space="preserve">0xA780, </v>
      </c>
    </row>
    <row r="26" spans="1:17" ht="18" x14ac:dyDescent="0.3">
      <c r="A26" s="29"/>
      <c r="B26" s="29" t="str">
        <f t="shared" ref="B26:Q26" ca="1" si="7">_xlfn.CONCAT("0x",DEC2HEX(B9,4),", ")</f>
        <v xml:space="preserve">0x030D, </v>
      </c>
      <c r="C26" s="29" t="str">
        <f t="shared" ca="1" si="7"/>
        <v xml:space="preserve">0x310D, </v>
      </c>
      <c r="D26" s="29" t="str">
        <f t="shared" ca="1" si="7"/>
        <v xml:space="preserve">0x0380, </v>
      </c>
      <c r="E26" s="29" t="str">
        <f t="shared" ca="1" si="7"/>
        <v xml:space="preserve">0x6480, </v>
      </c>
      <c r="F26" s="29" t="str">
        <f t="shared" ca="1" si="7"/>
        <v xml:space="preserve">0x3188, </v>
      </c>
      <c r="G26" s="29" t="str">
        <f t="shared" ca="1" si="7"/>
        <v xml:space="preserve">0xA600, </v>
      </c>
      <c r="H26" s="29" t="str">
        <f t="shared" ca="1" si="7"/>
        <v xml:space="preserve">0x0A80, </v>
      </c>
      <c r="I26" s="29" t="str">
        <f t="shared" ca="1" si="7"/>
        <v xml:space="preserve">0xCA00, </v>
      </c>
      <c r="J26" s="29" t="str">
        <f t="shared" ca="1" si="7"/>
        <v xml:space="preserve">0x4980, </v>
      </c>
      <c r="K26" s="29" t="str">
        <f t="shared" ca="1" si="7"/>
        <v xml:space="preserve">0xE500, </v>
      </c>
      <c r="L26" s="29" t="str">
        <f t="shared" ca="1" si="7"/>
        <v xml:space="preserve">0x2D00, </v>
      </c>
      <c r="M26" s="29" t="str">
        <f t="shared" ca="1" si="7"/>
        <v xml:space="preserve">0x3128, </v>
      </c>
      <c r="N26" s="29" t="str">
        <f t="shared" ca="1" si="7"/>
        <v xml:space="preserve">0x1008, </v>
      </c>
      <c r="O26" s="29" t="str">
        <f t="shared" ca="1" si="7"/>
        <v xml:space="preserve">0x148C, </v>
      </c>
      <c r="P26" s="29" t="str">
        <f t="shared" ca="1" si="7"/>
        <v xml:space="preserve">0x0013, </v>
      </c>
      <c r="Q26" s="29" t="str">
        <f t="shared" ca="1" si="7"/>
        <v xml:space="preserve">0xFFFF, </v>
      </c>
    </row>
    <row r="27" spans="1:17" ht="18" x14ac:dyDescent="0.3">
      <c r="A27" s="29"/>
      <c r="B27" s="29" t="str">
        <f t="shared" ref="B27:Q27" ca="1" si="8">_xlfn.CONCAT("0x",DEC2HEX(B10,4),", ")</f>
        <v xml:space="preserve">0x0020, </v>
      </c>
      <c r="C27" s="29" t="str">
        <f t="shared" ca="1" si="8"/>
        <v xml:space="preserve">0x0040, </v>
      </c>
      <c r="D27" s="29" t="str">
        <f t="shared" ca="1" si="8"/>
        <v xml:space="preserve">0x8000, </v>
      </c>
      <c r="E27" s="29" t="str">
        <f t="shared" ca="1" si="8"/>
        <v xml:space="preserve">0x2000, </v>
      </c>
      <c r="F27" s="29" t="str">
        <f t="shared" ca="1" si="8"/>
        <v xml:space="preserve">0x0400, </v>
      </c>
      <c r="G27" s="29" t="str">
        <f t="shared" ca="1" si="8"/>
        <v xml:space="preserve">0x0200, </v>
      </c>
      <c r="H27" s="29" t="str">
        <f t="shared" ca="1" si="8"/>
        <v xml:space="preserve">0x0001, </v>
      </c>
      <c r="I27" s="29" t="str">
        <f t="shared" ca="1" si="8"/>
        <v xml:space="preserve">0x0004, </v>
      </c>
      <c r="J27" s="29" t="str">
        <f t="shared" ca="1" si="8"/>
        <v xml:space="preserve">0x000C, </v>
      </c>
      <c r="K27" s="29" t="str">
        <f t="shared" ca="1" si="8"/>
        <v xml:space="preserve">0x0030, </v>
      </c>
      <c r="L27" s="29" t="str">
        <f t="shared" ca="1" si="8"/>
        <v xml:space="preserve">0x00C0, </v>
      </c>
      <c r="M27" s="29" t="str">
        <f t="shared" ca="1" si="8"/>
        <v xml:space="preserve">0xC000, </v>
      </c>
      <c r="N27" s="29" t="str">
        <f t="shared" ca="1" si="8"/>
        <v xml:space="preserve">0x3000, </v>
      </c>
      <c r="O27" s="29" t="str">
        <f t="shared" ca="1" si="8"/>
        <v xml:space="preserve">0x0C00, </v>
      </c>
      <c r="P27" s="29" t="str">
        <f t="shared" ca="1" si="8"/>
        <v xml:space="preserve">0x0300, </v>
      </c>
      <c r="Q27" s="29" t="str">
        <f t="shared" ca="1" si="8"/>
        <v xml:space="preserve">0x0003, </v>
      </c>
    </row>
    <row r="28" spans="1:17" ht="18" x14ac:dyDescent="0.3">
      <c r="A28" s="29"/>
      <c r="B28" s="29" t="str">
        <f t="shared" ref="B28:Q28" ca="1" si="9">_xlfn.CONCAT("0x",DEC2HEX(B11,4),", ")</f>
        <v xml:space="preserve">0x6D88, </v>
      </c>
      <c r="C28" s="29" t="str">
        <f t="shared" ca="1" si="9"/>
        <v xml:space="preserve">0x6D92, </v>
      </c>
      <c r="D28" s="29" t="str">
        <f t="shared" ca="1" si="9"/>
        <v xml:space="preserve">0x6C1A, </v>
      </c>
      <c r="E28" s="29" t="str">
        <f t="shared" ca="1" si="9"/>
        <v xml:space="preserve">0x6C08, </v>
      </c>
      <c r="F28" s="29" t="str">
        <f t="shared" ca="1" si="9"/>
        <v xml:space="preserve">0x09B6, </v>
      </c>
      <c r="G28" s="29" t="str">
        <f t="shared" ca="1" si="9"/>
        <v xml:space="preserve">0x11B6, </v>
      </c>
      <c r="H28" s="29" t="str">
        <f t="shared" ca="1" si="9"/>
        <v xml:space="preserve">0x41B6, </v>
      </c>
      <c r="I28" s="29" t="str">
        <f t="shared" ca="1" si="9"/>
        <v xml:space="preserve">0x49B6, </v>
      </c>
      <c r="J28" s="29" t="str">
        <f t="shared" ca="1" si="9"/>
        <v xml:space="preserve">0x6C00, </v>
      </c>
      <c r="K28" s="29" t="str">
        <f t="shared" ca="1" si="9"/>
        <v xml:space="preserve">0x0036, </v>
      </c>
      <c r="L28" s="29" t="str">
        <f t="shared" ca="1" si="9"/>
        <v xml:space="preserve">0x4980, </v>
      </c>
      <c r="M28" s="29" t="str">
        <f t="shared" ca="1" si="9"/>
        <v xml:space="preserve">0x0192, </v>
      </c>
      <c r="N28" s="29" t="str">
        <f t="shared" ca="1" si="9"/>
        <v xml:space="preserve">0x19E8, </v>
      </c>
      <c r="O28" s="29" t="str">
        <f t="shared" ca="1" si="9"/>
        <v xml:space="preserve">0xB18A, </v>
      </c>
      <c r="P28" s="29" t="str">
        <f t="shared" ca="1" si="9"/>
        <v xml:space="preserve">0x1798, </v>
      </c>
      <c r="Q28" s="29" t="str">
        <f t="shared" ca="1" si="9"/>
        <v xml:space="preserve">0x518D, </v>
      </c>
    </row>
    <row r="29" spans="1:17" ht="18" x14ac:dyDescent="0.3">
      <c r="A29" s="29"/>
      <c r="B29" s="29" t="str">
        <f t="shared" ref="B29:Q29" ca="1" si="10">_xlfn.CONCAT("0x",DEC2HEX(B12,4),", ")</f>
        <v xml:space="preserve">0x2000, </v>
      </c>
      <c r="C29" s="29" t="str">
        <f t="shared" ca="1" si="10"/>
        <v xml:space="preserve">0x0838, </v>
      </c>
      <c r="D29" s="29" t="str">
        <f t="shared" ca="1" si="10"/>
        <v xml:space="preserve">0x0009, </v>
      </c>
      <c r="E29" s="29" t="str">
        <f t="shared" ca="1" si="10"/>
        <v xml:space="preserve">0x13AD, </v>
      </c>
      <c r="F29" s="29" t="str">
        <f t="shared" ca="1" si="10"/>
        <v xml:space="preserve">0xB4AE, </v>
      </c>
      <c r="G29" s="29" t="str">
        <f t="shared" ca="1" si="10"/>
        <v xml:space="preserve">0xC993, </v>
      </c>
      <c r="H29" s="29" t="str">
        <f t="shared" ca="1" si="10"/>
        <v xml:space="preserve">0xEC0E, </v>
      </c>
      <c r="I29" s="29" t="str">
        <f t="shared" ca="1" si="10"/>
        <v xml:space="preserve">0x0008, </v>
      </c>
      <c r="J29" s="29" t="str">
        <f t="shared" ca="1" si="10"/>
        <v xml:space="preserve">0x6635, </v>
      </c>
      <c r="K29" s="29" t="str">
        <f t="shared" ca="1" si="10"/>
        <v xml:space="preserve">0xAC66, </v>
      </c>
      <c r="L29" s="29" t="str">
        <f t="shared" ca="1" si="10"/>
        <v xml:space="preserve">0x4992, </v>
      </c>
      <c r="M29" s="29" t="str">
        <f t="shared" ca="1" si="10"/>
        <v xml:space="preserve">0x33CC, </v>
      </c>
      <c r="N29" s="29" t="str">
        <f t="shared" ca="1" si="10"/>
        <v xml:space="preserve">0x1100, </v>
      </c>
      <c r="O29" s="29" t="str">
        <f t="shared" ca="1" si="10"/>
        <v xml:space="preserve">0x4182, </v>
      </c>
      <c r="P29" s="29" t="str">
        <f t="shared" ca="1" si="10"/>
        <v xml:space="preserve">0x1700, </v>
      </c>
      <c r="Q29" s="29" t="str">
        <f t="shared" ca="1" si="10"/>
        <v xml:space="preserve">0x0990, </v>
      </c>
    </row>
    <row r="30" spans="1:17" ht="18" x14ac:dyDescent="0.3">
      <c r="A30" s="29"/>
      <c r="B30" s="29" t="str">
        <f t="shared" ref="B30:Q30" ca="1" si="11">_xlfn.CONCAT("0x",DEC2HEX(B13,4),", ")</f>
        <v xml:space="preserve">0xAE75, </v>
      </c>
      <c r="C30" s="29" t="str">
        <f t="shared" ca="1" si="11"/>
        <v xml:space="preserve">0x8050, </v>
      </c>
      <c r="D30" s="29" t="str">
        <f t="shared" ca="1" si="11"/>
        <v xml:space="preserve">0x2CE0, </v>
      </c>
      <c r="E30" s="29" t="str">
        <f t="shared" ca="1" si="11"/>
        <v xml:space="preserve">0xA4E0, </v>
      </c>
      <c r="F30" s="29" t="str">
        <f t="shared" ca="1" si="11"/>
        <v xml:space="preserve">0x1189, </v>
      </c>
      <c r="G30" s="29" t="str">
        <f t="shared" ca="1" si="11"/>
        <v xml:space="preserve">0x6505, </v>
      </c>
      <c r="H30" s="29" t="str">
        <f t="shared" ca="1" si="11"/>
        <v xml:space="preserve">0x6705, </v>
      </c>
      <c r="I30" s="29" t="str">
        <f t="shared" ca="1" si="11"/>
        <v xml:space="preserve">0x1034, </v>
      </c>
      <c r="J30" s="29" t="str">
        <f t="shared" ca="1" si="11"/>
        <v xml:space="preserve">0xA7B6, </v>
      </c>
      <c r="K30" s="29" t="str">
        <f t="shared" ca="1" si="11"/>
        <v xml:space="preserve">0xA0E6, </v>
      </c>
      <c r="L30" s="29" t="str">
        <f t="shared" ca="1" si="11"/>
        <v xml:space="preserve">0x0104, </v>
      </c>
      <c r="M30" s="29" t="str">
        <f t="shared" ca="1" si="11"/>
        <v xml:space="preserve">0x1104, </v>
      </c>
      <c r="N30" s="29" t="str">
        <f t="shared" ca="1" si="11"/>
        <v xml:space="preserve">0x4110, </v>
      </c>
      <c r="O30" s="29" t="str">
        <f t="shared" ca="1" si="11"/>
        <v xml:space="preserve">0x01A4, </v>
      </c>
      <c r="P30" s="29" t="str">
        <f t="shared" ca="1" si="11"/>
        <v xml:space="preserve">0x0882, </v>
      </c>
      <c r="Q30" s="29" t="str">
        <f t="shared" ca="1" si="11"/>
        <v xml:space="preserve">0x08E4, </v>
      </c>
    </row>
    <row r="31" spans="1:17" ht="18" x14ac:dyDescent="0.3">
      <c r="A31" s="29"/>
      <c r="B31" s="29" t="str">
        <f t="shared" ref="B31:Q31" ca="1" si="12">_xlfn.CONCAT("0x",DEC2HEX(B14,4),", ")</f>
        <v xml:space="preserve">0xB760, </v>
      </c>
      <c r="C31" s="29" t="str">
        <f t="shared" ca="1" si="12"/>
        <v xml:space="preserve">0x83E8, </v>
      </c>
      <c r="D31" s="29" t="str">
        <f t="shared" ca="1" si="12"/>
        <v xml:space="preserve">0xA78D, </v>
      </c>
      <c r="E31" s="29" t="str">
        <f t="shared" ca="1" si="12"/>
        <v xml:space="preserve">0xA60D, </v>
      </c>
      <c r="F31" s="29" t="str">
        <f t="shared" ca="1" si="12"/>
        <v xml:space="preserve">0xB56C, </v>
      </c>
      <c r="G31" s="29" t="str">
        <f t="shared" ca="1" si="12"/>
        <v xml:space="preserve">0x2CA6, </v>
      </c>
      <c r="H31" s="29" t="str">
        <f t="shared" ca="1" si="12"/>
        <v xml:space="preserve">0x08A6, </v>
      </c>
      <c r="I31" s="29" t="str">
        <f t="shared" ca="1" si="12"/>
        <v xml:space="preserve">0x6685, </v>
      </c>
      <c r="J31" s="29" t="str">
        <f t="shared" ca="1" si="12"/>
        <v xml:space="preserve">0x89C8, </v>
      </c>
      <c r="K31" s="29" t="str">
        <f t="shared" ca="1" si="12"/>
        <v xml:space="preserve">0xB42C, </v>
      </c>
      <c r="L31" s="29" t="str">
        <f t="shared" ca="1" si="12"/>
        <v xml:space="preserve">0xAC60, </v>
      </c>
      <c r="M31" s="29" t="str">
        <f t="shared" ca="1" si="12"/>
        <v xml:space="preserve">0x8892, </v>
      </c>
      <c r="N31" s="29" t="str">
        <f t="shared" ca="1" si="12"/>
        <v xml:space="preserve">0xAC28, </v>
      </c>
      <c r="O31" s="29" t="str">
        <f t="shared" ca="1" si="12"/>
        <v xml:space="preserve">0x926D, </v>
      </c>
      <c r="P31" s="29" t="str">
        <f t="shared" ca="1" si="12"/>
        <v xml:space="preserve">0xB24D, </v>
      </c>
      <c r="Q31" s="29" t="str">
        <f t="shared" ca="1" si="12"/>
        <v xml:space="preserve">0xA677, </v>
      </c>
    </row>
    <row r="32" spans="1:17" ht="18" x14ac:dyDescent="0.3">
      <c r="A32" s="29"/>
      <c r="B32" s="29" t="str">
        <f t="shared" ref="B32:Q32" ca="1" si="13">_xlfn.CONCAT("0x",DEC2HEX(B15,4),", ")</f>
        <v xml:space="preserve">0x0335, </v>
      </c>
      <c r="C32" s="29" t="str">
        <f t="shared" ca="1" si="13"/>
        <v xml:space="preserve">0xEE65, </v>
      </c>
      <c r="D32" s="29" t="str">
        <f t="shared" ca="1" si="13"/>
        <v xml:space="preserve">0x4335, </v>
      </c>
      <c r="E32" s="29" t="str">
        <f t="shared" ca="1" si="13"/>
        <v xml:space="preserve">0xA6A6, </v>
      </c>
      <c r="F32" s="29" t="str">
        <f t="shared" ca="1" si="13"/>
        <v xml:space="preserve">0x106D, </v>
      </c>
      <c r="G32" s="29" t="str">
        <f t="shared" ca="1" si="13"/>
        <v xml:space="preserve">0xAC42, </v>
      </c>
      <c r="H32" s="29" t="str">
        <f t="shared" ca="1" si="13"/>
        <v xml:space="preserve">0xC042, </v>
      </c>
      <c r="I32" s="29" t="str">
        <f t="shared" ca="1" si="13"/>
        <v xml:space="preserve">0xB649, </v>
      </c>
      <c r="J32" s="29" t="str">
        <f t="shared" ca="1" si="13"/>
        <v xml:space="preserve">0xC813, </v>
      </c>
      <c r="K32" s="29" t="str">
        <f t="shared" ca="1" si="13"/>
        <v xml:space="preserve">0x1053, </v>
      </c>
      <c r="L32" s="29" t="str">
        <f t="shared" ca="1" si="13"/>
        <v xml:space="preserve">0xAC35, </v>
      </c>
      <c r="M32" s="29" t="str">
        <f t="shared" ca="1" si="13"/>
        <v xml:space="preserve">0x0C06, </v>
      </c>
      <c r="N32" s="29" t="str">
        <f t="shared" ca="1" si="13"/>
        <v xml:space="preserve">0x6006, </v>
      </c>
      <c r="O32" s="29" t="str">
        <f t="shared" ca="1" si="13"/>
        <v xml:space="preserve">0x6030, </v>
      </c>
      <c r="P32" s="29" t="str">
        <f t="shared" ca="1" si="13"/>
        <v xml:space="preserve">0x0064, </v>
      </c>
      <c r="Q32" s="29" t="str">
        <f t="shared" ca="1" si="13"/>
        <v xml:space="preserve">0x2600, </v>
      </c>
    </row>
    <row r="33" spans="1:17" ht="18" x14ac:dyDescent="0.3">
      <c r="A33" s="29"/>
      <c r="B33" s="29" t="str">
        <f t="shared" ref="B33:Q33" ca="1" si="14">_xlfn.CONCAT("0x",DEC2HEX(B16,4),", ")</f>
        <v xml:space="preserve">0x002C, </v>
      </c>
      <c r="C33" s="29" t="str">
        <f t="shared" ca="1" si="14"/>
        <v xml:space="preserve">0x5700, </v>
      </c>
      <c r="D33" s="29" t="str">
        <f t="shared" ca="1" si="14"/>
        <v xml:space="preserve">0xB488, </v>
      </c>
      <c r="E33" s="29" t="str">
        <f t="shared" ca="1" si="14"/>
        <v xml:space="preserve">0x2700, </v>
      </c>
      <c r="F33" s="29" t="str">
        <f t="shared" ca="1" si="14"/>
        <v xml:space="preserve">0x3708, </v>
      </c>
      <c r="G33" s="29" t="str">
        <f t="shared" ca="1" si="14"/>
        <v xml:space="preserve">0xB700, </v>
      </c>
      <c r="H33" s="29" t="str">
        <f t="shared" ca="1" si="14"/>
        <v xml:space="preserve">0x35A8, </v>
      </c>
      <c r="I33" s="29" t="str">
        <f t="shared" ca="1" si="14"/>
        <v xml:space="preserve">0xA4E8, </v>
      </c>
      <c r="J33" s="29" t="str">
        <f t="shared" ca="1" si="14"/>
        <v xml:space="preserve">0x3301, </v>
      </c>
      <c r="K33" s="29" t="str">
        <f t="shared" ca="1" si="14"/>
        <v xml:space="preserve">0x3104, </v>
      </c>
      <c r="L33" s="29" t="str">
        <f t="shared" ca="1" si="14"/>
        <v xml:space="preserve">0x1504, </v>
      </c>
      <c r="M33" s="29" t="str">
        <f t="shared" ca="1" si="14"/>
        <v xml:space="preserve">0x508C, </v>
      </c>
      <c r="N33" s="29" t="str">
        <f t="shared" ca="1" si="14"/>
        <v xml:space="preserve">0x100C, </v>
      </c>
      <c r="O33" s="29" t="str">
        <f t="shared" ca="1" si="14"/>
        <v xml:space="preserve">0x9A80, </v>
      </c>
      <c r="P33" s="29" t="str">
        <f t="shared" ca="1" si="14"/>
        <v xml:space="preserve">0x8A80, </v>
      </c>
      <c r="Q33" s="29" t="str">
        <f t="shared" ca="1" si="14"/>
        <v xml:space="preserve">0xAC80, </v>
      </c>
    </row>
    <row r="34" spans="1:17" ht="18" x14ac:dyDescent="0.3">
      <c r="A34" s="29"/>
      <c r="B34" s="29" t="str">
        <f t="shared" ref="B34:Q34" ca="1" si="15">_xlfn.CONCAT("0x",DEC2HEX(B17,4),", ")</f>
        <v xml:space="preserve">0x08E8, </v>
      </c>
      <c r="C34" s="29" t="str">
        <f t="shared" ca="1" si="15"/>
        <v xml:space="preserve">0x410D, </v>
      </c>
      <c r="D34" s="29" t="str">
        <f t="shared" ca="1" si="15"/>
        <v xml:space="preserve">0x0880, </v>
      </c>
      <c r="E34" s="29" t="str">
        <f t="shared" ca="1" si="15"/>
        <v xml:space="preserve">0x6450, </v>
      </c>
      <c r="F34" s="29" t="str">
        <f t="shared" ca="1" si="15"/>
        <v xml:space="preserve">0x4988, </v>
      </c>
      <c r="G34" s="29" t="str">
        <f t="shared" ca="1" si="15"/>
        <v xml:space="preserve">0xB100, </v>
      </c>
      <c r="H34" s="29" t="str">
        <f t="shared" ca="1" si="15"/>
        <v xml:space="preserve">0xAD00, </v>
      </c>
      <c r="I34" s="29" t="str">
        <f t="shared" ca="1" si="15"/>
        <v xml:space="preserve">0xB600, </v>
      </c>
      <c r="J34" s="29" t="str">
        <f t="shared" ca="1" si="15"/>
        <v xml:space="preserve">0x3580, </v>
      </c>
      <c r="K34" s="29" t="str">
        <f t="shared" ca="1" si="15"/>
        <v xml:space="preserve">0xA4C8, </v>
      </c>
      <c r="L34" s="29" t="str">
        <f t="shared" ca="1" si="15"/>
        <v xml:space="preserve">0xA4B0, </v>
      </c>
      <c r="M34" s="29" t="str">
        <f t="shared" ca="1" si="15"/>
        <v xml:space="preserve">0x2D26, </v>
      </c>
      <c r="N34" s="29" t="str">
        <f t="shared" ca="1" si="15"/>
        <v xml:space="preserve">0x9249, </v>
      </c>
      <c r="O34" s="29" t="str">
        <f t="shared" ca="1" si="15"/>
        <v xml:space="preserve">0x64B4, </v>
      </c>
      <c r="P34" s="29" t="str">
        <f t="shared" ca="1" si="15"/>
        <v xml:space="preserve">0x00CD, </v>
      </c>
      <c r="Q34" s="29" t="str">
        <f t="shared" ca="1" si="15"/>
        <v xml:space="preserve">0x599A, </v>
      </c>
    </row>
    <row r="35" spans="1:17" ht="18" x14ac:dyDescent="0.3">
      <c r="A35" s="29" t="s">
        <v>174</v>
      </c>
      <c r="B35" s="29"/>
      <c r="C35" s="29"/>
      <c r="D35" s="29"/>
      <c r="E35" s="29"/>
      <c r="F35" s="29"/>
      <c r="G35" s="29"/>
      <c r="H35" s="29"/>
      <c r="I35" s="29"/>
      <c r="J35" s="29"/>
      <c r="K35" s="29"/>
      <c r="L35" s="29"/>
      <c r="M35" s="29"/>
      <c r="N35" s="29"/>
      <c r="O35" s="29"/>
      <c r="P35" s="29"/>
      <c r="Q35" s="29"/>
    </row>
    <row r="36" spans="1:17" ht="18" x14ac:dyDescent="0.3">
      <c r="A36" s="29"/>
      <c r="B36" s="29" t="str">
        <f ca="1">_xlfn.CONCAT("  ",B19:Q19)</f>
        <v xml:space="preserve">  0xA66D, 0xA67D, 0xA6ED, 0xE66D, 0xB66D, 0xAE6D, 0xA76D, 0xA66F, 0x0018, 0x0090, 0x4080, 0x5000, 0x1800, 0x0900, 0x0102, 0x000A, </v>
      </c>
      <c r="C36" s="29"/>
      <c r="D36" s="29"/>
      <c r="E36" s="29"/>
      <c r="F36" s="29"/>
      <c r="G36" s="29"/>
      <c r="H36" s="29"/>
      <c r="I36" s="29"/>
      <c r="J36" s="29"/>
      <c r="K36" s="29"/>
      <c r="L36" s="29"/>
      <c r="M36" s="29"/>
      <c r="N36" s="29"/>
      <c r="O36" s="29"/>
      <c r="P36" s="29"/>
      <c r="Q36" s="29"/>
    </row>
    <row r="37" spans="1:17" ht="18" x14ac:dyDescent="0.3">
      <c r="A37" s="29"/>
      <c r="B37" s="29" t="str">
        <f t="shared" ref="B37:B51" ca="1" si="16">_xlfn.CONCAT("  ",B20:Q20)</f>
        <v xml:space="preserve">  0x59E5, 0x51E5, 0x49E5, 0x19E5, 0xA79A, 0xA798, 0xA792, 0xA78A, 0x6DC9, 0x6C5B, 0x6DD3, 0xCBB6, 0x0870, 0xE002, 0x0E10, 0x4007, </v>
      </c>
      <c r="C37" s="29"/>
      <c r="D37" s="29"/>
      <c r="E37" s="29"/>
      <c r="F37" s="29"/>
      <c r="G37" s="29"/>
      <c r="H37" s="29"/>
      <c r="I37" s="29"/>
      <c r="J37" s="29"/>
      <c r="K37" s="29"/>
      <c r="L37" s="29"/>
      <c r="M37" s="29"/>
      <c r="N37" s="29"/>
      <c r="O37" s="29"/>
      <c r="P37" s="29"/>
      <c r="Q37" s="29"/>
    </row>
    <row r="38" spans="1:17" ht="18" x14ac:dyDescent="0.3">
      <c r="A38" s="29"/>
      <c r="B38" s="29" t="str">
        <f t="shared" ca="1" si="16"/>
        <v xml:space="preserve">  0x0000, 0x0410, 0x0048, 0xB5C8, 0xB5AD, 0xB99D, 0xE736, 0x0010, 0x7038, 0x1C0E, 0x581A, 0x1188, 0x1400, 0x0180, 0x0400, 0x0810, </v>
      </c>
      <c r="C38" s="29"/>
      <c r="D38" s="29"/>
      <c r="E38" s="29"/>
      <c r="F38" s="29"/>
      <c r="G38" s="29"/>
      <c r="H38" s="29"/>
      <c r="I38" s="29"/>
      <c r="J38" s="29"/>
      <c r="K38" s="29"/>
      <c r="L38" s="29"/>
      <c r="M38" s="29"/>
      <c r="N38" s="29"/>
      <c r="O38" s="29"/>
      <c r="P38" s="29"/>
      <c r="Q38" s="29"/>
    </row>
    <row r="39" spans="1:17" ht="18" x14ac:dyDescent="0.3">
      <c r="A39" s="29"/>
      <c r="B39" s="29" t="str">
        <f t="shared" ca="1" si="16"/>
        <v xml:space="preserve">  0xA665, 0x8040, 0x27E4, 0xA5E4, 0x81C1, 0xA5A5, 0xA7A5, 0x8065, 0xA7E5, 0xA5E5, 0x0404, 0x1404, 0x4010, 0x2580, 0x0802, 0x10E5, </v>
      </c>
      <c r="C39" s="29"/>
      <c r="D39" s="29"/>
      <c r="E39" s="29"/>
      <c r="F39" s="29"/>
      <c r="G39" s="29"/>
      <c r="H39" s="29"/>
      <c r="I39" s="29"/>
      <c r="J39" s="29"/>
      <c r="K39" s="29"/>
      <c r="L39" s="29"/>
      <c r="M39" s="29"/>
      <c r="N39" s="29"/>
      <c r="O39" s="29"/>
      <c r="P39" s="29"/>
      <c r="Q39" s="29"/>
    </row>
    <row r="40" spans="1:17" ht="18" x14ac:dyDescent="0.3">
      <c r="A40" s="29"/>
      <c r="B40" s="29" t="str">
        <f t="shared" ca="1" si="16"/>
        <v xml:space="preserve">  0xD764, 0x83E5, 0xB4EC, 0x2625, 0xB46C, 0x27A5, 0x03A5, 0xA6A5, 0x83C1, 0x342C, 0xA440, 0x4311, 0x2601, 0x8253, 0xC243, 0xA675, </v>
      </c>
      <c r="C40" s="29"/>
      <c r="D40" s="29"/>
      <c r="E40" s="29"/>
      <c r="F40" s="29"/>
      <c r="G40" s="29"/>
      <c r="H40" s="29"/>
      <c r="I40" s="29"/>
      <c r="J40" s="29"/>
      <c r="K40" s="29"/>
      <c r="L40" s="29"/>
      <c r="M40" s="29"/>
      <c r="N40" s="29"/>
      <c r="O40" s="29"/>
      <c r="P40" s="29"/>
      <c r="Q40" s="29"/>
    </row>
    <row r="41" spans="1:17" ht="18" x14ac:dyDescent="0.3">
      <c r="A41" s="29"/>
      <c r="B41" s="29" t="str">
        <f t="shared" ca="1" si="16"/>
        <v xml:space="preserve">  0x03E5, 0xE665, 0x43E5, 0x6426, 0x102C, 0xA641, 0x0A11, 0xCA41, 0x4812, 0x1012, 0x2C34, 0x3028, 0x1192, 0x140C, 0x0050, 0x2400, </v>
      </c>
      <c r="C41" s="29"/>
      <c r="D41" s="29"/>
      <c r="E41" s="29"/>
      <c r="F41" s="29"/>
      <c r="G41" s="29"/>
      <c r="H41" s="29"/>
      <c r="I41" s="29"/>
      <c r="J41" s="29"/>
      <c r="K41" s="29"/>
      <c r="L41" s="29"/>
      <c r="M41" s="29"/>
      <c r="N41" s="29"/>
      <c r="O41" s="29"/>
      <c r="P41" s="29"/>
      <c r="Q41" s="29"/>
    </row>
    <row r="42" spans="1:17" ht="18" x14ac:dyDescent="0.3">
      <c r="A42" s="29"/>
      <c r="B42" s="29" t="str">
        <f t="shared" ca="1" si="16"/>
        <v xml:space="preserve">  0x0002, 0xE700, 0xA781, 0x2780, 0xA7C0, 0x2F00, 0x11A8, 0xE480, 0x8381, 0x3504, 0xA4A0, 0x4381, 0x340C, 0x9380, 0x8380, 0xA780, </v>
      </c>
      <c r="C42" s="29"/>
      <c r="D42" s="29"/>
      <c r="E42" s="29"/>
      <c r="F42" s="29"/>
      <c r="G42" s="29"/>
      <c r="H42" s="29"/>
      <c r="I42" s="29"/>
      <c r="J42" s="29"/>
      <c r="K42" s="29"/>
      <c r="L42" s="29"/>
      <c r="M42" s="29"/>
      <c r="N42" s="29"/>
      <c r="O42" s="29"/>
      <c r="P42" s="29"/>
      <c r="Q42" s="29"/>
    </row>
    <row r="43" spans="1:17" ht="18" x14ac:dyDescent="0.3">
      <c r="A43" s="29"/>
      <c r="B43" s="29" t="str">
        <f t="shared" ca="1" si="16"/>
        <v xml:space="preserve">  0x030D, 0x310D, 0x0380, 0x6480, 0x3188, 0xA600, 0x0A80, 0xCA00, 0x4980, 0xE500, 0x2D00, 0x3128, 0x1008, 0x148C, 0x0013, 0xFFFF, </v>
      </c>
      <c r="C43" s="29"/>
      <c r="D43" s="29"/>
      <c r="E43" s="29"/>
      <c r="F43" s="29"/>
      <c r="G43" s="29"/>
      <c r="H43" s="29"/>
      <c r="I43" s="29"/>
      <c r="J43" s="29"/>
      <c r="K43" s="29"/>
      <c r="L43" s="29"/>
      <c r="M43" s="29"/>
      <c r="N43" s="29"/>
      <c r="O43" s="29"/>
      <c r="P43" s="29"/>
      <c r="Q43" s="29"/>
    </row>
    <row r="44" spans="1:17" ht="18" x14ac:dyDescent="0.3">
      <c r="A44" s="29"/>
      <c r="B44" s="29" t="str">
        <f t="shared" ca="1" si="16"/>
        <v xml:space="preserve">  0x0020, 0x0040, 0x8000, 0x2000, 0x0400, 0x0200, 0x0001, 0x0004, 0x000C, 0x0030, 0x00C0, 0xC000, 0x3000, 0x0C00, 0x0300, 0x0003, </v>
      </c>
      <c r="C44" s="29"/>
      <c r="D44" s="29"/>
      <c r="E44" s="29"/>
      <c r="F44" s="29"/>
      <c r="G44" s="29"/>
      <c r="H44" s="29"/>
      <c r="I44" s="29"/>
      <c r="J44" s="29"/>
      <c r="K44" s="29"/>
      <c r="L44" s="29"/>
      <c r="M44" s="29"/>
      <c r="N44" s="29"/>
      <c r="O44" s="29"/>
      <c r="P44" s="29"/>
      <c r="Q44" s="29"/>
    </row>
    <row r="45" spans="1:17" ht="18" x14ac:dyDescent="0.3">
      <c r="A45" s="29"/>
      <c r="B45" s="29" t="str">
        <f t="shared" ca="1" si="16"/>
        <v xml:space="preserve">  0x6D88, 0x6D92, 0x6C1A, 0x6C08, 0x09B6, 0x11B6, 0x41B6, 0x49B6, 0x6C00, 0x0036, 0x4980, 0x0192, 0x19E8, 0xB18A, 0x1798, 0x518D, </v>
      </c>
      <c r="C45" s="29"/>
      <c r="D45" s="29"/>
      <c r="E45" s="29"/>
      <c r="F45" s="29"/>
      <c r="G45" s="29"/>
      <c r="H45" s="29"/>
      <c r="I45" s="29"/>
      <c r="J45" s="29"/>
      <c r="K45" s="29"/>
      <c r="L45" s="29"/>
      <c r="M45" s="29"/>
      <c r="N45" s="29"/>
      <c r="O45" s="29"/>
      <c r="P45" s="29"/>
      <c r="Q45" s="29"/>
    </row>
    <row r="46" spans="1:17" ht="18" x14ac:dyDescent="0.3">
      <c r="A46" s="29"/>
      <c r="B46" s="29" t="str">
        <f t="shared" ca="1" si="16"/>
        <v xml:space="preserve">  0x2000, 0x0838, 0x0009, 0x13AD, 0xB4AE, 0xC993, 0xEC0E, 0x0008, 0x6635, 0xAC66, 0x4992, 0x33CC, 0x1100, 0x4182, 0x1700, 0x0990, </v>
      </c>
      <c r="C46" s="29"/>
      <c r="D46" s="29"/>
      <c r="E46" s="29"/>
      <c r="F46" s="29"/>
      <c r="G46" s="29"/>
      <c r="H46" s="29"/>
      <c r="I46" s="29"/>
      <c r="J46" s="29"/>
      <c r="K46" s="29"/>
      <c r="L46" s="29"/>
      <c r="M46" s="29"/>
      <c r="N46" s="29"/>
      <c r="O46" s="29"/>
      <c r="P46" s="29"/>
      <c r="Q46" s="29"/>
    </row>
    <row r="47" spans="1:17" ht="18" x14ac:dyDescent="0.3">
      <c r="A47" s="29"/>
      <c r="B47" s="29" t="str">
        <f t="shared" ca="1" si="16"/>
        <v xml:space="preserve">  0xAE75, 0x8050, 0x2CE0, 0xA4E0, 0x1189, 0x6505, 0x6705, 0x1034, 0xA7B6, 0xA0E6, 0x0104, 0x1104, 0x4110, 0x01A4, 0x0882, 0x08E4, </v>
      </c>
      <c r="C47" s="29"/>
      <c r="D47" s="29"/>
      <c r="E47" s="29"/>
      <c r="F47" s="29"/>
      <c r="G47" s="29"/>
      <c r="H47" s="29"/>
      <c r="I47" s="29"/>
      <c r="J47" s="29"/>
      <c r="K47" s="29"/>
      <c r="L47" s="29"/>
      <c r="M47" s="29"/>
      <c r="N47" s="29"/>
      <c r="O47" s="29"/>
      <c r="P47" s="29"/>
      <c r="Q47" s="29"/>
    </row>
    <row r="48" spans="1:17" ht="18" x14ac:dyDescent="0.3">
      <c r="A48" s="29"/>
      <c r="B48" s="29" t="str">
        <f t="shared" ca="1" si="16"/>
        <v xml:space="preserve">  0xB760, 0x83E8, 0xA78D, 0xA60D, 0xB56C, 0x2CA6, 0x08A6, 0x6685, 0x89C8, 0xB42C, 0xAC60, 0x8892, 0xAC28, 0x926D, 0xB24D, 0xA677, </v>
      </c>
      <c r="C48" s="29"/>
      <c r="D48" s="29"/>
      <c r="E48" s="29"/>
      <c r="F48" s="29"/>
      <c r="G48" s="29"/>
      <c r="H48" s="29"/>
      <c r="I48" s="29"/>
      <c r="J48" s="29"/>
      <c r="K48" s="29"/>
      <c r="L48" s="29"/>
      <c r="M48" s="29"/>
      <c r="N48" s="29"/>
      <c r="O48" s="29"/>
      <c r="P48" s="29"/>
      <c r="Q48" s="29"/>
    </row>
    <row r="49" spans="1:17" ht="18" x14ac:dyDescent="0.3">
      <c r="A49" s="29"/>
      <c r="B49" s="29" t="str">
        <f t="shared" ca="1" si="16"/>
        <v xml:space="preserve">  0x0335, 0xEE65, 0x4335, 0xA6A6, 0x106D, 0xAC42, 0xC042, 0xB649, 0xC813, 0x1053, 0xAC35, 0x0C06, 0x6006, 0x6030, 0x0064, 0x2600, </v>
      </c>
      <c r="C49" s="29"/>
      <c r="D49" s="29"/>
      <c r="E49" s="29"/>
      <c r="F49" s="29"/>
      <c r="G49" s="29"/>
      <c r="H49" s="29"/>
      <c r="I49" s="29"/>
      <c r="J49" s="29"/>
      <c r="K49" s="29"/>
      <c r="L49" s="29"/>
      <c r="M49" s="29"/>
      <c r="N49" s="29"/>
      <c r="O49" s="29"/>
      <c r="P49" s="29"/>
      <c r="Q49" s="29"/>
    </row>
    <row r="50" spans="1:17" ht="18" x14ac:dyDescent="0.3">
      <c r="A50" s="29"/>
      <c r="B50" s="29" t="str">
        <f t="shared" ca="1" si="16"/>
        <v xml:space="preserve">  0x002C, 0x5700, 0xB488, 0x2700, 0x3708, 0xB700, 0x35A8, 0xA4E8, 0x3301, 0x3104, 0x1504, 0x508C, 0x100C, 0x9A80, 0x8A80, 0xAC80, </v>
      </c>
      <c r="C50" s="29"/>
      <c r="D50" s="29"/>
      <c r="E50" s="29"/>
      <c r="F50" s="29"/>
      <c r="G50" s="29"/>
      <c r="H50" s="29"/>
      <c r="I50" s="29"/>
      <c r="J50" s="29"/>
      <c r="K50" s="29"/>
      <c r="L50" s="29"/>
      <c r="M50" s="29"/>
      <c r="N50" s="29"/>
      <c r="O50" s="29"/>
      <c r="P50" s="29"/>
      <c r="Q50" s="29"/>
    </row>
    <row r="51" spans="1:17" ht="18" x14ac:dyDescent="0.3">
      <c r="A51" s="29"/>
      <c r="B51" s="29" t="str">
        <f t="shared" ca="1" si="16"/>
        <v xml:space="preserve">  0x08E8, 0x410D, 0x0880, 0x6450, 0x4988, 0xB100, 0xAD00, 0xB600, 0x3580, 0xA4C8, 0xA4B0, 0x2D26, 0x9249, 0x64B4, 0x00CD, 0x599A, </v>
      </c>
      <c r="C51" s="29"/>
      <c r="D51" s="29"/>
      <c r="E51" s="29"/>
      <c r="F51" s="29"/>
      <c r="G51" s="29"/>
      <c r="H51" s="29"/>
      <c r="I51" s="29"/>
      <c r="J51" s="29"/>
      <c r="K51" s="29"/>
      <c r="L51" s="29"/>
      <c r="M51" s="29"/>
      <c r="N51" s="29"/>
      <c r="O51" s="29"/>
      <c r="P51" s="29"/>
      <c r="Q51" s="29"/>
    </row>
    <row r="52" spans="1:17" ht="18" x14ac:dyDescent="0.3">
      <c r="A52" s="29" t="s">
        <v>173</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AH23"/>
  <sheetViews>
    <sheetView zoomScaleNormal="100" workbookViewId="0">
      <selection activeCell="M34" sqref="M34"/>
    </sheetView>
  </sheetViews>
  <sheetFormatPr defaultRowHeight="13.5" x14ac:dyDescent="0.15"/>
  <cols>
    <col min="1" max="34" width="4.625" customWidth="1"/>
  </cols>
  <sheetData>
    <row r="3" spans="2:34" x14ac:dyDescent="0.15">
      <c r="B3" t="s">
        <v>63</v>
      </c>
    </row>
    <row r="5" spans="2:34" x14ac:dyDescent="0.15">
      <c r="B5" t="s">
        <v>57</v>
      </c>
      <c r="D5" t="s">
        <v>58</v>
      </c>
    </row>
    <row r="6" spans="2:34" x14ac:dyDescent="0.15">
      <c r="B6" s="3"/>
      <c r="C6" s="3" t="s">
        <v>0</v>
      </c>
      <c r="D6" s="3"/>
      <c r="E6" s="3" t="s">
        <v>1</v>
      </c>
      <c r="F6" s="3"/>
      <c r="G6" s="3" t="s">
        <v>2</v>
      </c>
      <c r="H6" s="3"/>
      <c r="I6" s="3" t="s">
        <v>3</v>
      </c>
      <c r="J6" s="3"/>
      <c r="K6" s="3" t="s">
        <v>4</v>
      </c>
      <c r="L6" s="3"/>
      <c r="M6" s="3" t="s">
        <v>5</v>
      </c>
      <c r="N6" s="3"/>
      <c r="O6" s="3" t="s">
        <v>6</v>
      </c>
      <c r="P6" s="3"/>
      <c r="Q6" s="3" t="s">
        <v>7</v>
      </c>
      <c r="R6" s="3"/>
      <c r="S6" s="3" t="s">
        <v>8</v>
      </c>
      <c r="T6" s="3"/>
      <c r="U6" s="3" t="s">
        <v>9</v>
      </c>
      <c r="V6" s="3"/>
      <c r="W6" s="3" t="s">
        <v>10</v>
      </c>
      <c r="X6" s="3"/>
      <c r="Y6" s="3" t="s">
        <v>11</v>
      </c>
      <c r="Z6" s="3"/>
      <c r="AA6" s="3" t="s">
        <v>12</v>
      </c>
      <c r="AB6" s="3"/>
      <c r="AC6" s="3" t="s">
        <v>13</v>
      </c>
      <c r="AD6" s="3"/>
      <c r="AE6" s="3" t="s">
        <v>14</v>
      </c>
      <c r="AF6" s="3"/>
      <c r="AG6" s="3" t="s">
        <v>15</v>
      </c>
      <c r="AH6" s="3"/>
    </row>
    <row r="7" spans="2:34" x14ac:dyDescent="0.15">
      <c r="B7" s="3"/>
      <c r="C7" s="3" t="s">
        <v>16</v>
      </c>
      <c r="D7" s="3" t="s">
        <v>17</v>
      </c>
      <c r="E7" s="3" t="s">
        <v>18</v>
      </c>
      <c r="F7" s="3" t="s">
        <v>19</v>
      </c>
      <c r="G7" s="3" t="s">
        <v>20</v>
      </c>
      <c r="H7" s="3" t="s">
        <v>21</v>
      </c>
      <c r="I7" s="3" t="s">
        <v>22</v>
      </c>
      <c r="J7" s="3" t="s">
        <v>23</v>
      </c>
      <c r="K7" s="3" t="s">
        <v>24</v>
      </c>
      <c r="L7" s="3" t="s">
        <v>25</v>
      </c>
      <c r="M7" s="3" t="s">
        <v>26</v>
      </c>
      <c r="N7" s="3" t="s">
        <v>27</v>
      </c>
      <c r="O7" s="3" t="s">
        <v>28</v>
      </c>
      <c r="P7" s="3" t="s">
        <v>29</v>
      </c>
      <c r="Q7" s="3" t="s">
        <v>30</v>
      </c>
      <c r="R7" s="3" t="s">
        <v>31</v>
      </c>
      <c r="S7" s="3" t="s">
        <v>32</v>
      </c>
      <c r="T7" s="3" t="s">
        <v>33</v>
      </c>
      <c r="U7" s="3" t="s">
        <v>34</v>
      </c>
      <c r="V7" s="3" t="s">
        <v>35</v>
      </c>
      <c r="W7" s="3" t="s">
        <v>36</v>
      </c>
      <c r="X7" s="3" t="s">
        <v>37</v>
      </c>
      <c r="Y7" s="3" t="s">
        <v>38</v>
      </c>
      <c r="Z7" s="3" t="s">
        <v>39</v>
      </c>
      <c r="AA7" s="3" t="s">
        <v>40</v>
      </c>
      <c r="AB7" s="3" t="s">
        <v>41</v>
      </c>
      <c r="AC7" s="3" t="s">
        <v>42</v>
      </c>
      <c r="AD7" s="3" t="s">
        <v>43</v>
      </c>
      <c r="AE7" s="3" t="s">
        <v>44</v>
      </c>
      <c r="AF7" s="3" t="s">
        <v>45</v>
      </c>
      <c r="AG7" s="3" t="s">
        <v>46</v>
      </c>
      <c r="AH7" s="3" t="s">
        <v>47</v>
      </c>
    </row>
    <row r="8" spans="2:34" x14ac:dyDescent="0.15">
      <c r="B8" s="3">
        <v>1</v>
      </c>
      <c r="C8" s="1">
        <v>17</v>
      </c>
      <c r="D8" s="1">
        <v>7</v>
      </c>
      <c r="E8" s="1">
        <v>32</v>
      </c>
      <c r="F8" s="1">
        <v>7</v>
      </c>
      <c r="G8" s="1">
        <v>41</v>
      </c>
      <c r="H8" s="1">
        <v>12</v>
      </c>
      <c r="I8" s="1">
        <v>36</v>
      </c>
      <c r="J8" s="1">
        <v>38.5</v>
      </c>
      <c r="K8" s="1">
        <v>9</v>
      </c>
      <c r="L8" s="1">
        <v>60</v>
      </c>
      <c r="M8" s="1">
        <v>24</v>
      </c>
      <c r="N8" s="1">
        <v>60</v>
      </c>
      <c r="O8" s="1">
        <v>8</v>
      </c>
      <c r="P8" s="1">
        <v>38</v>
      </c>
      <c r="Q8" s="1">
        <v>12.5</v>
      </c>
      <c r="R8" s="1">
        <v>11</v>
      </c>
      <c r="S8" s="1">
        <v>13.5</v>
      </c>
      <c r="T8" s="1">
        <v>33.5</v>
      </c>
      <c r="U8" s="1">
        <v>29</v>
      </c>
      <c r="V8" s="1">
        <v>33.5</v>
      </c>
      <c r="W8" s="1">
        <v>16.5</v>
      </c>
      <c r="X8" s="1">
        <v>17</v>
      </c>
      <c r="Y8" s="1">
        <v>27</v>
      </c>
      <c r="Z8" s="1">
        <v>11</v>
      </c>
      <c r="AA8" s="1">
        <v>36</v>
      </c>
      <c r="AB8" s="1">
        <v>16</v>
      </c>
      <c r="AC8" s="1">
        <v>26</v>
      </c>
      <c r="AD8" s="1">
        <v>46</v>
      </c>
      <c r="AE8" s="1">
        <v>21</v>
      </c>
      <c r="AF8" s="1">
        <v>43</v>
      </c>
      <c r="AG8" s="1">
        <v>20</v>
      </c>
      <c r="AH8" s="1">
        <v>38.5</v>
      </c>
    </row>
    <row r="9" spans="2:34" x14ac:dyDescent="0.15">
      <c r="B9" s="3">
        <v>2</v>
      </c>
      <c r="C9" s="1">
        <v>27</v>
      </c>
      <c r="D9" s="1">
        <v>7</v>
      </c>
      <c r="E9" s="1">
        <v>42</v>
      </c>
      <c r="F9" s="1">
        <v>7</v>
      </c>
      <c r="G9" s="1">
        <v>44</v>
      </c>
      <c r="H9" s="1">
        <v>9</v>
      </c>
      <c r="I9" s="1">
        <v>38</v>
      </c>
      <c r="J9" s="1">
        <v>36.5</v>
      </c>
      <c r="K9" s="1">
        <v>16.5</v>
      </c>
      <c r="L9" s="1">
        <v>60</v>
      </c>
      <c r="M9" s="1">
        <v>31</v>
      </c>
      <c r="N9" s="1">
        <v>60</v>
      </c>
      <c r="O9" s="1">
        <v>10</v>
      </c>
      <c r="P9" s="1">
        <v>36.5</v>
      </c>
      <c r="Q9" s="1">
        <v>14</v>
      </c>
      <c r="R9" s="1">
        <v>9</v>
      </c>
      <c r="S9" s="1">
        <v>21</v>
      </c>
      <c r="T9" s="1">
        <v>33.5</v>
      </c>
      <c r="U9" s="1">
        <v>36</v>
      </c>
      <c r="V9" s="1">
        <v>33.5</v>
      </c>
      <c r="W9" s="1">
        <v>17</v>
      </c>
      <c r="X9" s="1">
        <v>12</v>
      </c>
      <c r="Y9" s="1">
        <v>29</v>
      </c>
      <c r="Z9" s="1">
        <v>9</v>
      </c>
      <c r="AA9" s="1">
        <v>40</v>
      </c>
      <c r="AB9" s="1">
        <v>12.5</v>
      </c>
      <c r="AC9" s="1">
        <v>24.5</v>
      </c>
      <c r="AD9" s="1">
        <v>36.5</v>
      </c>
      <c r="AE9" s="1">
        <v>24</v>
      </c>
      <c r="AF9" s="1">
        <v>37</v>
      </c>
      <c r="AG9" s="1">
        <v>23.5</v>
      </c>
      <c r="AH9" s="1">
        <v>36.5</v>
      </c>
    </row>
    <row r="10" spans="2:34" x14ac:dyDescent="0.15">
      <c r="B10" s="3">
        <v>3</v>
      </c>
      <c r="C10" s="1">
        <v>28</v>
      </c>
      <c r="D10" s="1">
        <v>8</v>
      </c>
      <c r="E10" s="1">
        <v>43</v>
      </c>
      <c r="F10" s="1">
        <v>8</v>
      </c>
      <c r="G10" s="1">
        <v>45</v>
      </c>
      <c r="H10" s="1">
        <v>11</v>
      </c>
      <c r="I10" s="1">
        <v>40</v>
      </c>
      <c r="J10" s="1">
        <v>38</v>
      </c>
      <c r="K10" s="1">
        <v>19</v>
      </c>
      <c r="L10" s="1">
        <v>63</v>
      </c>
      <c r="M10" s="1">
        <v>33</v>
      </c>
      <c r="N10" s="1">
        <v>63</v>
      </c>
      <c r="O10" s="1">
        <v>12</v>
      </c>
      <c r="P10" s="1">
        <v>38.5</v>
      </c>
      <c r="Q10" s="1">
        <v>16</v>
      </c>
      <c r="R10" s="1">
        <v>12</v>
      </c>
      <c r="S10" s="1">
        <v>23.5</v>
      </c>
      <c r="T10" s="1">
        <v>35.5</v>
      </c>
      <c r="U10" s="1">
        <v>37.5</v>
      </c>
      <c r="V10" s="1">
        <v>35.5</v>
      </c>
      <c r="W10" s="1">
        <v>19.5</v>
      </c>
      <c r="X10" s="1">
        <v>15</v>
      </c>
      <c r="Y10" s="1">
        <v>31</v>
      </c>
      <c r="Z10" s="1">
        <v>11.5</v>
      </c>
      <c r="AA10" s="1">
        <v>39</v>
      </c>
      <c r="AB10" s="1">
        <v>18</v>
      </c>
      <c r="AC10" s="1">
        <v>27</v>
      </c>
      <c r="AD10" s="1">
        <v>38.5</v>
      </c>
      <c r="AE10" s="1">
        <v>24.5</v>
      </c>
      <c r="AF10" s="1">
        <v>43</v>
      </c>
      <c r="AG10" s="1">
        <v>18</v>
      </c>
      <c r="AH10" s="1">
        <v>47</v>
      </c>
    </row>
    <row r="11" spans="2:34" x14ac:dyDescent="0.15">
      <c r="B11" s="3">
        <v>4</v>
      </c>
      <c r="C11" s="1">
        <v>25</v>
      </c>
      <c r="D11" s="1">
        <v>11</v>
      </c>
      <c r="E11" s="1">
        <v>40</v>
      </c>
      <c r="F11" s="1">
        <v>11</v>
      </c>
      <c r="G11" s="1">
        <v>41</v>
      </c>
      <c r="H11" s="1">
        <v>33</v>
      </c>
      <c r="I11" s="1">
        <v>36</v>
      </c>
      <c r="J11" s="1">
        <v>60</v>
      </c>
      <c r="K11" s="1">
        <v>17</v>
      </c>
      <c r="L11" s="1">
        <v>64</v>
      </c>
      <c r="M11" s="1">
        <v>32</v>
      </c>
      <c r="N11" s="1">
        <v>64</v>
      </c>
      <c r="O11" s="1">
        <v>8</v>
      </c>
      <c r="P11" s="1">
        <v>59</v>
      </c>
      <c r="Q11" s="1">
        <v>13</v>
      </c>
      <c r="R11" s="1">
        <v>32.5</v>
      </c>
      <c r="S11" s="1">
        <v>20</v>
      </c>
      <c r="T11" s="1">
        <v>37.5</v>
      </c>
      <c r="U11" s="1">
        <v>35</v>
      </c>
      <c r="V11" s="1">
        <v>37.5</v>
      </c>
      <c r="W11" s="1">
        <v>22.5</v>
      </c>
      <c r="X11" s="1">
        <v>25</v>
      </c>
      <c r="Y11" s="1">
        <v>27.5</v>
      </c>
      <c r="Z11" s="1">
        <v>28</v>
      </c>
      <c r="AA11" s="1">
        <v>28</v>
      </c>
      <c r="AB11" s="1">
        <v>33</v>
      </c>
      <c r="AC11" s="1">
        <v>32</v>
      </c>
      <c r="AD11" s="1">
        <v>54</v>
      </c>
      <c r="AE11" s="1">
        <v>22</v>
      </c>
      <c r="AF11" s="1">
        <v>59.5</v>
      </c>
      <c r="AG11" s="1">
        <v>13.5</v>
      </c>
      <c r="AH11" s="1">
        <v>55</v>
      </c>
    </row>
    <row r="12" spans="2:34" x14ac:dyDescent="0.15">
      <c r="B12" s="3">
        <v>5</v>
      </c>
      <c r="C12" s="1">
        <v>17</v>
      </c>
      <c r="D12" s="1">
        <v>11</v>
      </c>
      <c r="E12" s="1">
        <v>32.5</v>
      </c>
      <c r="F12" s="1">
        <v>11</v>
      </c>
      <c r="G12" s="1">
        <v>38.5</v>
      </c>
      <c r="H12" s="1">
        <v>35</v>
      </c>
      <c r="I12" s="1">
        <v>34</v>
      </c>
      <c r="J12" s="1">
        <v>62</v>
      </c>
      <c r="K12" s="1">
        <v>7</v>
      </c>
      <c r="L12" s="1">
        <v>64</v>
      </c>
      <c r="M12" s="1">
        <v>21</v>
      </c>
      <c r="N12" s="1">
        <v>64</v>
      </c>
      <c r="O12" s="1">
        <v>5</v>
      </c>
      <c r="P12" s="1">
        <v>62</v>
      </c>
      <c r="Q12" s="1">
        <v>10</v>
      </c>
      <c r="R12" s="1">
        <v>35</v>
      </c>
      <c r="S12" s="1">
        <v>13</v>
      </c>
      <c r="T12" s="1">
        <v>37.5</v>
      </c>
      <c r="U12" s="1">
        <v>27.5</v>
      </c>
      <c r="V12" s="1">
        <v>37.5</v>
      </c>
      <c r="W12" s="1">
        <v>24</v>
      </c>
      <c r="X12" s="1">
        <v>34.5</v>
      </c>
      <c r="Y12" s="1">
        <v>24.5</v>
      </c>
      <c r="Z12" s="1">
        <v>34</v>
      </c>
      <c r="AA12" s="1">
        <v>25.5</v>
      </c>
      <c r="AB12" s="1">
        <v>34.5</v>
      </c>
      <c r="AC12" s="1">
        <v>31</v>
      </c>
      <c r="AD12" s="1">
        <v>58</v>
      </c>
      <c r="AE12" s="1">
        <v>19.5</v>
      </c>
      <c r="AF12" s="1">
        <v>61.5</v>
      </c>
      <c r="AG12" s="1">
        <v>9</v>
      </c>
      <c r="AH12" s="1">
        <v>58.5</v>
      </c>
    </row>
    <row r="13" spans="2:34" x14ac:dyDescent="0.15">
      <c r="B13" s="3">
        <v>6</v>
      </c>
      <c r="C13" s="1">
        <v>15</v>
      </c>
      <c r="D13" s="1">
        <v>8</v>
      </c>
      <c r="E13" s="1">
        <v>30</v>
      </c>
      <c r="F13" s="1">
        <v>8</v>
      </c>
      <c r="G13" s="1">
        <v>37</v>
      </c>
      <c r="H13" s="1">
        <v>33</v>
      </c>
      <c r="I13" s="1">
        <v>32</v>
      </c>
      <c r="J13" s="1">
        <v>59</v>
      </c>
      <c r="K13" s="1">
        <v>5.5</v>
      </c>
      <c r="L13" s="1">
        <v>63</v>
      </c>
      <c r="M13" s="1">
        <v>20</v>
      </c>
      <c r="N13" s="1">
        <v>63</v>
      </c>
      <c r="O13" s="1">
        <v>4</v>
      </c>
      <c r="P13" s="1">
        <v>60</v>
      </c>
      <c r="Q13" s="1">
        <v>9</v>
      </c>
      <c r="R13" s="1">
        <v>33</v>
      </c>
      <c r="S13" s="1">
        <v>11</v>
      </c>
      <c r="T13" s="1">
        <v>35.5</v>
      </c>
      <c r="U13" s="1">
        <v>25</v>
      </c>
      <c r="V13" s="1">
        <v>35.5</v>
      </c>
      <c r="W13" s="1">
        <v>21.5</v>
      </c>
      <c r="X13" s="1">
        <v>32.5</v>
      </c>
      <c r="Y13" s="1">
        <v>24</v>
      </c>
      <c r="Z13" s="1">
        <v>28</v>
      </c>
      <c r="AA13" s="1">
        <v>31</v>
      </c>
      <c r="AB13" s="1">
        <v>23</v>
      </c>
      <c r="AC13" s="1">
        <v>28.5</v>
      </c>
      <c r="AD13" s="1">
        <v>55</v>
      </c>
      <c r="AE13" s="1">
        <v>18</v>
      </c>
      <c r="AF13" s="1">
        <v>59.5</v>
      </c>
      <c r="AG13" s="1">
        <v>10</v>
      </c>
      <c r="AH13" s="1">
        <v>53</v>
      </c>
    </row>
    <row r="14" spans="2:34" x14ac:dyDescent="0.15">
      <c r="C14" s="2"/>
      <c r="D14" s="2"/>
    </row>
    <row r="15" spans="2:34" x14ac:dyDescent="0.15">
      <c r="C15">
        <v>72</v>
      </c>
      <c r="D15" t="s">
        <v>59</v>
      </c>
    </row>
    <row r="16" spans="2:34" x14ac:dyDescent="0.15">
      <c r="C16">
        <v>25.4</v>
      </c>
      <c r="D16" t="s">
        <v>60</v>
      </c>
    </row>
    <row r="17" spans="2:34" x14ac:dyDescent="0.15">
      <c r="B17" t="s">
        <v>61</v>
      </c>
      <c r="D17" t="s">
        <v>62</v>
      </c>
    </row>
    <row r="18" spans="2:34" x14ac:dyDescent="0.15">
      <c r="C18" s="3">
        <f>C8*$C$15/$C$16</f>
        <v>48.188976377952756</v>
      </c>
      <c r="D18" s="3">
        <f t="shared" ref="D18:AH18" si="0">D8*$C$15/$C$16</f>
        <v>19.84251968503937</v>
      </c>
      <c r="E18" s="3">
        <f t="shared" si="0"/>
        <v>90.708661417322844</v>
      </c>
      <c r="F18" s="3">
        <f t="shared" si="0"/>
        <v>19.84251968503937</v>
      </c>
      <c r="G18" s="3">
        <f t="shared" si="0"/>
        <v>116.22047244094489</v>
      </c>
      <c r="H18" s="3">
        <f t="shared" si="0"/>
        <v>34.015748031496067</v>
      </c>
      <c r="I18" s="3">
        <f t="shared" si="0"/>
        <v>102.04724409448819</v>
      </c>
      <c r="J18" s="3">
        <f t="shared" si="0"/>
        <v>109.13385826771655</v>
      </c>
      <c r="K18" s="3">
        <f t="shared" si="0"/>
        <v>25.511811023622048</v>
      </c>
      <c r="L18" s="3">
        <f t="shared" si="0"/>
        <v>170.07874015748033</v>
      </c>
      <c r="M18" s="3">
        <f t="shared" si="0"/>
        <v>68.031496062992133</v>
      </c>
      <c r="N18" s="3">
        <f t="shared" si="0"/>
        <v>170.07874015748033</v>
      </c>
      <c r="O18" s="3">
        <f t="shared" si="0"/>
        <v>22.677165354330711</v>
      </c>
      <c r="P18" s="3">
        <f t="shared" si="0"/>
        <v>107.71653543307087</v>
      </c>
      <c r="Q18" s="3">
        <f t="shared" si="0"/>
        <v>35.433070866141733</v>
      </c>
      <c r="R18" s="3">
        <f t="shared" si="0"/>
        <v>31.181102362204726</v>
      </c>
      <c r="S18" s="3">
        <f t="shared" si="0"/>
        <v>38.267716535433074</v>
      </c>
      <c r="T18" s="3">
        <f t="shared" si="0"/>
        <v>94.960629921259851</v>
      </c>
      <c r="U18" s="3">
        <f t="shared" si="0"/>
        <v>82.204724409448829</v>
      </c>
      <c r="V18" s="3">
        <f t="shared" si="0"/>
        <v>94.960629921259851</v>
      </c>
      <c r="W18" s="3">
        <f t="shared" si="0"/>
        <v>46.771653543307089</v>
      </c>
      <c r="X18" s="3">
        <f t="shared" si="0"/>
        <v>48.188976377952756</v>
      </c>
      <c r="Y18" s="3">
        <f t="shared" si="0"/>
        <v>76.535433070866148</v>
      </c>
      <c r="Z18" s="3">
        <f t="shared" si="0"/>
        <v>31.181102362204726</v>
      </c>
      <c r="AA18" s="3">
        <f t="shared" si="0"/>
        <v>102.04724409448819</v>
      </c>
      <c r="AB18" s="3">
        <f t="shared" si="0"/>
        <v>45.354330708661422</v>
      </c>
      <c r="AC18" s="3">
        <f t="shared" si="0"/>
        <v>73.700787401574814</v>
      </c>
      <c r="AD18" s="3">
        <f t="shared" si="0"/>
        <v>130.39370078740157</v>
      </c>
      <c r="AE18" s="3">
        <f t="shared" si="0"/>
        <v>59.527559055118111</v>
      </c>
      <c r="AF18" s="3">
        <f t="shared" si="0"/>
        <v>121.88976377952757</v>
      </c>
      <c r="AG18" s="3">
        <f t="shared" si="0"/>
        <v>56.692913385826778</v>
      </c>
      <c r="AH18" s="3">
        <f t="shared" si="0"/>
        <v>109.13385826771655</v>
      </c>
    </row>
    <row r="19" spans="2:34" x14ac:dyDescent="0.15">
      <c r="C19" s="3">
        <f t="shared" ref="C19:AH19" si="1">C9*$C$15/$C$16</f>
        <v>76.535433070866148</v>
      </c>
      <c r="D19" s="3">
        <f t="shared" si="1"/>
        <v>19.84251968503937</v>
      </c>
      <c r="E19" s="3">
        <f t="shared" si="1"/>
        <v>119.05511811023622</v>
      </c>
      <c r="F19" s="3">
        <f t="shared" si="1"/>
        <v>19.84251968503937</v>
      </c>
      <c r="G19" s="3">
        <f t="shared" si="1"/>
        <v>124.7244094488189</v>
      </c>
      <c r="H19" s="3">
        <f t="shared" si="1"/>
        <v>25.511811023622048</v>
      </c>
      <c r="I19" s="3">
        <f t="shared" si="1"/>
        <v>107.71653543307087</v>
      </c>
      <c r="J19" s="3">
        <f t="shared" si="1"/>
        <v>103.46456692913387</v>
      </c>
      <c r="K19" s="3">
        <f t="shared" si="1"/>
        <v>46.771653543307089</v>
      </c>
      <c r="L19" s="3">
        <f t="shared" si="1"/>
        <v>170.07874015748033</v>
      </c>
      <c r="M19" s="3">
        <f t="shared" si="1"/>
        <v>87.874015748031496</v>
      </c>
      <c r="N19" s="3">
        <f t="shared" si="1"/>
        <v>170.07874015748033</v>
      </c>
      <c r="O19" s="3">
        <f t="shared" si="1"/>
        <v>28.346456692913389</v>
      </c>
      <c r="P19" s="3">
        <f t="shared" si="1"/>
        <v>103.46456692913387</v>
      </c>
      <c r="Q19" s="3">
        <f t="shared" si="1"/>
        <v>39.685039370078741</v>
      </c>
      <c r="R19" s="3">
        <f t="shared" si="1"/>
        <v>25.511811023622048</v>
      </c>
      <c r="S19" s="3">
        <f t="shared" si="1"/>
        <v>59.527559055118111</v>
      </c>
      <c r="T19" s="3">
        <f t="shared" si="1"/>
        <v>94.960629921259851</v>
      </c>
      <c r="U19" s="3">
        <f t="shared" si="1"/>
        <v>102.04724409448819</v>
      </c>
      <c r="V19" s="3">
        <f t="shared" si="1"/>
        <v>94.960629921259851</v>
      </c>
      <c r="W19" s="3">
        <f t="shared" si="1"/>
        <v>48.188976377952756</v>
      </c>
      <c r="X19" s="3">
        <f t="shared" si="1"/>
        <v>34.015748031496067</v>
      </c>
      <c r="Y19" s="3">
        <f t="shared" si="1"/>
        <v>82.204724409448829</v>
      </c>
      <c r="Z19" s="3">
        <f t="shared" si="1"/>
        <v>25.511811023622048</v>
      </c>
      <c r="AA19" s="3">
        <f t="shared" si="1"/>
        <v>113.38582677165356</v>
      </c>
      <c r="AB19" s="3">
        <f t="shared" si="1"/>
        <v>35.433070866141733</v>
      </c>
      <c r="AC19" s="3">
        <f t="shared" si="1"/>
        <v>69.448818897637793</v>
      </c>
      <c r="AD19" s="3">
        <f t="shared" si="1"/>
        <v>103.46456692913387</v>
      </c>
      <c r="AE19" s="3">
        <f t="shared" si="1"/>
        <v>68.031496062992133</v>
      </c>
      <c r="AF19" s="3">
        <f t="shared" si="1"/>
        <v>104.88188976377954</v>
      </c>
      <c r="AG19" s="3">
        <f t="shared" si="1"/>
        <v>66.614173228346459</v>
      </c>
      <c r="AH19" s="3">
        <f t="shared" si="1"/>
        <v>103.46456692913387</v>
      </c>
    </row>
    <row r="20" spans="2:34" x14ac:dyDescent="0.15">
      <c r="C20" s="3">
        <f t="shared" ref="C20:AH20" si="2">C10*$C$15/$C$16</f>
        <v>79.370078740157481</v>
      </c>
      <c r="D20" s="3">
        <f t="shared" si="2"/>
        <v>22.677165354330711</v>
      </c>
      <c r="E20" s="3">
        <f t="shared" si="2"/>
        <v>121.88976377952757</v>
      </c>
      <c r="F20" s="3">
        <f t="shared" si="2"/>
        <v>22.677165354330711</v>
      </c>
      <c r="G20" s="3">
        <f t="shared" si="2"/>
        <v>127.55905511811024</v>
      </c>
      <c r="H20" s="3">
        <f t="shared" si="2"/>
        <v>31.181102362204726</v>
      </c>
      <c r="I20" s="3">
        <f t="shared" si="2"/>
        <v>113.38582677165356</v>
      </c>
      <c r="J20" s="3">
        <f t="shared" si="2"/>
        <v>107.71653543307087</v>
      </c>
      <c r="K20" s="3">
        <f t="shared" si="2"/>
        <v>53.858267716535437</v>
      </c>
      <c r="L20" s="3">
        <f t="shared" si="2"/>
        <v>178.58267716535434</v>
      </c>
      <c r="M20" s="3">
        <f t="shared" si="2"/>
        <v>93.543307086614178</v>
      </c>
      <c r="N20" s="3">
        <f t="shared" si="2"/>
        <v>178.58267716535434</v>
      </c>
      <c r="O20" s="3">
        <f t="shared" si="2"/>
        <v>34.015748031496067</v>
      </c>
      <c r="P20" s="3">
        <f t="shared" si="2"/>
        <v>109.13385826771655</v>
      </c>
      <c r="Q20" s="3">
        <f t="shared" si="2"/>
        <v>45.354330708661422</v>
      </c>
      <c r="R20" s="3">
        <f t="shared" si="2"/>
        <v>34.015748031496067</v>
      </c>
      <c r="S20" s="3">
        <f t="shared" si="2"/>
        <v>66.614173228346459</v>
      </c>
      <c r="T20" s="3">
        <f t="shared" si="2"/>
        <v>100.62992125984252</v>
      </c>
      <c r="U20" s="3">
        <f t="shared" si="2"/>
        <v>106.2992125984252</v>
      </c>
      <c r="V20" s="3">
        <f t="shared" si="2"/>
        <v>100.62992125984252</v>
      </c>
      <c r="W20" s="3">
        <f t="shared" si="2"/>
        <v>55.275590551181104</v>
      </c>
      <c r="X20" s="3">
        <f t="shared" si="2"/>
        <v>42.519685039370081</v>
      </c>
      <c r="Y20" s="3">
        <f t="shared" si="2"/>
        <v>87.874015748031496</v>
      </c>
      <c r="Z20" s="3">
        <f t="shared" si="2"/>
        <v>32.598425196850393</v>
      </c>
      <c r="AA20" s="3">
        <f t="shared" si="2"/>
        <v>110.55118110236221</v>
      </c>
      <c r="AB20" s="3">
        <f t="shared" si="2"/>
        <v>51.023622047244096</v>
      </c>
      <c r="AC20" s="3">
        <f t="shared" si="2"/>
        <v>76.535433070866148</v>
      </c>
      <c r="AD20" s="3">
        <f t="shared" si="2"/>
        <v>109.13385826771655</v>
      </c>
      <c r="AE20" s="3">
        <f t="shared" si="2"/>
        <v>69.448818897637793</v>
      </c>
      <c r="AF20" s="3">
        <f t="shared" si="2"/>
        <v>121.88976377952757</v>
      </c>
      <c r="AG20" s="3">
        <f t="shared" si="2"/>
        <v>51.023622047244096</v>
      </c>
      <c r="AH20" s="3">
        <f t="shared" si="2"/>
        <v>133.22834645669292</v>
      </c>
    </row>
    <row r="21" spans="2:34" x14ac:dyDescent="0.15">
      <c r="C21" s="3">
        <f t="shared" ref="C21:AH21" si="3">C11*$C$15/$C$16</f>
        <v>70.866141732283467</v>
      </c>
      <c r="D21" s="3">
        <f t="shared" si="3"/>
        <v>31.181102362204726</v>
      </c>
      <c r="E21" s="3">
        <f t="shared" si="3"/>
        <v>113.38582677165356</v>
      </c>
      <c r="F21" s="3">
        <f t="shared" si="3"/>
        <v>31.181102362204726</v>
      </c>
      <c r="G21" s="3">
        <f t="shared" si="3"/>
        <v>116.22047244094489</v>
      </c>
      <c r="H21" s="3">
        <f t="shared" si="3"/>
        <v>93.543307086614178</v>
      </c>
      <c r="I21" s="3">
        <f t="shared" si="3"/>
        <v>102.04724409448819</v>
      </c>
      <c r="J21" s="3">
        <f t="shared" si="3"/>
        <v>170.07874015748033</v>
      </c>
      <c r="K21" s="3">
        <f t="shared" si="3"/>
        <v>48.188976377952756</v>
      </c>
      <c r="L21" s="3">
        <f t="shared" si="3"/>
        <v>181.41732283464569</v>
      </c>
      <c r="M21" s="3">
        <f t="shared" si="3"/>
        <v>90.708661417322844</v>
      </c>
      <c r="N21" s="3">
        <f t="shared" si="3"/>
        <v>181.41732283464569</v>
      </c>
      <c r="O21" s="3">
        <f t="shared" si="3"/>
        <v>22.677165354330711</v>
      </c>
      <c r="P21" s="3">
        <f t="shared" si="3"/>
        <v>167.24409448818898</v>
      </c>
      <c r="Q21" s="3">
        <f t="shared" si="3"/>
        <v>36.850393700787407</v>
      </c>
      <c r="R21" s="3">
        <f t="shared" si="3"/>
        <v>92.125984251968504</v>
      </c>
      <c r="S21" s="3">
        <f t="shared" si="3"/>
        <v>56.692913385826778</v>
      </c>
      <c r="T21" s="3">
        <f t="shared" si="3"/>
        <v>106.2992125984252</v>
      </c>
      <c r="U21" s="3">
        <f t="shared" si="3"/>
        <v>99.212598425196859</v>
      </c>
      <c r="V21" s="3">
        <f t="shared" si="3"/>
        <v>106.2992125984252</v>
      </c>
      <c r="W21" s="3">
        <f t="shared" si="3"/>
        <v>63.779527559055119</v>
      </c>
      <c r="X21" s="3">
        <f t="shared" si="3"/>
        <v>70.866141732283467</v>
      </c>
      <c r="Y21" s="3">
        <f t="shared" si="3"/>
        <v>77.952755905511822</v>
      </c>
      <c r="Z21" s="3">
        <f t="shared" si="3"/>
        <v>79.370078740157481</v>
      </c>
      <c r="AA21" s="3">
        <f t="shared" si="3"/>
        <v>79.370078740157481</v>
      </c>
      <c r="AB21" s="3">
        <f t="shared" si="3"/>
        <v>93.543307086614178</v>
      </c>
      <c r="AC21" s="3">
        <f t="shared" si="3"/>
        <v>90.708661417322844</v>
      </c>
      <c r="AD21" s="3">
        <f t="shared" si="3"/>
        <v>153.0708661417323</v>
      </c>
      <c r="AE21" s="3">
        <f t="shared" si="3"/>
        <v>62.362204724409452</v>
      </c>
      <c r="AF21" s="3">
        <f t="shared" si="3"/>
        <v>168.66141732283467</v>
      </c>
      <c r="AG21" s="3">
        <f t="shared" si="3"/>
        <v>38.267716535433074</v>
      </c>
      <c r="AH21" s="3">
        <f t="shared" si="3"/>
        <v>155.90551181102364</v>
      </c>
    </row>
    <row r="22" spans="2:34" x14ac:dyDescent="0.15">
      <c r="C22" s="3">
        <f t="shared" ref="C22:AH22" si="4">C12*$C$15/$C$16</f>
        <v>48.188976377952756</v>
      </c>
      <c r="D22" s="3">
        <f t="shared" si="4"/>
        <v>31.181102362204726</v>
      </c>
      <c r="E22" s="3">
        <f t="shared" si="4"/>
        <v>92.125984251968504</v>
      </c>
      <c r="F22" s="3">
        <f t="shared" si="4"/>
        <v>31.181102362204726</v>
      </c>
      <c r="G22" s="3">
        <f t="shared" si="4"/>
        <v>109.13385826771655</v>
      </c>
      <c r="H22" s="3">
        <f t="shared" si="4"/>
        <v>99.212598425196859</v>
      </c>
      <c r="I22" s="3">
        <f t="shared" si="4"/>
        <v>96.377952755905511</v>
      </c>
      <c r="J22" s="3">
        <f t="shared" si="4"/>
        <v>175.74803149606299</v>
      </c>
      <c r="K22" s="3">
        <f t="shared" si="4"/>
        <v>19.84251968503937</v>
      </c>
      <c r="L22" s="3">
        <f t="shared" si="4"/>
        <v>181.41732283464569</v>
      </c>
      <c r="M22" s="3">
        <f t="shared" si="4"/>
        <v>59.527559055118111</v>
      </c>
      <c r="N22" s="3">
        <f t="shared" si="4"/>
        <v>181.41732283464569</v>
      </c>
      <c r="O22" s="3">
        <f t="shared" si="4"/>
        <v>14.173228346456694</v>
      </c>
      <c r="P22" s="3">
        <f t="shared" si="4"/>
        <v>175.74803149606299</v>
      </c>
      <c r="Q22" s="3">
        <f t="shared" si="4"/>
        <v>28.346456692913389</v>
      </c>
      <c r="R22" s="3">
        <f t="shared" si="4"/>
        <v>99.212598425196859</v>
      </c>
      <c r="S22" s="3">
        <f t="shared" si="4"/>
        <v>36.850393700787407</v>
      </c>
      <c r="T22" s="3">
        <f t="shared" si="4"/>
        <v>106.2992125984252</v>
      </c>
      <c r="U22" s="3">
        <f t="shared" si="4"/>
        <v>77.952755905511822</v>
      </c>
      <c r="V22" s="3">
        <f t="shared" si="4"/>
        <v>106.2992125984252</v>
      </c>
      <c r="W22" s="3">
        <f t="shared" si="4"/>
        <v>68.031496062992133</v>
      </c>
      <c r="X22" s="3">
        <f t="shared" si="4"/>
        <v>97.795275590551185</v>
      </c>
      <c r="Y22" s="3">
        <f t="shared" si="4"/>
        <v>69.448818897637793</v>
      </c>
      <c r="Z22" s="3">
        <f t="shared" si="4"/>
        <v>96.377952755905511</v>
      </c>
      <c r="AA22" s="3">
        <f t="shared" si="4"/>
        <v>72.28346456692914</v>
      </c>
      <c r="AB22" s="3">
        <f t="shared" si="4"/>
        <v>97.795275590551185</v>
      </c>
      <c r="AC22" s="3">
        <f t="shared" si="4"/>
        <v>87.874015748031496</v>
      </c>
      <c r="AD22" s="3">
        <f t="shared" si="4"/>
        <v>164.40944881889766</v>
      </c>
      <c r="AE22" s="3">
        <f t="shared" si="4"/>
        <v>55.275590551181104</v>
      </c>
      <c r="AF22" s="3">
        <f t="shared" si="4"/>
        <v>174.33070866141733</v>
      </c>
      <c r="AG22" s="3">
        <f t="shared" si="4"/>
        <v>25.511811023622048</v>
      </c>
      <c r="AH22" s="3">
        <f t="shared" si="4"/>
        <v>165.82677165354332</v>
      </c>
    </row>
    <row r="23" spans="2:34" x14ac:dyDescent="0.15">
      <c r="C23" s="3">
        <f t="shared" ref="C23:AH23" si="5">C13*$C$15/$C$16</f>
        <v>42.519685039370081</v>
      </c>
      <c r="D23" s="3">
        <f t="shared" si="5"/>
        <v>22.677165354330711</v>
      </c>
      <c r="E23" s="3">
        <f t="shared" si="5"/>
        <v>85.039370078740163</v>
      </c>
      <c r="F23" s="3">
        <f t="shared" si="5"/>
        <v>22.677165354330711</v>
      </c>
      <c r="G23" s="3">
        <f t="shared" si="5"/>
        <v>104.88188976377954</v>
      </c>
      <c r="H23" s="3">
        <f t="shared" si="5"/>
        <v>93.543307086614178</v>
      </c>
      <c r="I23" s="3">
        <f t="shared" si="5"/>
        <v>90.708661417322844</v>
      </c>
      <c r="J23" s="3">
        <f t="shared" si="5"/>
        <v>167.24409448818898</v>
      </c>
      <c r="K23" s="3">
        <f t="shared" si="5"/>
        <v>15.590551181102363</v>
      </c>
      <c r="L23" s="3">
        <f t="shared" si="5"/>
        <v>178.58267716535434</v>
      </c>
      <c r="M23" s="3">
        <f t="shared" si="5"/>
        <v>56.692913385826778</v>
      </c>
      <c r="N23" s="3">
        <f t="shared" si="5"/>
        <v>178.58267716535434</v>
      </c>
      <c r="O23" s="3">
        <f t="shared" si="5"/>
        <v>11.338582677165356</v>
      </c>
      <c r="P23" s="3">
        <f t="shared" si="5"/>
        <v>170.07874015748033</v>
      </c>
      <c r="Q23" s="3">
        <f t="shared" si="5"/>
        <v>25.511811023622048</v>
      </c>
      <c r="R23" s="3">
        <f t="shared" si="5"/>
        <v>93.543307086614178</v>
      </c>
      <c r="S23" s="3">
        <f t="shared" si="5"/>
        <v>31.181102362204726</v>
      </c>
      <c r="T23" s="3">
        <f t="shared" si="5"/>
        <v>100.62992125984252</v>
      </c>
      <c r="U23" s="3">
        <f t="shared" si="5"/>
        <v>70.866141732283467</v>
      </c>
      <c r="V23" s="3">
        <f t="shared" si="5"/>
        <v>100.62992125984252</v>
      </c>
      <c r="W23" s="3">
        <f t="shared" si="5"/>
        <v>60.944881889763785</v>
      </c>
      <c r="X23" s="3">
        <f t="shared" si="5"/>
        <v>92.125984251968504</v>
      </c>
      <c r="Y23" s="3">
        <f t="shared" si="5"/>
        <v>68.031496062992133</v>
      </c>
      <c r="Z23" s="3">
        <f t="shared" si="5"/>
        <v>79.370078740157481</v>
      </c>
      <c r="AA23" s="3">
        <f t="shared" si="5"/>
        <v>87.874015748031496</v>
      </c>
      <c r="AB23" s="3">
        <f t="shared" si="5"/>
        <v>65.196850393700785</v>
      </c>
      <c r="AC23" s="3">
        <f t="shared" si="5"/>
        <v>80.787401574803155</v>
      </c>
      <c r="AD23" s="3">
        <f t="shared" si="5"/>
        <v>155.90551181102364</v>
      </c>
      <c r="AE23" s="3">
        <f t="shared" si="5"/>
        <v>51.023622047244096</v>
      </c>
      <c r="AF23" s="3">
        <f t="shared" si="5"/>
        <v>168.66141732283467</v>
      </c>
      <c r="AG23" s="3">
        <f t="shared" si="5"/>
        <v>28.346456692913389</v>
      </c>
      <c r="AH23" s="3">
        <f t="shared" si="5"/>
        <v>150.23622047244095</v>
      </c>
    </row>
  </sheetData>
  <phoneticPr fontId="1"/>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A407C-0B0A-4BCC-A051-D89CAD885965}">
  <sheetPr codeName="Sheet5"/>
  <dimension ref="A7:R10"/>
  <sheetViews>
    <sheetView workbookViewId="0">
      <selection activeCell="B10" sqref="B10"/>
    </sheetView>
  </sheetViews>
  <sheetFormatPr defaultRowHeight="13.5" x14ac:dyDescent="0.15"/>
  <cols>
    <col min="1" max="1" width="5.75" customWidth="1"/>
    <col min="2" max="2" width="16.625" customWidth="1"/>
    <col min="3" max="18" width="4.875" customWidth="1"/>
  </cols>
  <sheetData>
    <row r="7" spans="1:18" x14ac:dyDescent="0.15">
      <c r="A7" s="1" t="s">
        <v>176</v>
      </c>
      <c r="B7" s="1" t="s">
        <v>175</v>
      </c>
      <c r="C7" s="1" t="s">
        <v>0</v>
      </c>
      <c r="D7" s="1" t="s">
        <v>1</v>
      </c>
      <c r="E7" s="1" t="s">
        <v>2</v>
      </c>
      <c r="F7" s="1" t="s">
        <v>3</v>
      </c>
      <c r="G7" s="1" t="s">
        <v>4</v>
      </c>
      <c r="H7" s="1" t="s">
        <v>5</v>
      </c>
      <c r="I7" s="1" t="s">
        <v>6</v>
      </c>
      <c r="J7" s="1" t="s">
        <v>7</v>
      </c>
      <c r="K7" s="1" t="s">
        <v>8</v>
      </c>
      <c r="L7" s="1" t="s">
        <v>9</v>
      </c>
      <c r="M7" s="1" t="s">
        <v>10</v>
      </c>
      <c r="N7" s="1" t="s">
        <v>11</v>
      </c>
      <c r="O7" s="1" t="s">
        <v>12</v>
      </c>
      <c r="P7" s="1" t="s">
        <v>13</v>
      </c>
      <c r="Q7" s="1" t="s">
        <v>14</v>
      </c>
      <c r="R7" s="1" t="s">
        <v>15</v>
      </c>
    </row>
    <row r="8" spans="1:18" x14ac:dyDescent="0.15">
      <c r="A8" s="1">
        <v>0</v>
      </c>
      <c r="B8" s="1" t="s">
        <v>177</v>
      </c>
      <c r="C8" s="1">
        <v>2</v>
      </c>
      <c r="D8" s="1">
        <v>5</v>
      </c>
      <c r="E8" s="1">
        <v>6</v>
      </c>
      <c r="F8" s="1">
        <v>15</v>
      </c>
      <c r="G8" s="1">
        <v>10</v>
      </c>
      <c r="H8" s="1">
        <v>13</v>
      </c>
      <c r="I8" s="1">
        <v>9</v>
      </c>
      <c r="J8" s="1">
        <v>0</v>
      </c>
      <c r="K8" s="1">
        <v>8</v>
      </c>
      <c r="L8" s="1">
        <v>7</v>
      </c>
      <c r="M8" s="1">
        <v>1</v>
      </c>
      <c r="N8" s="1">
        <v>3</v>
      </c>
      <c r="O8" s="1">
        <v>4</v>
      </c>
      <c r="P8" s="1">
        <v>14</v>
      </c>
      <c r="Q8" s="1">
        <v>12</v>
      </c>
      <c r="R8" s="1">
        <v>11</v>
      </c>
    </row>
    <row r="9" spans="1:18" x14ac:dyDescent="0.15">
      <c r="A9" s="1">
        <v>1</v>
      </c>
      <c r="B9" s="1" t="s">
        <v>178</v>
      </c>
      <c r="C9" s="1">
        <v>0</v>
      </c>
      <c r="D9" s="1">
        <v>1</v>
      </c>
      <c r="E9" s="1">
        <v>5</v>
      </c>
      <c r="F9" s="1">
        <v>11</v>
      </c>
      <c r="G9" s="1">
        <v>14</v>
      </c>
      <c r="H9" s="1">
        <v>15</v>
      </c>
      <c r="I9" s="1">
        <v>13</v>
      </c>
      <c r="J9" s="1">
        <v>6</v>
      </c>
      <c r="K9" s="1">
        <v>8</v>
      </c>
      <c r="L9" s="1">
        <v>7</v>
      </c>
      <c r="M9" s="1">
        <v>4</v>
      </c>
      <c r="N9" s="1">
        <v>2</v>
      </c>
      <c r="O9" s="1">
        <v>3</v>
      </c>
      <c r="P9" s="1">
        <v>9</v>
      </c>
      <c r="Q9" s="1">
        <v>10</v>
      </c>
      <c r="R9" s="1">
        <v>12</v>
      </c>
    </row>
    <row r="10" spans="1:18" x14ac:dyDescent="0.15">
      <c r="A10" s="1"/>
      <c r="B10" s="1"/>
      <c r="C10" s="1"/>
      <c r="D10" s="1"/>
      <c r="E10" s="1"/>
      <c r="F10" s="1"/>
      <c r="G10" s="1"/>
      <c r="H10" s="1"/>
      <c r="I10" s="1"/>
      <c r="J10" s="1"/>
      <c r="K10" s="1"/>
      <c r="L10" s="1"/>
      <c r="M10" s="1"/>
      <c r="N10" s="1"/>
      <c r="O10" s="1"/>
      <c r="P10" s="1"/>
      <c r="Q10" s="1"/>
      <c r="R10" s="1"/>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D43B8-882F-433B-AC0E-3DF5493353DF}">
  <sheetPr codeName="Sheet6"/>
  <dimension ref="A1"/>
  <sheetViews>
    <sheetView workbookViewId="0">
      <selection activeCell="H29" sqref="H29"/>
    </sheetView>
  </sheetViews>
  <sheetFormatPr defaultRowHeight="13.5" x14ac:dyDescent="0.15"/>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font_edit</vt:lpstr>
      <vt:lpstr>font_show</vt:lpstr>
      <vt:lpstr>font_const</vt:lpstr>
      <vt:lpstr>image</vt:lpstr>
      <vt:lpstr>segment</vt:lpstr>
      <vt:lpstr>LIcense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植原良幸</dc:creator>
  <cp:keywords/>
  <dc:description/>
  <cp:lastModifiedBy>Yoshiyuki</cp:lastModifiedBy>
  <cp:revision/>
  <cp:lastPrinted>2019-06-11T14:49:23Z</cp:lastPrinted>
  <dcterms:created xsi:type="dcterms:W3CDTF">2006-09-16T00:00:00Z</dcterms:created>
  <dcterms:modified xsi:type="dcterms:W3CDTF">2019-06-11T14:49:51Z</dcterms:modified>
  <cp:category/>
  <cp:contentStatus/>
</cp:coreProperties>
</file>